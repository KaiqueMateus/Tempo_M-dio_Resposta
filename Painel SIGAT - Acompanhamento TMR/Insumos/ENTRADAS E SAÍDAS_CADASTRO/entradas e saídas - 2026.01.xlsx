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petronect-my.sharepoint.com/personal/kaique_souza_petronect_com_br/Documents/Área de Trabalho/Painéis/Painel SIGAT - Acompanhamento TMR/Insumos/ENTRADAS E SAÍDAS_CADASTRO/"/>
    </mc:Choice>
  </mc:AlternateContent>
  <xr:revisionPtr revIDLastSave="15" documentId="11_2A4DC37CCB385EDFDA183B5641303660965FFA42" xr6:coauthVersionLast="47" xr6:coauthVersionMax="47" xr10:uidLastSave="{2BABB668-1FBD-4161-8E24-902DAB901264}"/>
  <bookViews>
    <workbookView xWindow="-110" yWindow="-110" windowWidth="19420" windowHeight="11500" xr2:uid="{00000000-000D-0000-FFFF-FFFF00000000}"/>
  </bookViews>
  <sheets>
    <sheet name="Page 1" sheetId="1" r:id="rId1"/>
  </sheets>
  <externalReferences>
    <externalReference r:id="rId2"/>
  </externalReferences>
  <definedNames>
    <definedName name="_xlnm._FilterDatabase" localSheetId="0" hidden="1">'Page 1'!$A$1:$AL$1013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13" i="1" l="1"/>
  <c r="D1013" i="1" s="1"/>
  <c r="C1012" i="1"/>
  <c r="D1012" i="1" s="1"/>
  <c r="C1011" i="1"/>
  <c r="D1011" i="1" s="1"/>
  <c r="C1010" i="1"/>
  <c r="D1010" i="1" s="1"/>
  <c r="C1009" i="1"/>
  <c r="D1009" i="1" s="1"/>
  <c r="C1008" i="1"/>
  <c r="D1008" i="1" s="1"/>
  <c r="C1007" i="1"/>
  <c r="D1007" i="1" s="1"/>
  <c r="C1006" i="1"/>
  <c r="D1006" i="1" s="1"/>
  <c r="C1005" i="1"/>
  <c r="D1005" i="1" s="1"/>
  <c r="C1004" i="1"/>
  <c r="D1004" i="1" s="1"/>
  <c r="C1003" i="1"/>
  <c r="D1003" i="1" s="1"/>
  <c r="C1002" i="1"/>
  <c r="D1002" i="1" s="1"/>
  <c r="C1001" i="1"/>
  <c r="D1001" i="1" s="1"/>
  <c r="C1000" i="1"/>
  <c r="D1000" i="1" s="1"/>
  <c r="C999" i="1"/>
  <c r="D999" i="1" s="1"/>
  <c r="C998" i="1"/>
  <c r="D998" i="1" s="1"/>
  <c r="C997" i="1"/>
  <c r="D997" i="1" s="1"/>
  <c r="C996" i="1"/>
  <c r="D996" i="1" s="1"/>
  <c r="C995" i="1"/>
  <c r="D995" i="1" s="1"/>
  <c r="C994" i="1"/>
  <c r="D994" i="1" s="1"/>
  <c r="C993" i="1"/>
  <c r="D993" i="1" s="1"/>
  <c r="C992" i="1"/>
  <c r="D992" i="1" s="1"/>
  <c r="C991" i="1"/>
  <c r="D991" i="1" s="1"/>
  <c r="C990" i="1"/>
  <c r="D990" i="1" s="1"/>
  <c r="C989" i="1"/>
  <c r="D989" i="1" s="1"/>
  <c r="C988" i="1"/>
  <c r="D988" i="1" s="1"/>
  <c r="C987" i="1"/>
  <c r="D987" i="1" s="1"/>
  <c r="C986" i="1"/>
  <c r="D986" i="1" s="1"/>
  <c r="C985" i="1"/>
  <c r="D985" i="1" s="1"/>
  <c r="C984" i="1"/>
  <c r="D984" i="1" s="1"/>
  <c r="C983" i="1"/>
  <c r="D983" i="1" s="1"/>
  <c r="C982" i="1"/>
  <c r="D982" i="1" s="1"/>
  <c r="C981" i="1"/>
  <c r="D981" i="1" s="1"/>
  <c r="C980" i="1"/>
  <c r="D980" i="1" s="1"/>
  <c r="C979" i="1"/>
  <c r="D979" i="1" s="1"/>
  <c r="C978" i="1"/>
  <c r="D978" i="1" s="1"/>
  <c r="C977" i="1"/>
  <c r="D977" i="1" s="1"/>
  <c r="C976" i="1"/>
  <c r="D976" i="1" s="1"/>
  <c r="C975" i="1"/>
  <c r="D975" i="1" s="1"/>
  <c r="C974" i="1"/>
  <c r="D974" i="1" s="1"/>
  <c r="C973" i="1"/>
  <c r="D973" i="1" s="1"/>
  <c r="C972" i="1"/>
  <c r="D972" i="1" s="1"/>
  <c r="C971" i="1"/>
  <c r="D971" i="1" s="1"/>
  <c r="C970" i="1"/>
  <c r="D970" i="1" s="1"/>
  <c r="C969" i="1"/>
  <c r="D969" i="1" s="1"/>
  <c r="C968" i="1"/>
  <c r="D968" i="1" s="1"/>
  <c r="C967" i="1"/>
  <c r="D967" i="1" s="1"/>
  <c r="C966" i="1"/>
  <c r="D966" i="1" s="1"/>
  <c r="C965" i="1"/>
  <c r="D965" i="1" s="1"/>
  <c r="C964" i="1"/>
  <c r="D964" i="1" s="1"/>
  <c r="C963" i="1"/>
  <c r="D963" i="1" s="1"/>
  <c r="C962" i="1"/>
  <c r="D962" i="1" s="1"/>
  <c r="C961" i="1"/>
  <c r="D961" i="1" s="1"/>
  <c r="C960" i="1"/>
  <c r="D960" i="1" s="1"/>
  <c r="C959" i="1"/>
  <c r="D959" i="1" s="1"/>
  <c r="C958" i="1"/>
  <c r="D958" i="1" s="1"/>
  <c r="C957" i="1"/>
  <c r="D957" i="1" s="1"/>
  <c r="C956" i="1"/>
  <c r="D956" i="1" s="1"/>
  <c r="C955" i="1"/>
  <c r="D955" i="1" s="1"/>
  <c r="C954" i="1"/>
  <c r="D954" i="1" s="1"/>
  <c r="C953" i="1"/>
  <c r="D953" i="1" s="1"/>
  <c r="C952" i="1"/>
  <c r="D952" i="1" s="1"/>
  <c r="C951" i="1"/>
  <c r="D951" i="1" s="1"/>
  <c r="C950" i="1"/>
  <c r="D950" i="1" s="1"/>
  <c r="C949" i="1"/>
  <c r="D949" i="1" s="1"/>
  <c r="C948" i="1"/>
  <c r="D948" i="1" s="1"/>
  <c r="C947" i="1"/>
  <c r="D947" i="1" s="1"/>
  <c r="C946" i="1"/>
  <c r="D946" i="1" s="1"/>
  <c r="C945" i="1"/>
  <c r="D945" i="1" s="1"/>
  <c r="C944" i="1"/>
  <c r="D944" i="1" s="1"/>
  <c r="C943" i="1"/>
  <c r="D943" i="1" s="1"/>
  <c r="C942" i="1"/>
  <c r="D942" i="1" s="1"/>
  <c r="C941" i="1"/>
  <c r="D941" i="1" s="1"/>
  <c r="C940" i="1"/>
  <c r="D940" i="1" s="1"/>
  <c r="C939" i="1"/>
  <c r="D939" i="1" s="1"/>
  <c r="C938" i="1"/>
  <c r="D938" i="1" s="1"/>
  <c r="C937" i="1"/>
  <c r="D937" i="1" s="1"/>
  <c r="C936" i="1"/>
  <c r="D936" i="1" s="1"/>
  <c r="C935" i="1"/>
  <c r="D935" i="1" s="1"/>
  <c r="C934" i="1"/>
  <c r="D934" i="1" s="1"/>
  <c r="C933" i="1"/>
  <c r="D933" i="1" s="1"/>
  <c r="C932" i="1"/>
  <c r="D932" i="1" s="1"/>
  <c r="C931" i="1"/>
  <c r="D931" i="1" s="1"/>
  <c r="C930" i="1"/>
  <c r="D930" i="1" s="1"/>
  <c r="C929" i="1"/>
  <c r="D929" i="1" s="1"/>
  <c r="C928" i="1"/>
  <c r="D928" i="1" s="1"/>
  <c r="C927" i="1"/>
  <c r="D927" i="1" s="1"/>
  <c r="C926" i="1"/>
  <c r="D926" i="1" s="1"/>
  <c r="C925" i="1"/>
  <c r="D925" i="1" s="1"/>
  <c r="C924" i="1"/>
  <c r="D924" i="1" s="1"/>
  <c r="C923" i="1"/>
  <c r="D923" i="1" s="1"/>
  <c r="C922" i="1"/>
  <c r="D922" i="1" s="1"/>
  <c r="C921" i="1"/>
  <c r="D921" i="1" s="1"/>
  <c r="C920" i="1"/>
  <c r="D920" i="1" s="1"/>
  <c r="C919" i="1"/>
  <c r="D919" i="1" s="1"/>
  <c r="C918" i="1"/>
  <c r="D918" i="1" s="1"/>
  <c r="C917" i="1"/>
  <c r="D917" i="1" s="1"/>
  <c r="C916" i="1"/>
  <c r="D916" i="1" s="1"/>
  <c r="C915" i="1"/>
  <c r="D915" i="1" s="1"/>
  <c r="C914" i="1"/>
  <c r="D914" i="1" s="1"/>
  <c r="C913" i="1"/>
  <c r="D913" i="1" s="1"/>
  <c r="C912" i="1"/>
  <c r="D912" i="1" s="1"/>
  <c r="C911" i="1"/>
  <c r="D911" i="1" s="1"/>
  <c r="C910" i="1"/>
  <c r="D910" i="1" s="1"/>
  <c r="C909" i="1"/>
  <c r="D909" i="1" s="1"/>
  <c r="C908" i="1"/>
  <c r="D908" i="1" s="1"/>
  <c r="C907" i="1"/>
  <c r="D907" i="1" s="1"/>
  <c r="C906" i="1"/>
  <c r="D906" i="1" s="1"/>
  <c r="C905" i="1"/>
  <c r="D905" i="1" s="1"/>
  <c r="C904" i="1"/>
  <c r="D904" i="1" s="1"/>
  <c r="C903" i="1"/>
  <c r="D903" i="1" s="1"/>
  <c r="C902" i="1"/>
  <c r="D902" i="1" s="1"/>
  <c r="C901" i="1"/>
  <c r="D901" i="1" s="1"/>
  <c r="C900" i="1"/>
  <c r="D900" i="1" s="1"/>
  <c r="C899" i="1"/>
  <c r="D899" i="1" s="1"/>
  <c r="C898" i="1"/>
  <c r="D898" i="1" s="1"/>
  <c r="C897" i="1"/>
  <c r="D897" i="1" s="1"/>
  <c r="C896" i="1"/>
  <c r="D896" i="1" s="1"/>
  <c r="C895" i="1"/>
  <c r="D895" i="1" s="1"/>
  <c r="C894" i="1"/>
  <c r="D894" i="1" s="1"/>
  <c r="C893" i="1"/>
  <c r="D893" i="1" s="1"/>
  <c r="C892" i="1"/>
  <c r="D892" i="1" s="1"/>
  <c r="C891" i="1"/>
  <c r="D891" i="1" s="1"/>
  <c r="C890" i="1"/>
  <c r="D890" i="1" s="1"/>
  <c r="C889" i="1"/>
  <c r="D889" i="1" s="1"/>
  <c r="D888" i="1"/>
  <c r="C888" i="1"/>
  <c r="C887" i="1"/>
  <c r="D887" i="1" s="1"/>
  <c r="C886" i="1"/>
  <c r="D886" i="1" s="1"/>
  <c r="C885" i="1"/>
  <c r="D885" i="1" s="1"/>
  <c r="C884" i="1"/>
  <c r="D884" i="1" s="1"/>
  <c r="C883" i="1"/>
  <c r="D883" i="1" s="1"/>
  <c r="C882" i="1"/>
  <c r="D882" i="1" s="1"/>
  <c r="C881" i="1"/>
  <c r="D881" i="1" s="1"/>
  <c r="C880" i="1"/>
  <c r="D880" i="1" s="1"/>
  <c r="C879" i="1"/>
  <c r="D879" i="1" s="1"/>
  <c r="C878" i="1"/>
  <c r="D878" i="1" s="1"/>
  <c r="C877" i="1"/>
  <c r="D877" i="1" s="1"/>
  <c r="C876" i="1"/>
  <c r="D876" i="1" s="1"/>
  <c r="C875" i="1"/>
  <c r="D875" i="1" s="1"/>
  <c r="C874" i="1"/>
  <c r="D874" i="1" s="1"/>
  <c r="C873" i="1"/>
  <c r="D873" i="1" s="1"/>
  <c r="C872" i="1"/>
  <c r="D872" i="1" s="1"/>
  <c r="C871" i="1"/>
  <c r="D871" i="1" s="1"/>
  <c r="C870" i="1"/>
  <c r="D870" i="1" s="1"/>
  <c r="C869" i="1"/>
  <c r="D869" i="1" s="1"/>
  <c r="C868" i="1"/>
  <c r="D868" i="1" s="1"/>
  <c r="C867" i="1"/>
  <c r="D867" i="1" s="1"/>
  <c r="C866" i="1"/>
  <c r="D866" i="1" s="1"/>
  <c r="C865" i="1"/>
  <c r="D865" i="1" s="1"/>
  <c r="C864" i="1"/>
  <c r="D864" i="1" s="1"/>
  <c r="C863" i="1"/>
  <c r="D863" i="1" s="1"/>
  <c r="C862" i="1"/>
  <c r="D862" i="1" s="1"/>
  <c r="C861" i="1"/>
  <c r="D861" i="1" s="1"/>
  <c r="C860" i="1"/>
  <c r="D860" i="1" s="1"/>
  <c r="C859" i="1"/>
  <c r="D859" i="1" s="1"/>
  <c r="C858" i="1"/>
  <c r="D858" i="1" s="1"/>
  <c r="C857" i="1"/>
  <c r="D857" i="1" s="1"/>
  <c r="C856" i="1"/>
  <c r="D856" i="1" s="1"/>
  <c r="C855" i="1"/>
  <c r="D855" i="1" s="1"/>
  <c r="C854" i="1"/>
  <c r="D854" i="1" s="1"/>
  <c r="C853" i="1"/>
  <c r="D853" i="1" s="1"/>
  <c r="C852" i="1"/>
  <c r="D852" i="1" s="1"/>
  <c r="C851" i="1"/>
  <c r="D851" i="1" s="1"/>
  <c r="C850" i="1"/>
  <c r="D850" i="1" s="1"/>
  <c r="C849" i="1"/>
  <c r="D849" i="1" s="1"/>
  <c r="C848" i="1"/>
  <c r="D848" i="1" s="1"/>
  <c r="C847" i="1"/>
  <c r="D847" i="1" s="1"/>
  <c r="C846" i="1"/>
  <c r="D846" i="1" s="1"/>
  <c r="C845" i="1"/>
  <c r="D845" i="1" s="1"/>
  <c r="C844" i="1"/>
  <c r="D844" i="1" s="1"/>
  <c r="C843" i="1"/>
  <c r="D843" i="1" s="1"/>
  <c r="C842" i="1"/>
  <c r="D842" i="1" s="1"/>
  <c r="C841" i="1"/>
  <c r="D841" i="1" s="1"/>
  <c r="C840" i="1"/>
  <c r="D840" i="1" s="1"/>
  <c r="C839" i="1"/>
  <c r="D839" i="1" s="1"/>
  <c r="C838" i="1"/>
  <c r="D838" i="1" s="1"/>
  <c r="C837" i="1"/>
  <c r="D837" i="1" s="1"/>
  <c r="C836" i="1"/>
  <c r="D836" i="1" s="1"/>
  <c r="C835" i="1"/>
  <c r="D835" i="1" s="1"/>
  <c r="C834" i="1"/>
  <c r="D834" i="1" s="1"/>
  <c r="C833" i="1"/>
  <c r="D833" i="1" s="1"/>
  <c r="C832" i="1"/>
  <c r="D832" i="1" s="1"/>
  <c r="C831" i="1"/>
  <c r="D831" i="1" s="1"/>
  <c r="C830" i="1"/>
  <c r="D830" i="1" s="1"/>
  <c r="C829" i="1"/>
  <c r="D829" i="1" s="1"/>
  <c r="C828" i="1"/>
  <c r="D828" i="1" s="1"/>
  <c r="C827" i="1"/>
  <c r="D827" i="1" s="1"/>
  <c r="C826" i="1"/>
  <c r="D826" i="1" s="1"/>
  <c r="C825" i="1"/>
  <c r="D825" i="1" s="1"/>
  <c r="C824" i="1"/>
  <c r="D824" i="1" s="1"/>
  <c r="C823" i="1"/>
  <c r="D823" i="1" s="1"/>
  <c r="C822" i="1"/>
  <c r="D822" i="1" s="1"/>
  <c r="C821" i="1"/>
  <c r="D821" i="1" s="1"/>
  <c r="C820" i="1"/>
  <c r="D820" i="1" s="1"/>
  <c r="C819" i="1"/>
  <c r="D819" i="1" s="1"/>
  <c r="C818" i="1"/>
  <c r="D818" i="1" s="1"/>
  <c r="C817" i="1"/>
  <c r="D817" i="1" s="1"/>
  <c r="C816" i="1"/>
  <c r="D816" i="1" s="1"/>
  <c r="C815" i="1"/>
  <c r="D815" i="1" s="1"/>
  <c r="C814" i="1"/>
  <c r="D814" i="1" s="1"/>
  <c r="C813" i="1"/>
  <c r="D813" i="1" s="1"/>
  <c r="C812" i="1"/>
  <c r="D812" i="1" s="1"/>
  <c r="C811" i="1"/>
  <c r="D811" i="1" s="1"/>
  <c r="C810" i="1"/>
  <c r="D810" i="1" s="1"/>
  <c r="C809" i="1"/>
  <c r="D809" i="1" s="1"/>
  <c r="C808" i="1"/>
  <c r="D808" i="1" s="1"/>
  <c r="C807" i="1"/>
  <c r="D807" i="1" s="1"/>
  <c r="C806" i="1"/>
  <c r="D806" i="1" s="1"/>
  <c r="C805" i="1"/>
  <c r="D805" i="1" s="1"/>
  <c r="C804" i="1"/>
  <c r="D804" i="1" s="1"/>
  <c r="C803" i="1"/>
  <c r="D803" i="1" s="1"/>
  <c r="C802" i="1"/>
  <c r="D802" i="1" s="1"/>
  <c r="C801" i="1"/>
  <c r="D801" i="1" s="1"/>
  <c r="C800" i="1"/>
  <c r="D800" i="1" s="1"/>
  <c r="C799" i="1"/>
  <c r="D799" i="1" s="1"/>
  <c r="C798" i="1"/>
  <c r="D798" i="1" s="1"/>
  <c r="C797" i="1"/>
  <c r="D797" i="1" s="1"/>
  <c r="C796" i="1"/>
  <c r="D796" i="1" s="1"/>
  <c r="C795" i="1"/>
  <c r="D795" i="1" s="1"/>
  <c r="C794" i="1"/>
  <c r="D794" i="1" s="1"/>
  <c r="C793" i="1"/>
  <c r="D793" i="1" s="1"/>
  <c r="C792" i="1"/>
  <c r="D792" i="1" s="1"/>
  <c r="C791" i="1"/>
  <c r="D791" i="1" s="1"/>
  <c r="C790" i="1"/>
  <c r="D790" i="1" s="1"/>
  <c r="C789" i="1"/>
  <c r="D789" i="1" s="1"/>
  <c r="C788" i="1"/>
  <c r="D788" i="1" s="1"/>
  <c r="C787" i="1"/>
  <c r="D787" i="1" s="1"/>
  <c r="C786" i="1"/>
  <c r="D786" i="1" s="1"/>
  <c r="C785" i="1"/>
  <c r="D785" i="1" s="1"/>
  <c r="C784" i="1"/>
  <c r="D784" i="1" s="1"/>
  <c r="C783" i="1"/>
  <c r="D783" i="1" s="1"/>
  <c r="C782" i="1"/>
  <c r="D782" i="1" s="1"/>
  <c r="C781" i="1"/>
  <c r="D781" i="1" s="1"/>
  <c r="C780" i="1"/>
  <c r="D780" i="1" s="1"/>
  <c r="C779" i="1"/>
  <c r="D779" i="1" s="1"/>
  <c r="C778" i="1"/>
  <c r="D778" i="1" s="1"/>
  <c r="C777" i="1"/>
  <c r="D777" i="1" s="1"/>
  <c r="C776" i="1"/>
  <c r="D776" i="1" s="1"/>
  <c r="C775" i="1"/>
  <c r="D775" i="1" s="1"/>
  <c r="C774" i="1"/>
  <c r="D774" i="1" s="1"/>
  <c r="C773" i="1"/>
  <c r="D773" i="1" s="1"/>
  <c r="C772" i="1"/>
  <c r="D772" i="1" s="1"/>
  <c r="C771" i="1"/>
  <c r="D771" i="1" s="1"/>
  <c r="C770" i="1"/>
  <c r="D770" i="1" s="1"/>
  <c r="C769" i="1"/>
  <c r="D769" i="1" s="1"/>
  <c r="C768" i="1"/>
  <c r="D768" i="1" s="1"/>
  <c r="C767" i="1"/>
  <c r="D767" i="1" s="1"/>
  <c r="C766" i="1"/>
  <c r="D766" i="1" s="1"/>
  <c r="C765" i="1"/>
  <c r="D765" i="1" s="1"/>
  <c r="C764" i="1"/>
  <c r="D764" i="1" s="1"/>
  <c r="C763" i="1"/>
  <c r="D763" i="1" s="1"/>
  <c r="C762" i="1"/>
  <c r="D762" i="1" s="1"/>
  <c r="C761" i="1"/>
  <c r="D761" i="1" s="1"/>
  <c r="C760" i="1"/>
  <c r="D760" i="1" s="1"/>
  <c r="C759" i="1"/>
  <c r="D759" i="1" s="1"/>
  <c r="C758" i="1"/>
  <c r="D758" i="1" s="1"/>
  <c r="C757" i="1"/>
  <c r="D757" i="1" s="1"/>
  <c r="C756" i="1"/>
  <c r="D756" i="1" s="1"/>
  <c r="C755" i="1"/>
  <c r="D755" i="1" s="1"/>
  <c r="C754" i="1"/>
  <c r="D754" i="1" s="1"/>
  <c r="C753" i="1"/>
  <c r="D753" i="1" s="1"/>
  <c r="C752" i="1"/>
  <c r="D752" i="1" s="1"/>
  <c r="C751" i="1"/>
  <c r="D751" i="1" s="1"/>
  <c r="C750" i="1"/>
  <c r="D750" i="1" s="1"/>
  <c r="C749" i="1"/>
  <c r="D749" i="1" s="1"/>
  <c r="C748" i="1"/>
  <c r="D748" i="1" s="1"/>
  <c r="C747" i="1"/>
  <c r="D747" i="1" s="1"/>
  <c r="C746" i="1"/>
  <c r="D746" i="1" s="1"/>
  <c r="C745" i="1"/>
  <c r="D745" i="1" s="1"/>
  <c r="C744" i="1"/>
  <c r="D744" i="1" s="1"/>
  <c r="C743" i="1"/>
  <c r="D743" i="1" s="1"/>
  <c r="C742" i="1"/>
  <c r="D742" i="1" s="1"/>
  <c r="C741" i="1"/>
  <c r="D741" i="1" s="1"/>
  <c r="C740" i="1"/>
  <c r="D740" i="1" s="1"/>
  <c r="C739" i="1"/>
  <c r="D739" i="1" s="1"/>
  <c r="C738" i="1"/>
  <c r="D738" i="1" s="1"/>
  <c r="C737" i="1"/>
  <c r="D737" i="1" s="1"/>
  <c r="C736" i="1"/>
  <c r="D736" i="1" s="1"/>
  <c r="C735" i="1"/>
  <c r="D735" i="1" s="1"/>
  <c r="C734" i="1"/>
  <c r="D734" i="1" s="1"/>
  <c r="C733" i="1"/>
  <c r="D733" i="1" s="1"/>
  <c r="C732" i="1"/>
  <c r="D732" i="1" s="1"/>
  <c r="C731" i="1"/>
  <c r="D731" i="1" s="1"/>
  <c r="C730" i="1"/>
  <c r="D730" i="1" s="1"/>
  <c r="C729" i="1"/>
  <c r="D729" i="1" s="1"/>
  <c r="C728" i="1"/>
  <c r="D728" i="1" s="1"/>
  <c r="C727" i="1"/>
  <c r="D727" i="1" s="1"/>
  <c r="C726" i="1"/>
  <c r="D726" i="1" s="1"/>
  <c r="C725" i="1"/>
  <c r="D725" i="1" s="1"/>
  <c r="C724" i="1"/>
  <c r="D724" i="1" s="1"/>
  <c r="C723" i="1"/>
  <c r="D723" i="1" s="1"/>
  <c r="C722" i="1"/>
  <c r="D722" i="1" s="1"/>
  <c r="C721" i="1"/>
  <c r="D721" i="1" s="1"/>
  <c r="C720" i="1"/>
  <c r="D720" i="1" s="1"/>
  <c r="C719" i="1"/>
  <c r="D719" i="1" s="1"/>
  <c r="C718" i="1"/>
  <c r="D718" i="1" s="1"/>
  <c r="C717" i="1"/>
  <c r="D717" i="1" s="1"/>
  <c r="C716" i="1"/>
  <c r="D716" i="1" s="1"/>
  <c r="C715" i="1"/>
  <c r="D715" i="1" s="1"/>
  <c r="C714" i="1"/>
  <c r="D714" i="1" s="1"/>
  <c r="C713" i="1"/>
  <c r="D713" i="1" s="1"/>
  <c r="C712" i="1"/>
  <c r="D712" i="1" s="1"/>
  <c r="C711" i="1"/>
  <c r="D711" i="1" s="1"/>
  <c r="C710" i="1"/>
  <c r="D710" i="1" s="1"/>
  <c r="C709" i="1"/>
  <c r="D709" i="1" s="1"/>
  <c r="C708" i="1"/>
  <c r="D708" i="1" s="1"/>
  <c r="C707" i="1"/>
  <c r="D707" i="1" s="1"/>
  <c r="C706" i="1"/>
  <c r="D706" i="1" s="1"/>
  <c r="C705" i="1"/>
  <c r="D705" i="1" s="1"/>
  <c r="C704" i="1"/>
  <c r="D704" i="1" s="1"/>
  <c r="C703" i="1"/>
  <c r="D703" i="1" s="1"/>
  <c r="C702" i="1"/>
  <c r="D702" i="1" s="1"/>
  <c r="C701" i="1"/>
  <c r="D701" i="1" s="1"/>
  <c r="C700" i="1"/>
  <c r="D700" i="1" s="1"/>
  <c r="C699" i="1"/>
  <c r="D699" i="1" s="1"/>
  <c r="C698" i="1"/>
  <c r="D698" i="1" s="1"/>
  <c r="C697" i="1"/>
  <c r="D697" i="1" s="1"/>
  <c r="C696" i="1"/>
  <c r="D696" i="1" s="1"/>
  <c r="C695" i="1"/>
  <c r="D695" i="1" s="1"/>
  <c r="C694" i="1"/>
  <c r="D694" i="1" s="1"/>
  <c r="C693" i="1"/>
  <c r="D693" i="1" s="1"/>
  <c r="C692" i="1"/>
  <c r="D692" i="1" s="1"/>
  <c r="C691" i="1"/>
  <c r="D691" i="1" s="1"/>
  <c r="C690" i="1"/>
  <c r="D690" i="1" s="1"/>
  <c r="C689" i="1"/>
  <c r="D689" i="1" s="1"/>
  <c r="C688" i="1"/>
  <c r="D688" i="1" s="1"/>
  <c r="C687" i="1"/>
  <c r="D687" i="1" s="1"/>
  <c r="C686" i="1"/>
  <c r="D686" i="1" s="1"/>
  <c r="C685" i="1"/>
  <c r="D685" i="1" s="1"/>
  <c r="C684" i="1"/>
  <c r="D684" i="1" s="1"/>
  <c r="C683" i="1"/>
  <c r="D683" i="1" s="1"/>
  <c r="C682" i="1"/>
  <c r="D682" i="1" s="1"/>
  <c r="C681" i="1"/>
  <c r="D681" i="1" s="1"/>
  <c r="C680" i="1"/>
  <c r="D680" i="1" s="1"/>
  <c r="C679" i="1"/>
  <c r="D679" i="1" s="1"/>
  <c r="C678" i="1"/>
  <c r="D678" i="1" s="1"/>
  <c r="C677" i="1"/>
  <c r="D677" i="1" s="1"/>
  <c r="C676" i="1"/>
  <c r="D676" i="1" s="1"/>
  <c r="C675" i="1"/>
  <c r="D675" i="1" s="1"/>
  <c r="C674" i="1"/>
  <c r="D674" i="1" s="1"/>
  <c r="C673" i="1"/>
  <c r="D673" i="1" s="1"/>
  <c r="C672" i="1"/>
  <c r="D672" i="1" s="1"/>
  <c r="C671" i="1"/>
  <c r="D671" i="1" s="1"/>
  <c r="C670" i="1"/>
  <c r="D670" i="1" s="1"/>
  <c r="C669" i="1"/>
  <c r="D669" i="1" s="1"/>
  <c r="C668" i="1"/>
  <c r="D668" i="1" s="1"/>
  <c r="C667" i="1"/>
  <c r="D667" i="1" s="1"/>
  <c r="C666" i="1"/>
  <c r="D666" i="1" s="1"/>
  <c r="C665" i="1"/>
  <c r="D665" i="1" s="1"/>
  <c r="C664" i="1"/>
  <c r="D664" i="1" s="1"/>
  <c r="C663" i="1"/>
  <c r="D663" i="1" s="1"/>
  <c r="C662" i="1"/>
  <c r="D662" i="1" s="1"/>
  <c r="C661" i="1"/>
  <c r="D661" i="1" s="1"/>
  <c r="C660" i="1"/>
  <c r="D660" i="1" s="1"/>
  <c r="C659" i="1"/>
  <c r="D659" i="1" s="1"/>
  <c r="C658" i="1"/>
  <c r="D658" i="1" s="1"/>
  <c r="C657" i="1"/>
  <c r="D657" i="1" s="1"/>
  <c r="C656" i="1"/>
  <c r="D656" i="1" s="1"/>
  <c r="C655" i="1"/>
  <c r="D655" i="1" s="1"/>
  <c r="C654" i="1"/>
  <c r="D654" i="1" s="1"/>
  <c r="C653" i="1"/>
  <c r="D653" i="1" s="1"/>
  <c r="C652" i="1"/>
  <c r="D652" i="1" s="1"/>
  <c r="C651" i="1"/>
  <c r="D651" i="1" s="1"/>
  <c r="C650" i="1"/>
  <c r="D650" i="1" s="1"/>
  <c r="C649" i="1"/>
  <c r="D649" i="1" s="1"/>
  <c r="C648" i="1"/>
  <c r="D648" i="1" s="1"/>
  <c r="C647" i="1"/>
  <c r="D647" i="1" s="1"/>
  <c r="C646" i="1"/>
  <c r="D646" i="1" s="1"/>
  <c r="C645" i="1"/>
  <c r="D645" i="1" s="1"/>
  <c r="C644" i="1"/>
  <c r="D644" i="1" s="1"/>
  <c r="C643" i="1"/>
  <c r="D643" i="1" s="1"/>
  <c r="C642" i="1"/>
  <c r="D642" i="1" s="1"/>
  <c r="C641" i="1"/>
  <c r="D641" i="1" s="1"/>
  <c r="C640" i="1"/>
  <c r="D640" i="1" s="1"/>
  <c r="C639" i="1"/>
  <c r="D639" i="1" s="1"/>
  <c r="C638" i="1"/>
  <c r="D638" i="1" s="1"/>
  <c r="C637" i="1"/>
  <c r="D637" i="1" s="1"/>
  <c r="C636" i="1"/>
  <c r="D636" i="1" s="1"/>
  <c r="C635" i="1"/>
  <c r="D635" i="1" s="1"/>
  <c r="C634" i="1"/>
  <c r="D634" i="1" s="1"/>
  <c r="C633" i="1"/>
  <c r="D633" i="1" s="1"/>
  <c r="C632" i="1"/>
  <c r="D632" i="1" s="1"/>
  <c r="C631" i="1"/>
  <c r="D631" i="1" s="1"/>
  <c r="C630" i="1"/>
  <c r="D630" i="1" s="1"/>
  <c r="C629" i="1"/>
  <c r="D629" i="1" s="1"/>
  <c r="C628" i="1"/>
  <c r="D628" i="1" s="1"/>
  <c r="C627" i="1"/>
  <c r="D627" i="1" s="1"/>
  <c r="C626" i="1"/>
  <c r="D626" i="1" s="1"/>
  <c r="C625" i="1"/>
  <c r="D625" i="1" s="1"/>
  <c r="C624" i="1"/>
  <c r="D624" i="1" s="1"/>
  <c r="C623" i="1"/>
  <c r="D623" i="1" s="1"/>
  <c r="C622" i="1"/>
  <c r="D622" i="1" s="1"/>
  <c r="C621" i="1"/>
  <c r="D621" i="1" s="1"/>
  <c r="C620" i="1"/>
  <c r="D620" i="1" s="1"/>
  <c r="C619" i="1"/>
  <c r="D619" i="1" s="1"/>
  <c r="C618" i="1"/>
  <c r="D618" i="1" s="1"/>
  <c r="C617" i="1"/>
  <c r="D617" i="1" s="1"/>
  <c r="C616" i="1"/>
  <c r="D616" i="1" s="1"/>
  <c r="C615" i="1"/>
  <c r="D615" i="1" s="1"/>
  <c r="C614" i="1"/>
  <c r="D614" i="1" s="1"/>
  <c r="C613" i="1"/>
  <c r="D613" i="1" s="1"/>
  <c r="C612" i="1"/>
  <c r="D612" i="1" s="1"/>
  <c r="C611" i="1"/>
  <c r="D611" i="1" s="1"/>
  <c r="C610" i="1"/>
  <c r="D610" i="1" s="1"/>
  <c r="C609" i="1"/>
  <c r="D609" i="1" s="1"/>
  <c r="C608" i="1"/>
  <c r="D608" i="1" s="1"/>
  <c r="C607" i="1"/>
  <c r="D607" i="1" s="1"/>
  <c r="C606" i="1"/>
  <c r="D606" i="1" s="1"/>
  <c r="C605" i="1"/>
  <c r="D605" i="1" s="1"/>
  <c r="C604" i="1"/>
  <c r="D604" i="1" s="1"/>
  <c r="C603" i="1"/>
  <c r="D603" i="1" s="1"/>
  <c r="C602" i="1"/>
  <c r="D602" i="1" s="1"/>
  <c r="C601" i="1"/>
  <c r="D601" i="1" s="1"/>
  <c r="C600" i="1"/>
  <c r="D600" i="1" s="1"/>
  <c r="D599" i="1"/>
  <c r="C598" i="1"/>
  <c r="D598" i="1" s="1"/>
  <c r="C597" i="1"/>
  <c r="D597" i="1" s="1"/>
  <c r="C596" i="1"/>
  <c r="D596" i="1" s="1"/>
  <c r="C595" i="1"/>
  <c r="D595" i="1" s="1"/>
  <c r="C594" i="1"/>
  <c r="D594" i="1" s="1"/>
  <c r="C593" i="1"/>
  <c r="D593" i="1" s="1"/>
  <c r="C592" i="1"/>
  <c r="D592" i="1" s="1"/>
  <c r="C591" i="1"/>
  <c r="D591" i="1" s="1"/>
  <c r="C590" i="1"/>
  <c r="D590" i="1" s="1"/>
  <c r="D589" i="1"/>
  <c r="C589" i="1"/>
  <c r="C588" i="1"/>
  <c r="D588" i="1" s="1"/>
  <c r="C587" i="1"/>
  <c r="D587" i="1" s="1"/>
  <c r="C586" i="1"/>
  <c r="D586" i="1" s="1"/>
  <c r="C585" i="1"/>
  <c r="D585" i="1" s="1"/>
  <c r="C584" i="1"/>
  <c r="D584" i="1" s="1"/>
  <c r="C583" i="1"/>
  <c r="D583" i="1" s="1"/>
  <c r="C582" i="1"/>
  <c r="D582" i="1" s="1"/>
  <c r="C581" i="1"/>
  <c r="D581" i="1" s="1"/>
  <c r="C580" i="1"/>
  <c r="D580" i="1" s="1"/>
  <c r="C579" i="1"/>
  <c r="D579" i="1" s="1"/>
  <c r="C578" i="1"/>
  <c r="D578" i="1" s="1"/>
  <c r="C577" i="1"/>
  <c r="D577" i="1" s="1"/>
  <c r="C576" i="1"/>
  <c r="D576" i="1" s="1"/>
  <c r="C575" i="1"/>
  <c r="D575" i="1" s="1"/>
  <c r="C574" i="1"/>
  <c r="D574" i="1" s="1"/>
  <c r="C573" i="1"/>
  <c r="D573" i="1" s="1"/>
  <c r="C572" i="1"/>
  <c r="D572" i="1" s="1"/>
  <c r="C571" i="1"/>
  <c r="D571" i="1" s="1"/>
  <c r="C570" i="1"/>
  <c r="D570" i="1" s="1"/>
  <c r="C569" i="1"/>
  <c r="D569" i="1" s="1"/>
  <c r="C568" i="1"/>
  <c r="D568" i="1" s="1"/>
  <c r="C567" i="1"/>
  <c r="D567" i="1" s="1"/>
  <c r="C566" i="1"/>
  <c r="D566" i="1" s="1"/>
  <c r="C565" i="1"/>
  <c r="D565" i="1" s="1"/>
  <c r="C564" i="1"/>
  <c r="D564" i="1" s="1"/>
  <c r="C563" i="1"/>
  <c r="D563" i="1" s="1"/>
  <c r="C562" i="1"/>
  <c r="D562" i="1" s="1"/>
  <c r="C561" i="1"/>
  <c r="D561" i="1" s="1"/>
  <c r="C560" i="1"/>
  <c r="D560" i="1" s="1"/>
  <c r="C559" i="1"/>
  <c r="D559" i="1" s="1"/>
  <c r="C558" i="1"/>
  <c r="D558" i="1" s="1"/>
  <c r="C557" i="1"/>
  <c r="D557" i="1" s="1"/>
  <c r="C556" i="1"/>
  <c r="D556" i="1" s="1"/>
  <c r="C555" i="1"/>
  <c r="D555" i="1" s="1"/>
  <c r="C554" i="1"/>
  <c r="D554" i="1" s="1"/>
  <c r="C553" i="1"/>
  <c r="D553" i="1" s="1"/>
  <c r="C552" i="1"/>
  <c r="D552" i="1" s="1"/>
  <c r="C551" i="1"/>
  <c r="D551" i="1" s="1"/>
  <c r="C550" i="1"/>
  <c r="D550" i="1" s="1"/>
  <c r="C549" i="1"/>
  <c r="D549" i="1" s="1"/>
  <c r="C548" i="1"/>
  <c r="D548" i="1" s="1"/>
  <c r="C547" i="1"/>
  <c r="D547" i="1" s="1"/>
  <c r="C546" i="1"/>
  <c r="D546" i="1" s="1"/>
  <c r="C545" i="1"/>
  <c r="D545" i="1" s="1"/>
  <c r="C544" i="1"/>
  <c r="D544" i="1" s="1"/>
  <c r="C543" i="1"/>
  <c r="D543" i="1" s="1"/>
  <c r="C542" i="1"/>
  <c r="D542" i="1" s="1"/>
  <c r="C541" i="1"/>
  <c r="D541" i="1" s="1"/>
  <c r="C540" i="1"/>
  <c r="D540" i="1" s="1"/>
  <c r="C539" i="1"/>
  <c r="D539" i="1" s="1"/>
  <c r="C538" i="1"/>
  <c r="D538" i="1" s="1"/>
  <c r="D537" i="1"/>
  <c r="C536" i="1"/>
  <c r="D536" i="1" s="1"/>
  <c r="C535" i="1"/>
  <c r="D535" i="1" s="1"/>
  <c r="C534" i="1"/>
  <c r="D534" i="1" s="1"/>
  <c r="C533" i="1"/>
  <c r="D533" i="1" s="1"/>
  <c r="C532" i="1"/>
  <c r="D532" i="1" s="1"/>
  <c r="C531" i="1"/>
  <c r="D531" i="1" s="1"/>
  <c r="C530" i="1"/>
  <c r="D530" i="1" s="1"/>
  <c r="C529" i="1"/>
  <c r="D529" i="1" s="1"/>
  <c r="C528" i="1"/>
  <c r="D528" i="1" s="1"/>
  <c r="C527" i="1"/>
  <c r="D527" i="1" s="1"/>
  <c r="C526" i="1"/>
  <c r="D526" i="1" s="1"/>
  <c r="C525" i="1"/>
  <c r="D525" i="1" s="1"/>
  <c r="C524" i="1"/>
  <c r="D524" i="1" s="1"/>
  <c r="C523" i="1"/>
  <c r="D523" i="1" s="1"/>
  <c r="C522" i="1"/>
  <c r="D522" i="1" s="1"/>
  <c r="C521" i="1"/>
  <c r="D521" i="1" s="1"/>
  <c r="C520" i="1"/>
  <c r="D520" i="1" s="1"/>
  <c r="C519" i="1"/>
  <c r="D519" i="1" s="1"/>
  <c r="C518" i="1"/>
  <c r="D518" i="1" s="1"/>
  <c r="C517" i="1"/>
  <c r="D517" i="1" s="1"/>
  <c r="C516" i="1"/>
  <c r="D516" i="1" s="1"/>
  <c r="C515" i="1"/>
  <c r="D515" i="1" s="1"/>
  <c r="C514" i="1"/>
  <c r="D514" i="1" s="1"/>
  <c r="C513" i="1"/>
  <c r="D513" i="1" s="1"/>
  <c r="C512" i="1"/>
  <c r="D512" i="1" s="1"/>
  <c r="C511" i="1"/>
  <c r="D511" i="1" s="1"/>
  <c r="C510" i="1"/>
  <c r="D510" i="1" s="1"/>
  <c r="C509" i="1"/>
  <c r="D509" i="1" s="1"/>
  <c r="C508" i="1"/>
  <c r="D508" i="1" s="1"/>
  <c r="C507" i="1"/>
  <c r="D507" i="1" s="1"/>
  <c r="C506" i="1"/>
  <c r="D506" i="1" s="1"/>
  <c r="C505" i="1"/>
  <c r="D505" i="1" s="1"/>
  <c r="C504" i="1"/>
  <c r="D504" i="1" s="1"/>
  <c r="C503" i="1"/>
  <c r="D503" i="1" s="1"/>
  <c r="C502" i="1"/>
  <c r="D502" i="1" s="1"/>
  <c r="C501" i="1"/>
  <c r="D501" i="1" s="1"/>
  <c r="C500" i="1"/>
  <c r="D500" i="1" s="1"/>
  <c r="C499" i="1"/>
  <c r="D499" i="1" s="1"/>
  <c r="C498" i="1"/>
  <c r="D498" i="1" s="1"/>
  <c r="C497" i="1"/>
  <c r="D497" i="1" s="1"/>
  <c r="C496" i="1"/>
  <c r="D496" i="1" s="1"/>
  <c r="C495" i="1"/>
  <c r="D495" i="1" s="1"/>
  <c r="C494" i="1"/>
  <c r="D494" i="1" s="1"/>
  <c r="C493" i="1"/>
  <c r="D493" i="1" s="1"/>
  <c r="C492" i="1"/>
  <c r="D492" i="1" s="1"/>
  <c r="C491" i="1"/>
  <c r="D491" i="1" s="1"/>
  <c r="C490" i="1"/>
  <c r="D490" i="1" s="1"/>
  <c r="C489" i="1"/>
  <c r="D489" i="1" s="1"/>
  <c r="C488" i="1"/>
  <c r="D488" i="1" s="1"/>
  <c r="C487" i="1"/>
  <c r="D487" i="1" s="1"/>
  <c r="C486" i="1"/>
  <c r="D486" i="1" s="1"/>
  <c r="C485" i="1"/>
  <c r="D485" i="1" s="1"/>
  <c r="C484" i="1"/>
  <c r="D484" i="1" s="1"/>
  <c r="C483" i="1"/>
  <c r="D483" i="1" s="1"/>
  <c r="C482" i="1"/>
  <c r="D482" i="1" s="1"/>
  <c r="C481" i="1"/>
  <c r="D481" i="1" s="1"/>
  <c r="C480" i="1"/>
  <c r="D480" i="1" s="1"/>
  <c r="C479" i="1"/>
  <c r="D479" i="1" s="1"/>
  <c r="C478" i="1"/>
  <c r="D478" i="1" s="1"/>
  <c r="C477" i="1"/>
  <c r="D477" i="1" s="1"/>
  <c r="C476" i="1"/>
  <c r="D476" i="1" s="1"/>
  <c r="C475" i="1"/>
  <c r="D475" i="1" s="1"/>
  <c r="C474" i="1"/>
  <c r="D474" i="1" s="1"/>
  <c r="C473" i="1"/>
  <c r="D473" i="1" s="1"/>
  <c r="C472" i="1"/>
  <c r="D472" i="1" s="1"/>
  <c r="C471" i="1"/>
  <c r="D471" i="1" s="1"/>
  <c r="C470" i="1"/>
  <c r="D470" i="1" s="1"/>
  <c r="C469" i="1"/>
  <c r="D469" i="1" s="1"/>
  <c r="C468" i="1"/>
  <c r="D468" i="1" s="1"/>
  <c r="C467" i="1"/>
  <c r="D467" i="1" s="1"/>
  <c r="C466" i="1"/>
  <c r="D466" i="1" s="1"/>
  <c r="C465" i="1"/>
  <c r="D465" i="1" s="1"/>
  <c r="C464" i="1"/>
  <c r="D464" i="1" s="1"/>
  <c r="C463" i="1"/>
  <c r="D463" i="1" s="1"/>
  <c r="C462" i="1"/>
  <c r="D462" i="1" s="1"/>
  <c r="C461" i="1"/>
  <c r="D461" i="1" s="1"/>
  <c r="C460" i="1"/>
  <c r="D460" i="1" s="1"/>
  <c r="C459" i="1"/>
  <c r="D459" i="1" s="1"/>
  <c r="C458" i="1"/>
  <c r="D458" i="1" s="1"/>
  <c r="C457" i="1"/>
  <c r="D457" i="1" s="1"/>
  <c r="C456" i="1"/>
  <c r="D456" i="1" s="1"/>
  <c r="C455" i="1"/>
  <c r="D455" i="1" s="1"/>
  <c r="C454" i="1"/>
  <c r="D454" i="1" s="1"/>
  <c r="C453" i="1"/>
  <c r="D453" i="1" s="1"/>
  <c r="C452" i="1"/>
  <c r="D452" i="1" s="1"/>
  <c r="C451" i="1"/>
  <c r="D451" i="1" s="1"/>
  <c r="C450" i="1"/>
  <c r="D450" i="1" s="1"/>
  <c r="C449" i="1"/>
  <c r="D449" i="1" s="1"/>
  <c r="C448" i="1"/>
  <c r="D448" i="1" s="1"/>
  <c r="C447" i="1"/>
  <c r="D447" i="1" s="1"/>
  <c r="C446" i="1"/>
  <c r="D446" i="1" s="1"/>
  <c r="C445" i="1"/>
  <c r="D445" i="1" s="1"/>
  <c r="C444" i="1"/>
  <c r="D444" i="1" s="1"/>
  <c r="C443" i="1"/>
  <c r="D443" i="1" s="1"/>
  <c r="C442" i="1"/>
  <c r="D442" i="1" s="1"/>
  <c r="C441" i="1"/>
  <c r="D441" i="1" s="1"/>
  <c r="C440" i="1"/>
  <c r="D440" i="1" s="1"/>
  <c r="C439" i="1"/>
  <c r="D439" i="1" s="1"/>
  <c r="C438" i="1"/>
  <c r="D438" i="1" s="1"/>
  <c r="C437" i="1"/>
  <c r="D437" i="1" s="1"/>
  <c r="C436" i="1"/>
  <c r="D436" i="1" s="1"/>
  <c r="C435" i="1"/>
  <c r="D435" i="1" s="1"/>
  <c r="C434" i="1"/>
  <c r="D434" i="1" s="1"/>
  <c r="C433" i="1"/>
  <c r="D433" i="1" s="1"/>
  <c r="C432" i="1"/>
  <c r="D432" i="1" s="1"/>
  <c r="C431" i="1"/>
  <c r="D431" i="1" s="1"/>
  <c r="C430" i="1"/>
  <c r="D430" i="1" s="1"/>
  <c r="C429" i="1"/>
  <c r="D429" i="1" s="1"/>
  <c r="C428" i="1"/>
  <c r="D428" i="1" s="1"/>
  <c r="C427" i="1"/>
  <c r="D427" i="1" s="1"/>
  <c r="C426" i="1"/>
  <c r="D426" i="1" s="1"/>
  <c r="C425" i="1"/>
  <c r="D425" i="1" s="1"/>
  <c r="C424" i="1"/>
  <c r="D424" i="1" s="1"/>
  <c r="C423" i="1"/>
  <c r="D423" i="1" s="1"/>
  <c r="C422" i="1"/>
  <c r="D422" i="1" s="1"/>
  <c r="C421" i="1"/>
  <c r="D421" i="1" s="1"/>
  <c r="C420" i="1"/>
  <c r="D420" i="1" s="1"/>
  <c r="C419" i="1"/>
  <c r="D419" i="1" s="1"/>
  <c r="C418" i="1"/>
  <c r="D418" i="1" s="1"/>
  <c r="C417" i="1"/>
  <c r="D417" i="1" s="1"/>
  <c r="C416" i="1"/>
  <c r="D416" i="1" s="1"/>
  <c r="C415" i="1"/>
  <c r="D415" i="1" s="1"/>
  <c r="C414" i="1"/>
  <c r="D414" i="1" s="1"/>
  <c r="C413" i="1"/>
  <c r="D413" i="1" s="1"/>
  <c r="C412" i="1"/>
  <c r="D412" i="1" s="1"/>
  <c r="C411" i="1"/>
  <c r="D411" i="1" s="1"/>
  <c r="C410" i="1"/>
  <c r="D410" i="1" s="1"/>
  <c r="C409" i="1"/>
  <c r="D409" i="1" s="1"/>
  <c r="C408" i="1"/>
  <c r="D408" i="1" s="1"/>
  <c r="C407" i="1"/>
  <c r="D407" i="1" s="1"/>
  <c r="C406" i="1"/>
  <c r="D406" i="1" s="1"/>
  <c r="C405" i="1"/>
  <c r="D405" i="1" s="1"/>
  <c r="C404" i="1"/>
  <c r="D404" i="1" s="1"/>
  <c r="C403" i="1"/>
  <c r="D403" i="1" s="1"/>
  <c r="C402" i="1"/>
  <c r="D402" i="1" s="1"/>
  <c r="C401" i="1"/>
  <c r="D401" i="1" s="1"/>
  <c r="C400" i="1"/>
  <c r="D400" i="1" s="1"/>
  <c r="C399" i="1"/>
  <c r="D399" i="1" s="1"/>
  <c r="C398" i="1"/>
  <c r="D398" i="1" s="1"/>
  <c r="C397" i="1"/>
  <c r="D397" i="1" s="1"/>
  <c r="C396" i="1"/>
  <c r="D396" i="1" s="1"/>
  <c r="C395" i="1"/>
  <c r="D395" i="1" s="1"/>
  <c r="C394" i="1"/>
  <c r="D394" i="1" s="1"/>
  <c r="C393" i="1"/>
  <c r="D393" i="1" s="1"/>
  <c r="C392" i="1"/>
  <c r="D392" i="1" s="1"/>
  <c r="C391" i="1"/>
  <c r="D391" i="1" s="1"/>
  <c r="C390" i="1"/>
  <c r="D390" i="1" s="1"/>
  <c r="C389" i="1"/>
  <c r="D389" i="1" s="1"/>
  <c r="C388" i="1"/>
  <c r="D388" i="1" s="1"/>
  <c r="C387" i="1"/>
  <c r="D387" i="1" s="1"/>
  <c r="C386" i="1"/>
  <c r="D386" i="1" s="1"/>
  <c r="C385" i="1"/>
  <c r="D385" i="1" s="1"/>
  <c r="C384" i="1"/>
  <c r="D384" i="1" s="1"/>
  <c r="C383" i="1"/>
  <c r="D383" i="1" s="1"/>
  <c r="C382" i="1"/>
  <c r="D382" i="1" s="1"/>
  <c r="C381" i="1"/>
  <c r="D381" i="1" s="1"/>
  <c r="C380" i="1"/>
  <c r="D380" i="1" s="1"/>
  <c r="C379" i="1"/>
  <c r="D379" i="1" s="1"/>
  <c r="C378" i="1"/>
  <c r="D378" i="1" s="1"/>
  <c r="C377" i="1"/>
  <c r="D377" i="1" s="1"/>
  <c r="C376" i="1"/>
  <c r="D376" i="1" s="1"/>
  <c r="C375" i="1"/>
  <c r="D375" i="1" s="1"/>
  <c r="C374" i="1"/>
  <c r="D374" i="1" s="1"/>
  <c r="C373" i="1"/>
  <c r="D373" i="1" s="1"/>
  <c r="C372" i="1"/>
  <c r="D372" i="1" s="1"/>
  <c r="C371" i="1"/>
  <c r="D371" i="1" s="1"/>
  <c r="C370" i="1"/>
  <c r="D370" i="1" s="1"/>
  <c r="D369" i="1"/>
  <c r="C369" i="1"/>
  <c r="C368" i="1"/>
  <c r="D368" i="1" s="1"/>
  <c r="C367" i="1"/>
  <c r="D367" i="1" s="1"/>
  <c r="C366" i="1"/>
  <c r="D366" i="1" s="1"/>
  <c r="C365" i="1"/>
  <c r="D365" i="1" s="1"/>
  <c r="C364" i="1"/>
  <c r="D364" i="1" s="1"/>
  <c r="C363" i="1"/>
  <c r="D363" i="1" s="1"/>
  <c r="C362" i="1"/>
  <c r="D362" i="1" s="1"/>
  <c r="C361" i="1"/>
  <c r="D361" i="1" s="1"/>
  <c r="D360" i="1"/>
  <c r="C360" i="1"/>
  <c r="C359" i="1"/>
  <c r="D359" i="1" s="1"/>
  <c r="C358" i="1"/>
  <c r="D358" i="1" s="1"/>
  <c r="C357" i="1"/>
  <c r="D357" i="1" s="1"/>
  <c r="C356" i="1"/>
  <c r="D356" i="1" s="1"/>
  <c r="C355" i="1"/>
  <c r="D355" i="1" s="1"/>
  <c r="C354" i="1"/>
  <c r="D354" i="1" s="1"/>
  <c r="C353" i="1"/>
  <c r="D353" i="1" s="1"/>
  <c r="C352" i="1"/>
  <c r="D352" i="1" s="1"/>
  <c r="C351" i="1"/>
  <c r="D351" i="1" s="1"/>
  <c r="C350" i="1"/>
  <c r="D350" i="1" s="1"/>
  <c r="C349" i="1"/>
  <c r="D349" i="1" s="1"/>
  <c r="C348" i="1"/>
  <c r="D348" i="1" s="1"/>
  <c r="C347" i="1"/>
  <c r="D347" i="1" s="1"/>
  <c r="C346" i="1"/>
  <c r="D346" i="1" s="1"/>
  <c r="C345" i="1"/>
  <c r="D345" i="1" s="1"/>
  <c r="C344" i="1"/>
  <c r="D344" i="1" s="1"/>
  <c r="C343" i="1"/>
  <c r="D343" i="1" s="1"/>
  <c r="C342" i="1"/>
  <c r="D342" i="1" s="1"/>
  <c r="C341" i="1"/>
  <c r="D341" i="1" s="1"/>
  <c r="C340" i="1"/>
  <c r="D340" i="1" s="1"/>
  <c r="C339" i="1"/>
  <c r="D339" i="1" s="1"/>
  <c r="C338" i="1"/>
  <c r="D338" i="1" s="1"/>
  <c r="C337" i="1"/>
  <c r="D337" i="1" s="1"/>
  <c r="C336" i="1"/>
  <c r="D336" i="1" s="1"/>
  <c r="C335" i="1"/>
  <c r="D335" i="1" s="1"/>
  <c r="C334" i="1"/>
  <c r="D334" i="1" s="1"/>
  <c r="C333" i="1"/>
  <c r="D333" i="1" s="1"/>
  <c r="C332" i="1"/>
  <c r="D332" i="1" s="1"/>
  <c r="C331" i="1"/>
  <c r="D331" i="1" s="1"/>
  <c r="C330" i="1"/>
  <c r="D330" i="1" s="1"/>
  <c r="C329" i="1"/>
  <c r="D329" i="1" s="1"/>
  <c r="C328" i="1"/>
  <c r="D328" i="1" s="1"/>
  <c r="C327" i="1"/>
  <c r="D327" i="1" s="1"/>
  <c r="C326" i="1"/>
  <c r="D326" i="1" s="1"/>
  <c r="C325" i="1"/>
  <c r="D325" i="1" s="1"/>
  <c r="C324" i="1"/>
  <c r="D324" i="1" s="1"/>
  <c r="C323" i="1"/>
  <c r="D323" i="1" s="1"/>
  <c r="C322" i="1"/>
  <c r="D322" i="1" s="1"/>
  <c r="C321" i="1"/>
  <c r="D321" i="1" s="1"/>
  <c r="C320" i="1"/>
  <c r="D320" i="1" s="1"/>
  <c r="C319" i="1"/>
  <c r="D319" i="1" s="1"/>
  <c r="C318" i="1"/>
  <c r="D318" i="1" s="1"/>
  <c r="C317" i="1"/>
  <c r="D317" i="1" s="1"/>
  <c r="C316" i="1"/>
  <c r="D316" i="1" s="1"/>
  <c r="C315" i="1"/>
  <c r="D315" i="1" s="1"/>
  <c r="C314" i="1"/>
  <c r="D314" i="1" s="1"/>
  <c r="C313" i="1"/>
  <c r="D313" i="1" s="1"/>
  <c r="C312" i="1"/>
  <c r="D312" i="1" s="1"/>
  <c r="C311" i="1"/>
  <c r="D311" i="1" s="1"/>
  <c r="C310" i="1"/>
  <c r="D310" i="1" s="1"/>
  <c r="C309" i="1"/>
  <c r="D309" i="1" s="1"/>
  <c r="C308" i="1"/>
  <c r="D308" i="1" s="1"/>
  <c r="C307" i="1"/>
  <c r="D307" i="1" s="1"/>
  <c r="C306" i="1"/>
  <c r="D306" i="1" s="1"/>
  <c r="C305" i="1"/>
  <c r="D305" i="1" s="1"/>
  <c r="C304" i="1"/>
  <c r="D304" i="1" s="1"/>
  <c r="C303" i="1"/>
  <c r="D303" i="1" s="1"/>
  <c r="C302" i="1"/>
  <c r="D302" i="1" s="1"/>
  <c r="C301" i="1"/>
  <c r="D301" i="1" s="1"/>
  <c r="C300" i="1"/>
  <c r="D300" i="1" s="1"/>
  <c r="C299" i="1"/>
  <c r="D299" i="1" s="1"/>
  <c r="C298" i="1"/>
  <c r="D298" i="1" s="1"/>
  <c r="C297" i="1"/>
  <c r="D297" i="1" s="1"/>
  <c r="C296" i="1"/>
  <c r="D296" i="1" s="1"/>
  <c r="C295" i="1"/>
  <c r="D295" i="1" s="1"/>
  <c r="C294" i="1"/>
  <c r="D294" i="1" s="1"/>
  <c r="C293" i="1"/>
  <c r="D293" i="1" s="1"/>
  <c r="C292" i="1"/>
  <c r="D292" i="1" s="1"/>
  <c r="C291" i="1"/>
  <c r="D291" i="1" s="1"/>
  <c r="C290" i="1"/>
  <c r="D290" i="1" s="1"/>
  <c r="C289" i="1"/>
  <c r="D289" i="1" s="1"/>
  <c r="D288" i="1"/>
  <c r="C288" i="1"/>
  <c r="C287" i="1"/>
  <c r="D287" i="1" s="1"/>
  <c r="C286" i="1"/>
  <c r="D286" i="1" s="1"/>
  <c r="C285" i="1"/>
  <c r="D285" i="1" s="1"/>
  <c r="C284" i="1"/>
  <c r="D284" i="1" s="1"/>
  <c r="C283" i="1"/>
  <c r="D283" i="1" s="1"/>
  <c r="C282" i="1"/>
  <c r="D282" i="1" s="1"/>
  <c r="C281" i="1"/>
  <c r="D281" i="1" s="1"/>
  <c r="C280" i="1"/>
  <c r="D280" i="1" s="1"/>
  <c r="C279" i="1"/>
  <c r="D279" i="1" s="1"/>
  <c r="C278" i="1"/>
  <c r="D278" i="1" s="1"/>
  <c r="C277" i="1"/>
  <c r="D277" i="1" s="1"/>
  <c r="C276" i="1"/>
  <c r="D276" i="1" s="1"/>
  <c r="C275" i="1"/>
  <c r="D275" i="1" s="1"/>
  <c r="C274" i="1"/>
  <c r="D274" i="1" s="1"/>
  <c r="C273" i="1"/>
  <c r="D273" i="1" s="1"/>
  <c r="C272" i="1"/>
  <c r="D272" i="1" s="1"/>
  <c r="C271" i="1"/>
  <c r="D271" i="1" s="1"/>
  <c r="C270" i="1"/>
  <c r="D270" i="1" s="1"/>
  <c r="C269" i="1"/>
  <c r="D269" i="1" s="1"/>
  <c r="C268" i="1"/>
  <c r="D268" i="1" s="1"/>
  <c r="C267" i="1"/>
  <c r="D267" i="1" s="1"/>
  <c r="C266" i="1"/>
  <c r="D266" i="1" s="1"/>
  <c r="C265" i="1"/>
  <c r="D265" i="1" s="1"/>
  <c r="C264" i="1"/>
  <c r="D264" i="1" s="1"/>
  <c r="C263" i="1"/>
  <c r="D263" i="1" s="1"/>
  <c r="C262" i="1"/>
  <c r="D262" i="1" s="1"/>
  <c r="C261" i="1"/>
  <c r="D261" i="1" s="1"/>
  <c r="C260" i="1"/>
  <c r="D260" i="1" s="1"/>
  <c r="C259" i="1"/>
  <c r="D259" i="1" s="1"/>
  <c r="C258" i="1"/>
  <c r="D258" i="1" s="1"/>
  <c r="C257" i="1"/>
  <c r="D257" i="1" s="1"/>
  <c r="C256" i="1"/>
  <c r="D256" i="1" s="1"/>
  <c r="C255" i="1"/>
  <c r="D255" i="1" s="1"/>
  <c r="C254" i="1"/>
  <c r="D254" i="1" s="1"/>
  <c r="C253" i="1"/>
  <c r="D253" i="1" s="1"/>
  <c r="C252" i="1"/>
  <c r="D252" i="1" s="1"/>
  <c r="C251" i="1"/>
  <c r="D251" i="1" s="1"/>
  <c r="C250" i="1"/>
  <c r="D250" i="1" s="1"/>
  <c r="C249" i="1"/>
  <c r="D249" i="1" s="1"/>
  <c r="C248" i="1"/>
  <c r="D248" i="1" s="1"/>
  <c r="C247" i="1"/>
  <c r="D247" i="1" s="1"/>
  <c r="C246" i="1"/>
  <c r="D246" i="1" s="1"/>
  <c r="C245" i="1"/>
  <c r="D245" i="1" s="1"/>
  <c r="C244" i="1"/>
  <c r="D244" i="1" s="1"/>
  <c r="C243" i="1"/>
  <c r="D243" i="1" s="1"/>
  <c r="C242" i="1"/>
  <c r="D242" i="1" s="1"/>
  <c r="C241" i="1"/>
  <c r="D241" i="1" s="1"/>
  <c r="C240" i="1"/>
  <c r="D240" i="1" s="1"/>
  <c r="C239" i="1"/>
  <c r="D239" i="1" s="1"/>
  <c r="C238" i="1"/>
  <c r="D238" i="1" s="1"/>
  <c r="C237" i="1"/>
  <c r="D237" i="1" s="1"/>
  <c r="C236" i="1"/>
  <c r="D236" i="1" s="1"/>
  <c r="C235" i="1"/>
  <c r="D235" i="1" s="1"/>
  <c r="C234" i="1"/>
  <c r="D234" i="1" s="1"/>
  <c r="C233" i="1"/>
  <c r="D233" i="1" s="1"/>
  <c r="C232" i="1"/>
  <c r="D232" i="1" s="1"/>
  <c r="C231" i="1"/>
  <c r="D231" i="1" s="1"/>
  <c r="C230" i="1"/>
  <c r="D230" i="1" s="1"/>
  <c r="C229" i="1"/>
  <c r="D229" i="1" s="1"/>
  <c r="C228" i="1"/>
  <c r="D228" i="1" s="1"/>
  <c r="C227" i="1"/>
  <c r="D227" i="1" s="1"/>
  <c r="C226" i="1"/>
  <c r="D226" i="1" s="1"/>
  <c r="C225" i="1"/>
  <c r="D225" i="1" s="1"/>
  <c r="C224" i="1"/>
  <c r="D224" i="1" s="1"/>
  <c r="C223" i="1"/>
  <c r="D223" i="1" s="1"/>
  <c r="C222" i="1"/>
  <c r="D222" i="1" s="1"/>
  <c r="C221" i="1"/>
  <c r="D221" i="1" s="1"/>
  <c r="C220" i="1"/>
  <c r="D220" i="1" s="1"/>
  <c r="C219" i="1"/>
  <c r="D219" i="1" s="1"/>
  <c r="C218" i="1"/>
  <c r="D218" i="1" s="1"/>
  <c r="C217" i="1"/>
  <c r="D217" i="1" s="1"/>
  <c r="C216" i="1"/>
  <c r="D216" i="1" s="1"/>
  <c r="C215" i="1"/>
  <c r="D215" i="1" s="1"/>
  <c r="C214" i="1"/>
  <c r="D214" i="1" s="1"/>
  <c r="C213" i="1"/>
  <c r="D213" i="1" s="1"/>
  <c r="C212" i="1"/>
  <c r="D212" i="1" s="1"/>
  <c r="C211" i="1"/>
  <c r="D211" i="1" s="1"/>
  <c r="C210" i="1"/>
  <c r="D210" i="1" s="1"/>
  <c r="C209" i="1"/>
  <c r="D209" i="1" s="1"/>
  <c r="C208" i="1"/>
  <c r="D208" i="1" s="1"/>
  <c r="C207" i="1"/>
  <c r="D207" i="1" s="1"/>
  <c r="C206" i="1"/>
  <c r="D206" i="1" s="1"/>
  <c r="C205" i="1"/>
  <c r="D205" i="1" s="1"/>
  <c r="C204" i="1"/>
  <c r="D204" i="1" s="1"/>
  <c r="C203" i="1"/>
  <c r="D203" i="1" s="1"/>
  <c r="C202" i="1"/>
  <c r="D202" i="1" s="1"/>
  <c r="C201" i="1"/>
  <c r="D201" i="1" s="1"/>
  <c r="C200" i="1"/>
  <c r="D200" i="1" s="1"/>
  <c r="C199" i="1"/>
  <c r="D199" i="1" s="1"/>
  <c r="C198" i="1"/>
  <c r="D198" i="1" s="1"/>
  <c r="C197" i="1"/>
  <c r="D197" i="1" s="1"/>
  <c r="C196" i="1"/>
  <c r="D196" i="1" s="1"/>
  <c r="C195" i="1"/>
  <c r="D195" i="1" s="1"/>
  <c r="C194" i="1"/>
  <c r="D194" i="1" s="1"/>
  <c r="C193" i="1"/>
  <c r="D193" i="1" s="1"/>
  <c r="C192" i="1"/>
  <c r="D192" i="1" s="1"/>
  <c r="C191" i="1"/>
  <c r="D191" i="1" s="1"/>
  <c r="C190" i="1"/>
  <c r="D190" i="1" s="1"/>
  <c r="C189" i="1"/>
  <c r="D189" i="1" s="1"/>
  <c r="C188" i="1"/>
  <c r="D188" i="1" s="1"/>
  <c r="C187" i="1"/>
  <c r="D187" i="1" s="1"/>
  <c r="C186" i="1"/>
  <c r="D186" i="1" s="1"/>
  <c r="C185" i="1"/>
  <c r="D185" i="1" s="1"/>
  <c r="C184" i="1"/>
  <c r="D184" i="1" s="1"/>
  <c r="C183" i="1"/>
  <c r="D183" i="1" s="1"/>
  <c r="C182" i="1"/>
  <c r="D182" i="1" s="1"/>
  <c r="C181" i="1"/>
  <c r="D181" i="1" s="1"/>
  <c r="C180" i="1"/>
  <c r="D180" i="1" s="1"/>
  <c r="C179" i="1"/>
  <c r="D179" i="1" s="1"/>
  <c r="C178" i="1"/>
  <c r="D178" i="1" s="1"/>
  <c r="C177" i="1"/>
  <c r="D177" i="1" s="1"/>
  <c r="C176" i="1"/>
  <c r="D176" i="1" s="1"/>
  <c r="C175" i="1"/>
  <c r="D175" i="1" s="1"/>
  <c r="C174" i="1"/>
  <c r="D174" i="1" s="1"/>
  <c r="C173" i="1"/>
  <c r="D173" i="1" s="1"/>
  <c r="C172" i="1"/>
  <c r="D172" i="1" s="1"/>
  <c r="C171" i="1"/>
  <c r="D171" i="1" s="1"/>
  <c r="C170" i="1"/>
  <c r="D170" i="1" s="1"/>
  <c r="C169" i="1"/>
  <c r="D169" i="1" s="1"/>
  <c r="C168" i="1"/>
  <c r="D168" i="1" s="1"/>
  <c r="C167" i="1"/>
  <c r="D167" i="1" s="1"/>
  <c r="C166" i="1"/>
  <c r="D166" i="1" s="1"/>
  <c r="C165" i="1"/>
  <c r="D165" i="1" s="1"/>
  <c r="C164" i="1"/>
  <c r="D164" i="1" s="1"/>
  <c r="C163" i="1"/>
  <c r="D163" i="1" s="1"/>
  <c r="C162" i="1"/>
  <c r="D162" i="1" s="1"/>
  <c r="C161" i="1"/>
  <c r="D161" i="1" s="1"/>
  <c r="C160" i="1"/>
  <c r="D160" i="1" s="1"/>
  <c r="C159" i="1"/>
  <c r="D159" i="1" s="1"/>
  <c r="C158" i="1"/>
  <c r="D158" i="1" s="1"/>
  <c r="C157" i="1"/>
  <c r="D157" i="1" s="1"/>
  <c r="C156" i="1"/>
  <c r="D156" i="1" s="1"/>
  <c r="C155" i="1"/>
  <c r="D155" i="1" s="1"/>
  <c r="C154" i="1"/>
  <c r="D154" i="1" s="1"/>
  <c r="C153" i="1"/>
  <c r="D153" i="1" s="1"/>
  <c r="C152" i="1"/>
  <c r="D152" i="1" s="1"/>
  <c r="C151" i="1"/>
  <c r="D151" i="1" s="1"/>
  <c r="C150" i="1"/>
  <c r="D150" i="1" s="1"/>
  <c r="C149" i="1"/>
  <c r="D149" i="1" s="1"/>
  <c r="C148" i="1"/>
  <c r="D148" i="1" s="1"/>
  <c r="C147" i="1"/>
  <c r="D147" i="1" s="1"/>
  <c r="C146" i="1"/>
  <c r="D146" i="1" s="1"/>
  <c r="C145" i="1"/>
  <c r="D145" i="1" s="1"/>
  <c r="C144" i="1"/>
  <c r="D144" i="1" s="1"/>
  <c r="C143" i="1"/>
  <c r="D143" i="1" s="1"/>
  <c r="C142" i="1"/>
  <c r="D142" i="1" s="1"/>
  <c r="C141" i="1"/>
  <c r="D141" i="1" s="1"/>
  <c r="C140" i="1"/>
  <c r="D140" i="1" s="1"/>
  <c r="C139" i="1"/>
  <c r="D139" i="1" s="1"/>
  <c r="C138" i="1"/>
  <c r="D138" i="1" s="1"/>
  <c r="C137" i="1"/>
  <c r="D137" i="1" s="1"/>
  <c r="C136" i="1"/>
  <c r="D136" i="1" s="1"/>
  <c r="C135" i="1"/>
  <c r="D135" i="1" s="1"/>
  <c r="C134" i="1"/>
  <c r="D134" i="1" s="1"/>
  <c r="C133" i="1"/>
  <c r="D133" i="1" s="1"/>
  <c r="C132" i="1"/>
  <c r="D132" i="1" s="1"/>
  <c r="C131" i="1"/>
  <c r="D131" i="1" s="1"/>
  <c r="C130" i="1"/>
  <c r="D130" i="1" s="1"/>
  <c r="C129" i="1"/>
  <c r="D129" i="1" s="1"/>
  <c r="C128" i="1"/>
  <c r="D128" i="1" s="1"/>
  <c r="C127" i="1"/>
  <c r="D127" i="1" s="1"/>
  <c r="C126" i="1"/>
  <c r="D126" i="1" s="1"/>
  <c r="C125" i="1"/>
  <c r="D125" i="1" s="1"/>
  <c r="C124" i="1"/>
  <c r="D124" i="1" s="1"/>
  <c r="C123" i="1"/>
  <c r="D123" i="1" s="1"/>
  <c r="C122" i="1"/>
  <c r="D122" i="1" s="1"/>
  <c r="C121" i="1"/>
  <c r="D121" i="1" s="1"/>
  <c r="C120" i="1"/>
  <c r="D120" i="1" s="1"/>
  <c r="C119" i="1"/>
  <c r="D119" i="1" s="1"/>
  <c r="C118" i="1"/>
  <c r="D118" i="1" s="1"/>
  <c r="C117" i="1"/>
  <c r="D117" i="1" s="1"/>
  <c r="C116" i="1"/>
  <c r="D116" i="1" s="1"/>
  <c r="C115" i="1"/>
  <c r="D115" i="1" s="1"/>
  <c r="C114" i="1"/>
  <c r="D114" i="1" s="1"/>
  <c r="C113" i="1"/>
  <c r="D113" i="1" s="1"/>
  <c r="C112" i="1"/>
  <c r="D112" i="1" s="1"/>
  <c r="C111" i="1"/>
  <c r="D111" i="1" s="1"/>
  <c r="C110" i="1"/>
  <c r="D110" i="1" s="1"/>
  <c r="C109" i="1"/>
  <c r="D109" i="1" s="1"/>
  <c r="C108" i="1"/>
  <c r="D108" i="1" s="1"/>
  <c r="C107" i="1"/>
  <c r="D107" i="1" s="1"/>
  <c r="C106" i="1"/>
  <c r="D106" i="1" s="1"/>
  <c r="C105" i="1"/>
  <c r="D105" i="1" s="1"/>
  <c r="C104" i="1"/>
  <c r="D104" i="1" s="1"/>
  <c r="C103" i="1"/>
  <c r="D103" i="1" s="1"/>
  <c r="C102" i="1"/>
  <c r="D102" i="1" s="1"/>
  <c r="C101" i="1"/>
  <c r="D101" i="1" s="1"/>
  <c r="C100" i="1"/>
  <c r="D100" i="1" s="1"/>
  <c r="C99" i="1"/>
  <c r="D99" i="1" s="1"/>
  <c r="C98" i="1"/>
  <c r="D98" i="1" s="1"/>
  <c r="C97" i="1"/>
  <c r="D97" i="1" s="1"/>
  <c r="C96" i="1"/>
  <c r="D96" i="1" s="1"/>
  <c r="C95" i="1"/>
  <c r="D95" i="1" s="1"/>
  <c r="C94" i="1"/>
  <c r="D94" i="1" s="1"/>
  <c r="C93" i="1"/>
  <c r="D93" i="1" s="1"/>
  <c r="C92" i="1"/>
  <c r="D92" i="1" s="1"/>
  <c r="C91" i="1"/>
  <c r="D91" i="1" s="1"/>
  <c r="C90" i="1"/>
  <c r="D90" i="1" s="1"/>
  <c r="C89" i="1"/>
  <c r="D89" i="1" s="1"/>
  <c r="C88" i="1"/>
  <c r="D88" i="1" s="1"/>
  <c r="C87" i="1"/>
  <c r="D87" i="1" s="1"/>
  <c r="C86" i="1"/>
  <c r="D86" i="1" s="1"/>
  <c r="C85" i="1"/>
  <c r="D85" i="1" s="1"/>
  <c r="C84" i="1"/>
  <c r="D84" i="1" s="1"/>
  <c r="C83" i="1"/>
  <c r="D83" i="1" s="1"/>
  <c r="C82" i="1"/>
  <c r="D82" i="1" s="1"/>
  <c r="C81" i="1"/>
  <c r="D81" i="1" s="1"/>
  <c r="C80" i="1"/>
  <c r="D80" i="1" s="1"/>
  <c r="C79" i="1"/>
  <c r="D79" i="1" s="1"/>
  <c r="C78" i="1"/>
  <c r="D78" i="1" s="1"/>
  <c r="C77" i="1"/>
  <c r="D77" i="1" s="1"/>
  <c r="C76" i="1"/>
  <c r="D76" i="1" s="1"/>
  <c r="C75" i="1"/>
  <c r="D75" i="1" s="1"/>
  <c r="C74" i="1"/>
  <c r="D74" i="1" s="1"/>
  <c r="C73" i="1"/>
  <c r="D73" i="1" s="1"/>
  <c r="C72" i="1"/>
  <c r="D72" i="1" s="1"/>
  <c r="C71" i="1"/>
  <c r="D71" i="1" s="1"/>
  <c r="C70" i="1"/>
  <c r="D70" i="1" s="1"/>
  <c r="C69" i="1"/>
  <c r="D69" i="1" s="1"/>
  <c r="C68" i="1"/>
  <c r="D68" i="1" s="1"/>
  <c r="C67" i="1"/>
  <c r="D67" i="1" s="1"/>
  <c r="C66" i="1"/>
  <c r="D66" i="1" s="1"/>
  <c r="C65" i="1"/>
  <c r="D65" i="1" s="1"/>
  <c r="C64" i="1"/>
  <c r="D64" i="1" s="1"/>
  <c r="C63" i="1"/>
  <c r="D63" i="1" s="1"/>
  <c r="C62" i="1"/>
  <c r="D62" i="1" s="1"/>
  <c r="C61" i="1"/>
  <c r="D61" i="1" s="1"/>
  <c r="C60" i="1"/>
  <c r="D60" i="1" s="1"/>
  <c r="C59" i="1"/>
  <c r="D59" i="1" s="1"/>
  <c r="C58" i="1"/>
  <c r="D58" i="1" s="1"/>
  <c r="C57" i="1"/>
  <c r="D57" i="1" s="1"/>
  <c r="C56" i="1"/>
  <c r="D56" i="1" s="1"/>
  <c r="C55" i="1"/>
  <c r="D55" i="1" s="1"/>
  <c r="C54" i="1"/>
  <c r="D54" i="1" s="1"/>
  <c r="C53" i="1"/>
  <c r="D53" i="1" s="1"/>
  <c r="C52" i="1"/>
  <c r="D52" i="1" s="1"/>
  <c r="C51" i="1"/>
  <c r="D51" i="1" s="1"/>
  <c r="C50" i="1"/>
  <c r="D50" i="1" s="1"/>
  <c r="C49" i="1"/>
  <c r="D49" i="1" s="1"/>
  <c r="C48" i="1"/>
  <c r="D48" i="1" s="1"/>
  <c r="C47" i="1"/>
  <c r="D47" i="1" s="1"/>
  <c r="C46" i="1"/>
  <c r="D46" i="1" s="1"/>
  <c r="C45" i="1"/>
  <c r="D45" i="1" s="1"/>
  <c r="C44" i="1"/>
  <c r="D44" i="1" s="1"/>
  <c r="C43" i="1"/>
  <c r="D43" i="1" s="1"/>
  <c r="C42" i="1"/>
  <c r="D42" i="1" s="1"/>
  <c r="C41" i="1"/>
  <c r="D41" i="1" s="1"/>
  <c r="C40" i="1"/>
  <c r="D40" i="1" s="1"/>
  <c r="C39" i="1"/>
  <c r="D39" i="1" s="1"/>
  <c r="C38" i="1"/>
  <c r="D38" i="1" s="1"/>
  <c r="C37" i="1"/>
  <c r="D37" i="1" s="1"/>
  <c r="C36" i="1"/>
  <c r="D36" i="1" s="1"/>
  <c r="C35" i="1"/>
  <c r="D35" i="1" s="1"/>
  <c r="C34" i="1"/>
  <c r="D34" i="1" s="1"/>
  <c r="C33" i="1"/>
  <c r="D33" i="1" s="1"/>
  <c r="C32" i="1"/>
  <c r="D32" i="1" s="1"/>
  <c r="C31" i="1"/>
  <c r="D31" i="1" s="1"/>
  <c r="C30" i="1"/>
  <c r="D30" i="1" s="1"/>
  <c r="C29" i="1"/>
  <c r="D29" i="1" s="1"/>
  <c r="C28" i="1"/>
  <c r="D28" i="1" s="1"/>
  <c r="C27" i="1"/>
  <c r="D27" i="1" s="1"/>
  <c r="C26" i="1"/>
  <c r="D26" i="1" s="1"/>
  <c r="C25" i="1"/>
  <c r="D25" i="1" s="1"/>
  <c r="C24" i="1"/>
  <c r="D24" i="1" s="1"/>
  <c r="C23" i="1"/>
  <c r="D23" i="1" s="1"/>
  <c r="C22" i="1"/>
  <c r="D22" i="1" s="1"/>
  <c r="C21" i="1"/>
  <c r="D21" i="1" s="1"/>
  <c r="C20" i="1"/>
  <c r="D20" i="1" s="1"/>
  <c r="C19" i="1"/>
  <c r="D19" i="1" s="1"/>
  <c r="C18" i="1"/>
  <c r="D18" i="1" s="1"/>
  <c r="C17" i="1"/>
  <c r="D17" i="1" s="1"/>
  <c r="C16" i="1"/>
  <c r="D16" i="1" s="1"/>
  <c r="C15" i="1"/>
  <c r="D15" i="1" s="1"/>
  <c r="C14" i="1"/>
  <c r="D14" i="1" s="1"/>
  <c r="C13" i="1"/>
  <c r="D13" i="1" s="1"/>
  <c r="C12" i="1"/>
  <c r="D12" i="1" s="1"/>
  <c r="C11" i="1"/>
  <c r="D11" i="1" s="1"/>
  <c r="C10" i="1"/>
  <c r="D10" i="1" s="1"/>
  <c r="C9" i="1"/>
  <c r="D9" i="1" s="1"/>
  <c r="C8" i="1"/>
  <c r="D8" i="1" s="1"/>
  <c r="C7" i="1"/>
  <c r="D7" i="1" s="1"/>
  <c r="C6" i="1"/>
  <c r="D6" i="1" s="1"/>
  <c r="C5" i="1"/>
  <c r="D5" i="1" s="1"/>
  <c r="C4" i="1"/>
  <c r="D4" i="1" s="1"/>
  <c r="C3" i="1"/>
  <c r="D3" i="1" s="1"/>
  <c r="C2" i="1"/>
  <c r="D2" i="1" s="1"/>
</calcChain>
</file>

<file path=xl/sharedStrings.xml><?xml version="1.0" encoding="utf-8"?>
<sst xmlns="http://schemas.openxmlformats.org/spreadsheetml/2006/main" count="22651" uniqueCount="5976">
  <si>
    <t>Número</t>
  </si>
  <si>
    <t>Estado</t>
  </si>
  <si>
    <t>Descrição resumida</t>
  </si>
  <si>
    <t>Descrição</t>
  </si>
  <si>
    <t>Grupo de atribuição</t>
  </si>
  <si>
    <t>Referência</t>
  </si>
  <si>
    <t>Problema</t>
  </si>
  <si>
    <t>Criado em</t>
  </si>
  <si>
    <t>Encerrado</t>
  </si>
  <si>
    <t>Category</t>
  </si>
  <si>
    <t>Path</t>
  </si>
  <si>
    <t>Categorização</t>
  </si>
  <si>
    <t>Subcategoria</t>
  </si>
  <si>
    <t>Solicitante</t>
  </si>
  <si>
    <t>Título</t>
  </si>
  <si>
    <t>E-mail</t>
  </si>
  <si>
    <t>Departamento</t>
  </si>
  <si>
    <t>Contato</t>
  </si>
  <si>
    <t>Empresa</t>
  </si>
  <si>
    <t>Criado(a) por</t>
  </si>
  <si>
    <t>Fechado na Abertura</t>
  </si>
  <si>
    <t>Prioridade</t>
  </si>
  <si>
    <t>Reaberto</t>
  </si>
  <si>
    <t>Urgência</t>
  </si>
  <si>
    <t>Impacto</t>
  </si>
  <si>
    <t>Escalado</t>
  </si>
  <si>
    <t>Projeto</t>
  </si>
  <si>
    <t>Contagem de reatribuições</t>
  </si>
  <si>
    <t>4 - Baixo(a)</t>
  </si>
  <si>
    <t>4 - Baixo</t>
  </si>
  <si>
    <t/>
  </si>
  <si>
    <t>3 - Moderado</t>
  </si>
  <si>
    <t>3 - Médio</t>
  </si>
  <si>
    <t>Fechado</t>
  </si>
  <si>
    <t>Compras - HD Proativo</t>
  </si>
  <si>
    <t>Dúvida</t>
  </si>
  <si>
    <t>Integration@Petronect</t>
  </si>
  <si>
    <t>integration Petronect</t>
  </si>
  <si>
    <t>INC55359729</t>
  </si>
  <si>
    <t>conta bloqueada</t>
  </si>
  <si>
    <t>Chamado criado pela área externa do Portal 
 Nome do Contato: loredana aresi 
 Usuário: SCAME.BRASIL 
 Telefone: 11987972989 
 E-mail: loredanaaresi@scame.com 
 CNPJ: 08939679000190 
 Razão Social SCAME BRASIL LTDA 
 estou com meu computador usual em reparo e tentei entrar com um computador de reserva e nao me reconoceu a senha e bloqueio a conta , tem como desbloquear e refazer a senha ? obrigada</t>
  </si>
  <si>
    <t>Cadastro - HD Proativo</t>
  </si>
  <si>
    <t>Acesso</t>
  </si>
  <si>
    <t>Incidentes//Cadastro na Petrobras//Suporte//Website//Acesso portal cadastro</t>
  </si>
  <si>
    <t>Acesso portal cadastro</t>
  </si>
  <si>
    <t>NATHALIA LIMA DE GODOY</t>
  </si>
  <si>
    <t>SCAME.BRASIL</t>
  </si>
  <si>
    <t>loredanaaresi@scame.com</t>
  </si>
  <si>
    <t>08939679000190 - SCAME BRASIL COMERCIAL ELETRICA LTDA</t>
  </si>
  <si>
    <t>Usuário Integração Service Now</t>
  </si>
  <si>
    <t>NÃO ALTERAR!!!!!!!</t>
  </si>
  <si>
    <t>NAOMEXER@NAOMEXER.com.br</t>
  </si>
  <si>
    <t>Configuração</t>
  </si>
  <si>
    <t>Cadastro de código R3 (P4)</t>
  </si>
  <si>
    <t>Usuário Sistema ServiceNow</t>
  </si>
  <si>
    <t>NÃO ALTERAR ESTE USUÁRIO</t>
  </si>
  <si>
    <t>petronect.suporte@petronect.com.br</t>
  </si>
  <si>
    <t>GTEC</t>
  </si>
  <si>
    <t>PETROBRAS</t>
  </si>
  <si>
    <t>Petronect</t>
  </si>
  <si>
    <t>Compras - HD Receptivo</t>
  </si>
  <si>
    <t>marcel.oliveira@Petronect</t>
  </si>
  <si>
    <t>Marcel Reis Borba de Oliveira</t>
  </si>
  <si>
    <t>priscila.d.paschoal</t>
  </si>
  <si>
    <t>Priscila d. Paschoal</t>
  </si>
  <si>
    <t>Novo</t>
  </si>
  <si>
    <t>Incidentes</t>
  </si>
  <si>
    <t>NA</t>
  </si>
  <si>
    <t>Atendimento Petronect_ KS</t>
  </si>
  <si>
    <t>karina.souza.s.silva</t>
  </si>
  <si>
    <t>Cliente</t>
  </si>
  <si>
    <t>1 - Crítico</t>
  </si>
  <si>
    <t>Duvidas sobre Oportunidades</t>
  </si>
  <si>
    <t>INC55356406</t>
  </si>
  <si>
    <t>Usuário expirado</t>
  </si>
  <si>
    <t>Nome do Contato: Elber Gonze
Usuário: USR0027402
E-mail: elber.ciclo@gmail.com 
Telefone: 31988350204
CNPJ/Razão Social: 05364705000101 - CICLO ELETRICIDADE INDUSTRIAL LTDA
Fornecedor solicita desbloqueio do usuário USR0027402</t>
  </si>
  <si>
    <t>ELBER  GONZE</t>
  </si>
  <si>
    <t>elber.ciclo@gmail.com</t>
  </si>
  <si>
    <t>05364705000101 - CICLO ELETRICIDADE INDUSTRIAL LTDA</t>
  </si>
  <si>
    <t>felix.kovalova@Petronect</t>
  </si>
  <si>
    <t>FELIX INTERIAN KOVALOVA</t>
  </si>
  <si>
    <t>elaine.silva@Petronect</t>
  </si>
  <si>
    <t>Elaine de Mesquita Silva</t>
  </si>
  <si>
    <t>INC55356030</t>
  </si>
  <si>
    <t>Questionário Legal</t>
  </si>
  <si>
    <t>Nome do Contato: Adrielly
Usuário: SR_PETRO
E-mail: petrobras@srgrupoempresarial.com.br 
Telefone: 2131903884 
CNPJ/Razão Social: 49910666000176 SR PETRO SERVICOS E COMERCIO LTDA
Fornecedora questiona sobre o chamado 8001442643
"Foi informada que o chamado recebeu o seguinte retorno:
Informamos que, neste momento, não será possível realizar a reabertura do critério Legal, pois o processo já se encontra (m) em avaliação, o que impossibilita a criação de outro processo. Solicitamos aguardar o término da análise para enviar uma nova solicitação pelos nossos canais de atendimento."
Foi informada que o processo 3001200659 para renovação do questionário legal está em avaliação pela Petrobras, sendo necessário aguardar a análise que demora em média 30 dias a partir da data de envio, podendo antecipar ou prorrogar conforme a demanda do setor responsável. Após esse prazo a validade do questionário será prorrogada por 1 ano ou, se faltar algum documento, vai ser reaberto o questionário para atualização</t>
  </si>
  <si>
    <t>RODRIGO DE FREITAS SOARES</t>
  </si>
  <si>
    <t>SR_PETRO</t>
  </si>
  <si>
    <t>petrobras@srgrupoempresarial.com.br</t>
  </si>
  <si>
    <t>49910666000176 SR PETRO SERVICOS E COMERCIO LTDA</t>
  </si>
  <si>
    <t>drielly.oliveira@Petronect</t>
  </si>
  <si>
    <t>Drielly Machado de Oliveira</t>
  </si>
  <si>
    <t>Desconhecido</t>
  </si>
  <si>
    <t>Desconhecido@Petronect.com.br</t>
  </si>
  <si>
    <t>07157636000113/ -</t>
  </si>
  <si>
    <t>josiele.dionisio@Petronect</t>
  </si>
  <si>
    <t>Josiele Dionisio</t>
  </si>
  <si>
    <t>thais.mello@Petronect</t>
  </si>
  <si>
    <t>Thais Silva de Mello</t>
  </si>
  <si>
    <t>INC55355808</t>
  </si>
  <si>
    <t xml:space="preserve">Desbloqueio de usuário </t>
  </si>
  <si>
    <t xml:space="preserve">Boa tarde, 
Fornecedor (a) solicita Desbloqueio de usuário USR0059372
USR0059372
ANTONIO ELIAS ELIAN ANDRADE
71 99984-6773 contato@techimpbr.com.br 21.12.2025    Desbloqueado
Chamado/Prot: INC55355808 / 8001443252
Nome : ANTONIO ELIAS ELIAN ANDRADE
Usuário: USR0059372
Telefone: 71 99984-6773
E-mail: contato@techimpbr.com.br
CNPJ: 11240879000165
Razão Social: UNIENERGIA MONITORAMENTO GLOBAL DE SISTE
</t>
  </si>
  <si>
    <t>8001443252</t>
  </si>
  <si>
    <t>Antonio Elias Elian Andrade</t>
  </si>
  <si>
    <t>contato@techimpbr.com.br</t>
  </si>
  <si>
    <t>11240879000165 - UNIENERGIA MONITORAMENTO GLOBAL DE SISTE</t>
  </si>
  <si>
    <t>comercial@thermica.com.br</t>
  </si>
  <si>
    <t>32454894000186 - THERMICA REFRIGERACAO E AR CONDICIONADO</t>
  </si>
  <si>
    <t>INC55355639</t>
  </si>
  <si>
    <t>Revisão de bloqueio de acesso - TPS</t>
  </si>
  <si>
    <t>Chamado criado pelo área interna do Portal 
 Nome do Contato: JESSIKA SOUZA FIDELIS DA SILVA 
 Usuário: TPSDISTRIB3 
 Telefone: 2137348862 
 E-mail: info@tpsdistribuidora.com.br 
 CNPJ: 27807613000191 
 Razão Social TPS SOLUCOES EM PRODUTOS CIENTIFICOS SER 
 Prezados senhores, boa tarde!
Gostaria de solicitar a revisão do bloqueio da empresa TPS SOLUÇÕES (CNPJ: 27.807.613/0001-91) - LOGIN: tpsdistrib2 e tpsdistrib3 - no portal Petronect. Ressaltamos que não existem impedimentos em relação ao quadro societário atual que justifiquem tal restrição.
Para possibilitar a devida atualização cadastral e a regularização de nossa situação, seguem anexos o contrato social atualizado e a certidão simplificada da empresa.
Ressaltamos que a impossibilidade de operar no portal está gerando prejuízos operacionais significativos à empresa. Diante disso, solicitamos gentilmente prioridade e celeridade no tratamento desta demanda para que possamos retomar nossas atividades na plataforma o quanto antes.
Permanecemos à disposição para eventuais esclarecimentos e agradecemos antecipadamente pela atenção.
Atenciosamente,
Henrique Rosa
TPS SOLUCOES ME PRODUTOS CIENTIFICOS SERVICOS E COMERCIO LTDA
CNPJ: 27.807.613/0001-91</t>
  </si>
  <si>
    <t>Incidentes//Cadastro na Petrobras//Suporte//Programação de Suspensão//Bloquear / Desbloquear</t>
  </si>
  <si>
    <t>Bloquear / Desbloquear</t>
  </si>
  <si>
    <t>JESSIKA SOUZA FIDELIS DA SILVA</t>
  </si>
  <si>
    <t>TPSDISTRIB3</t>
  </si>
  <si>
    <t>tpsdistribuidora@gmail.com</t>
  </si>
  <si>
    <t>27807613000191 - TPS SOLUCOES EM PRODUTOS CIENTIFICOS SER</t>
  </si>
  <si>
    <t>INC55355617</t>
  </si>
  <si>
    <t>nome do Contato: Luciano   
Usuário:   
Telefone:   
E-mail:       
CNPJ / Razão Social:13812133000376 NOV FLEXIBLES EQUIPAMENTOS E SERVIÇOS LTDA
Fornecedor(a) entrou em contato solicitando auxilio para tirar duvidas sobre taxa  orientado(a) a verificar os dados de usuário e retornar para a confirmação de dados.</t>
  </si>
  <si>
    <t>joao.c.feitosa@Petronect</t>
  </si>
  <si>
    <t>João Vitor  Costa Feitosa</t>
  </si>
  <si>
    <t>INC55355472</t>
  </si>
  <si>
    <t>taxa de acesso</t>
  </si>
  <si>
    <t>nome do Contato: Ademir 
Usuário: RAYNOELLE
Telefone:15991337921    
E-mail: rayanne.conceicao@br.spiraxsarco.com        
CNPJ / Razão Social:61193074000186 SPIRAX-SARCO INDUSTRIA E COMERCIO LTDA
7004549967 DFINRI-SUPRIMENTOS Fechado Licitação Púb. Item 07.01.2026 17:00:00 20.01.2026 17:00:00
Fornecedor(a) entrou em contato solicitando auxilio para solicitar desbloqueio mediante a pagamento d taxa de acesso devido ter que acessar a sala de colaboração da oportunidade  7004549967, pagamento anexado feito por pix conforme anexos por gentileza verificar.</t>
  </si>
  <si>
    <t>7004549967</t>
  </si>
  <si>
    <t>Incidentes//Cadastro na Petrobras//Suporte//Sócio Fornecedor//Informações Boleto</t>
  </si>
  <si>
    <t>Informações Boleto</t>
  </si>
  <si>
    <t>RAYANNE  NOELLE CONCEICAO DOS SANTOS</t>
  </si>
  <si>
    <t>RAYNOELLE</t>
  </si>
  <si>
    <t>Rayanne.Conceicao@br.spiraxsarco.com</t>
  </si>
  <si>
    <t>61193074000186 - SPIRAX-SARCO INDUSTRIA E COMERCIO</t>
  </si>
  <si>
    <t>Pagamento</t>
  </si>
  <si>
    <t>Accenture - Operação de Portais</t>
  </si>
  <si>
    <t>INC55355189</t>
  </si>
  <si>
    <t>CHAT BOT - Redefinição de Senha</t>
  </si>
  <si>
    <t xml:space="preserve">INC55355189 +5511939472517
Nome do Contato: Debora Stefane da Cruz Santana
CNPJ/Razão Social: 05406559000130
CPF: 11465432639
Telefone: 11939472517
E-mail: debora@tecwater.com.br
Usuário: COMDEBORA
Oportunidade: 
CHAT BOT - Redefinição de Senha
</t>
  </si>
  <si>
    <t>'+5511939472517</t>
  </si>
  <si>
    <t>Incidentes//Cadastro na Petrobras//Suporte//Website//Redefinição de Senha</t>
  </si>
  <si>
    <t>Redefinição de Senha</t>
  </si>
  <si>
    <t>DEBORA STEFANE DA CRUZ SANTANA</t>
  </si>
  <si>
    <t>COMDEBORA</t>
  </si>
  <si>
    <t>debora@tecwater.com.br</t>
  </si>
  <si>
    <t>05406559000130 - TECWATER SYSTEM EQUIPAMENTOS PARA SANEAM</t>
  </si>
  <si>
    <t>leonardo.furtado@Petronect</t>
  </si>
  <si>
    <t>Leonardo de Oliveira Furtado</t>
  </si>
  <si>
    <t>INC55355143</t>
  </si>
  <si>
    <t>LIGAÇÃO MUDA</t>
  </si>
  <si>
    <t>Incidentes//Cadastro na Petrobras//Suporte//Plano de Contratação//Outros</t>
  </si>
  <si>
    <t>Outros</t>
  </si>
  <si>
    <t>INC55355077</t>
  </si>
  <si>
    <t>Solicitação de Desbloqueio -07283019000131</t>
  </si>
  <si>
    <t>Prezado, boa tarde!
Recebi um e-mail da empresa PWS SISTEMAS DE ENERGIA LTDA. - EPP., CNPJ:07283019000131, solicitando criação de usuário administrador, porém ao buscar aparece a informação que a empresa está com status "Bloqueado".</t>
  </si>
  <si>
    <t>Cadastro - Relacionamento com Cliente</t>
  </si>
  <si>
    <t>Serviços//Cadastro na Petrobras//Registro//Registro de Usuário//Bloqueio/ desbloqueio de empresas</t>
  </si>
  <si>
    <t>Bloqueio/ desbloqueio de empresas</t>
  </si>
  <si>
    <t>Fabiane Barbosa Moura</t>
  </si>
  <si>
    <t>TBWL</t>
  </si>
  <si>
    <t>cristiane.f.silva</t>
  </si>
  <si>
    <t>Cristiane F. Silva</t>
  </si>
  <si>
    <t>INC55354815</t>
  </si>
  <si>
    <t>Renovação CRC</t>
  </si>
  <si>
    <t>Chamado criado pelo área interna do Portal 
 Nome do Contato: ANTONIO CARLOS CASTELLANI 
 Usuário: TRAN.ADM0388 
 Telefone: 1120239011 
 E-mail: acarlos@transformadoresuniao.com.br 
 CNPJ: 65696619000128 
 Razão Social TRANSFORMADORES UNIAO INDUSTRIA E COMERC 
 Prezados, Boa tarde!
Apesar de ter preenchido os questionário e enviado documentação, meu CRC ainda consta como 2025, o que mais devo fazer para atualizar.</t>
  </si>
  <si>
    <t>Incidentes//Cadastro na Petrobras//Suporte//Resultados</t>
  </si>
  <si>
    <t>Resultados</t>
  </si>
  <si>
    <t>Antonio Castellani</t>
  </si>
  <si>
    <t>acarlos@transformadoresuniao.com.br</t>
  </si>
  <si>
    <t>65696619000128 - TRANSFORMADORES UNIAO INDUSTRIA E COMERC</t>
  </si>
  <si>
    <t>INC55354675</t>
  </si>
  <si>
    <t>Cadastro no Questionario com preenchimento Economico</t>
  </si>
  <si>
    <t>Chamado criado pelo área interna do Portal 
 Nome do Contato: PAULO DONIZETE PINTO 
 Usuário: JEBCOMMANUT 
 Telefone: 79998016102 
 E-mail: jebcommanut@yahoo.com 
 CNPJ: 18543534000120 
 Razão Social J&amp;B COMERCIO E MANUTENÇÃO LTDA 
 Prezados, estou com dificuldade de passar da etapa do questionarios da parte economica. Lancei todos os dados do Balanço Patrimonial e não consigo avançar para outra etapa. Tento colocar o documento em anexo e não avança</t>
  </si>
  <si>
    <t>Incidentes//Cadastro na Petrobras//Suporte//Questionários//Preenchimento</t>
  </si>
  <si>
    <t>Preenchimento</t>
  </si>
  <si>
    <t>PAULO DONIZETE PINTO</t>
  </si>
  <si>
    <t>JEBCOMMANUT</t>
  </si>
  <si>
    <t>jebcommanut@yahoo.com</t>
  </si>
  <si>
    <t>18543534000120 -  J&amp;B COMERCIO E MANUTENÇÃO LTDA</t>
  </si>
  <si>
    <t>INC55354537</t>
  </si>
  <si>
    <t>CADASTRO DE FAMILIAS 3 MESES SEM AVALIAÇÃO</t>
  </si>
  <si>
    <t>Chamado criado pela área externa do Portal 
 Nome do Contato: Andreia 
 Usuário: USR0008186 
 Telefone: 21 2173-1100 
 E-mail: vendas3@hypneumat.com.br 
 CNPJ: 03132736000101 
 Razão Social HYPNEUMAT 
 Prezados, bom dia!
Estou tentando inserir quatro famílias no portal Petronect há cerca de três meses. Essa demora está impactando diretamente nossa participação, pois revendedores já estão recebendo oportunidades, enquanto nós, como distribuidores, não conseguimos concorrer devido ao processo ainda não ter avançado sequer para a etapa de análise.
Peço, por gentileza, uma ajuda urgente para que possamos regularizar essa situação o quanto antes.
Agradeço desde já.</t>
  </si>
  <si>
    <t>SIMONE  CALDEIRA SOARES</t>
  </si>
  <si>
    <t>francisco.ximenes@rch.com.br</t>
  </si>
  <si>
    <t>03132736000101 - HYPNEUMAT HIDRAULICA E PNEUMATICA EIRELI</t>
  </si>
  <si>
    <t>INC55354530</t>
  </si>
  <si>
    <t xml:space="preserve">desbloqueio de usuário </t>
  </si>
  <si>
    <t>Chamado: INC55354530
 Nome do Contato: José Aparecido de Sousa Cristovam
 Usuário: J.CRISTOVAM
 Telefone: (11) 4513-6455
E-mail: vertas@vertas.com.br
CNPJ / Razão Social: 11613991000102  - VERTAS COMÉRCIO DE RESÍDUOS TECNOLÓGICOS
Fornecedor(a) solicita auxilio para o desbloqueio de seu usuário que expirou no dia 06/12/2022 e aderi ao perfil de administrador. 
J.CRISTOVAM
José Aparecido de Sousa Cristovam
(11) 4513-6455 06.12.2022    Bloqueado Exibir  vertas@vertas.com.br</t>
  </si>
  <si>
    <t xml:space="preserve">8001443186 </t>
  </si>
  <si>
    <t>José Aparecido de Sousa Cristovam</t>
  </si>
  <si>
    <t>vertas@vertas.com.br</t>
  </si>
  <si>
    <t>11613991000102 - VERTAS COMÉRCIO DE RESÍDUOS</t>
  </si>
  <si>
    <t>hosana.silva@Petronect</t>
  </si>
  <si>
    <t>Hosana dos Santos Silva</t>
  </si>
  <si>
    <t>INC55354502</t>
  </si>
  <si>
    <t>Erro ao consultar chamado 41.285.652/0001-05 Empresa FORNECEDORA DE PRODUTOS INDUSTRIAIS LTDA</t>
  </si>
  <si>
    <t>Prezados, 
A consultar um desses 2 chamados o sistema dá erro.
Favor verificar. 
Atenciosamente,
Dino Octavio Junior
SUPRIMENTOS/RMF/DQF/GCF</t>
  </si>
  <si>
    <t>Incidentes//Cadastro na Petrobras//Suporte//Atendimento//Visualização de chamados</t>
  </si>
  <si>
    <t>Visualização de chamados</t>
  </si>
  <si>
    <t>Dino Octávio Braga de Oliveira Junior</t>
  </si>
  <si>
    <t>Y1SZ</t>
  </si>
  <si>
    <t>INC55354474</t>
  </si>
  <si>
    <t>acesso ao cadastro</t>
  </si>
  <si>
    <t>Chamado criado pela área externa do Portal 
 Nome do Contato: José Carlos Piscitelli 
 Usuário:  
 Telefone: 92991652559 
 E-mail: piscitellijc@gmail.com 
 CNPJ: 23780108000140 
 Razão Social JCPCONSULTORIA, REPRESENTAÇÃO E TREINAME 
 Tento acessar meu cadastro e mostra sempre senha ou usuário não cadastrado.
Preciso acessar e não consigo.
Pode me ajudar.</t>
  </si>
  <si>
    <t>PISCITELLI</t>
  </si>
  <si>
    <t>piscitellijc@gmail.com</t>
  </si>
  <si>
    <t>23780108000140 - JCPCONSULTORIA, REPRESENTAÇÃO E TREINAME</t>
  </si>
  <si>
    <t>EDILSON  FERREIRADASILVA</t>
  </si>
  <si>
    <t>14253678</t>
  </si>
  <si>
    <t>edilsoncombate@hotmail.com</t>
  </si>
  <si>
    <t xml:space="preserve">05278470000135 - </t>
  </si>
  <si>
    <t>INC55354222</t>
  </si>
  <si>
    <t>Nome do Contato: Joelson Cerqueira Batista
Usuário: EMATRANSP
E-mail: gerencia@emanueltransportes.com.br 
Telefone: 27997735233
CNPJ/Razão Social:  11038482000195 - EMANUEL TRANSPORTES E TURISMO LTDA
Fornecedor solicita desbloqueio do usuário EMATRANSP</t>
  </si>
  <si>
    <t>WAINER DO QUINTO CEZAR</t>
  </si>
  <si>
    <t>gerencia@emanueltransportes.com.br</t>
  </si>
  <si>
    <t>11038482000195 - EMANUEL TRANSPORTES E TURISMO LTDA</t>
  </si>
  <si>
    <t>INC55354151</t>
  </si>
  <si>
    <t>CHAT BOT - Acesso portal cadastro</t>
  </si>
  <si>
    <t xml:space="preserve">INC55354151 +553138288901
Nome do Contato: Bruno de Souza Muniz
CNPJ/Razão Social: 24048191000120
CPF: 01190701626
Telefone: 3138288900
E-mail: comercial@muniz.ind.br
Usuário: BRUNODESO54
Oportunidade: 
CHAT BOT - Acesso portal cadastro
BRUNODESO54
BRUNO DE SOUZA MUNIZ
3138288900 bruno@muniz.ind.br 16.02.2025    Desbloqueado
Prezados(a), fornecedor(a) solicita desbloqueio, atualização de validade e atribuições de perfis de seu usuário: BRUNODESO54
</t>
  </si>
  <si>
    <t>'+553138288901</t>
  </si>
  <si>
    <t>BRUNO DE SOUZA MUNIZ</t>
  </si>
  <si>
    <t>BRUNODESO54</t>
  </si>
  <si>
    <t>bruno@muniz.ind.br</t>
  </si>
  <si>
    <t>24048191000120 - MUNIZ INDUSTRIA MECANICA LTDA</t>
  </si>
  <si>
    <t>INC55353809</t>
  </si>
  <si>
    <t xml:space="preserve">Chamado: INC55353809
 Nome do Contato: EDILSON FERREIRA DA SILVA
 Usuário: 14253678
 Telefone: 6235678755
E-mail: edilsoncombate@hotmail.com
CNPJ / Razão Social: 05278470000135 -  COMBATE EXTINTORES LTDA  - EPP
Fornecedor(a) solicitou auxilio para cadastra a linha de fornecimento, o mesmo foi orientado pelo atendimento no passo a passo 
Cadastro na Petrobrás, identificação da empresa ir em fornecimento e clicar em editar fornecimento, o mesmo estava conseguindo adicionar as famílias quando for concluído clicar em confirmar.
Atenciosamente,
Equipe Petronect
</t>
  </si>
  <si>
    <t>Incidentes//Cadastro na Petrobras//Suporte//Identificação//Fornecimento de Bens e Serviços</t>
  </si>
  <si>
    <t>Fornecimento de Bens e Serviços</t>
  </si>
  <si>
    <t>Acesso às  Oportunidades Públicas</t>
  </si>
  <si>
    <t>MARCUS VINICIUS JESUS DA SILVA</t>
  </si>
  <si>
    <t>MJDASILVA</t>
  </si>
  <si>
    <t>comercial@globalfixtech.com.br</t>
  </si>
  <si>
    <t>40769106000179 /GLOBAL FIXTECH COMÉRCIO E SERVIÇOS DE IN</t>
  </si>
  <si>
    <t>INC55353298</t>
  </si>
  <si>
    <t xml:space="preserve">LIGAÇÃO COM QUEDA APÓS SCRIPT INICIAL.
</t>
  </si>
  <si>
    <t>INC55353065</t>
  </si>
  <si>
    <t>CHAT BOT - Ligação Indevida</t>
  </si>
  <si>
    <t xml:space="preserve">INC55353065 +5521959416441
Nome do Contato: Carlos Henrique Delgado Martinelli
CNPJ/Razão Social: 
CPF: 94520100704
Telefone: 21959416441
E-mail: carloshdmartinelli@gmail.com
Usuário: 
Oportunidade: 
CHAT BOT - Ligação Indevida
</t>
  </si>
  <si>
    <t>'+5521959416441</t>
  </si>
  <si>
    <t>Serviços//Cadastro na Petrobras//Suporte//Entrada Indevida//Ligação Indevida</t>
  </si>
  <si>
    <t>Ligação Indevida</t>
  </si>
  <si>
    <t>INC55352711</t>
  </si>
  <si>
    <t>CHAT BOT - Resumo e Confirmação</t>
  </si>
  <si>
    <t xml:space="preserve">INC55352711 +5512991797119
Nome do Contato: lucas almeida
CNPJ/Razão Social: 57297263000121
CPF: 02304213006
Telefone: 12991797119
E-mail: placesolucoes@placesolucoes.ind.br
Usuário: PLACESOLU
Oportunidade: 
CHAT BOT - Resumo e Confirmação
</t>
  </si>
  <si>
    <t>'+5512991797119</t>
  </si>
  <si>
    <t>Incidentes//Cadastro na Petrobras//Suporte//Identificação//Resumo e Confirmação</t>
  </si>
  <si>
    <t>Resumo e Confirmação</t>
  </si>
  <si>
    <t>CYNTHIA NINA NUERNBERG DE ALMEIDA</t>
  </si>
  <si>
    <t>PLACESOLU</t>
  </si>
  <si>
    <t>placesolucoes@placesolucoes.ind.br</t>
  </si>
  <si>
    <t>57297263000121 - PLACE SOLUCOES INDUSTRIAIS E ENGENHARIA</t>
  </si>
  <si>
    <t>INC55352682</t>
  </si>
  <si>
    <t>Nome do Contato: Amanda
Usuário: USR0062056
E-mail: amanda@husteel-group.com 
Telefone: +8618374293071
CNPJ/Razão Social: 91430100396965190J HUNAN STANDARD STEEL CO., LTD
Fornecedora solicita desbloqueio do usuário USR0062056.
Após tratativa favor encaminhar para Compras - HD Fornecedores Inglês</t>
  </si>
  <si>
    <t>Compras - HD Fornecedores Inglês</t>
  </si>
  <si>
    <t>Amanda  Fan</t>
  </si>
  <si>
    <t>amanda@husteel-group.com</t>
  </si>
  <si>
    <t>91430100396965190J HUNAN STANDARD STEEL CO., LTD</t>
  </si>
  <si>
    <t>INC55352627</t>
  </si>
  <si>
    <t>Nome do Contato: Moacir
Usuário: LE.POLTRONA
E-mail: leonardo@poltronaplus.com.br 
Telefone: 27999598928
CNPJ/Razão Social: POLTRONA PLUS VIAGENS E TURISMO LTDA
Fornecedor solicita desbloqueio do usuário LE.POLTRONA</t>
  </si>
  <si>
    <t>Leonardo  Araújo Menezes</t>
  </si>
  <si>
    <t>LE.POLTRONA</t>
  </si>
  <si>
    <t>leonardo@poltronaplus.com.br</t>
  </si>
  <si>
    <t>03241181000136 POLTRONA PLUS VIAGENS E TURISMO LTDA</t>
  </si>
  <si>
    <t>JOAO  BATISTA ALVES JUNIOR</t>
  </si>
  <si>
    <t>TALENTECH</t>
  </si>
  <si>
    <t>licitacoes@tecnologiagto.com.br</t>
  </si>
  <si>
    <t xml:space="preserve"> 15773416000110  -   TALENTECH - TECNOLOGIA LTDA.</t>
  </si>
  <si>
    <t>INC55352428</t>
  </si>
  <si>
    <t>alteração no registro de famílias</t>
  </si>
  <si>
    <t>Chamado criado pelo área interna do Portal 
 Nome do Contato: MARIA CONCEICAO DE SOUSA 
 Usuário: THERMICA2025 
 Telefone: 27998015579 
 E-mail: comercial@thermica.com.br 
 CNPJ: 32454894000186 
 Razão Social THERMICA REFRIGERACAO E AR CONDICIONADO 
 Bom dia, solicito auxilio na forma com devo proceder para fazer alteração nos registros de famílias da minha empresa</t>
  </si>
  <si>
    <t>MARIA  CONCEICAO DE SOUSA</t>
  </si>
  <si>
    <t>INC55352367</t>
  </si>
  <si>
    <t>Desbloqueio de usuario</t>
  </si>
  <si>
    <t>CHAMADO:INC55352367
CNPJ/RAZÃO SOCIAL:27791432000114
DOMINIO SERVICOS E LOCACAOES LTDA
NOME:DIEGO RAPHAEL GASPAR DA SILVA
USUARIO:DOMSERVICES
EMAIL:diego.gaspar@dominioservicos.com
TEL:21997572763
OPORTUNIDADE:
Sr(a) Diego solicita suporte para atualização de validade de usuario e atribuir função administrador.
DOMSERVICES
DIEGO RAPHAEL GASPAR DA SILVA
21997572763 diego.gaspar@dominioservicos.com 11.01.2026   Exibir  Desbloq. (Senha Expirada)</t>
  </si>
  <si>
    <t>DIEGO  RAPHAEL GASPAR DA SILVA</t>
  </si>
  <si>
    <t>DOMSERVICES</t>
  </si>
  <si>
    <t>diego.gaspar@dominioservicos.com</t>
  </si>
  <si>
    <t>27.791.432/0001-14 DOMINIO SERVICOS E LOCACAOES LTDA</t>
  </si>
  <si>
    <t>sirlene.oliveira@Petronect</t>
  </si>
  <si>
    <t>Sirlene Silva Oliveira</t>
  </si>
  <si>
    <t>INC55352347</t>
  </si>
  <si>
    <t>Nome do Contato: urbano lucio esteves junior
Usuário: URBANOEST
E-mail: contato@netbeneficios.com.br 
Telefone: 11932176487
CNPJ/Razão Social: 25136184000142 - NET BENEFICIOS LTDA
Fornecedor solicita desbloqueio do usuário URBANOEST</t>
  </si>
  <si>
    <t>URBANO LUCIO ESTEVES JUNIOR</t>
  </si>
  <si>
    <t>URBANOEST</t>
  </si>
  <si>
    <t>contato@netbeneficios.com.br</t>
  </si>
  <si>
    <t>25136184000142 - NET BENEFICIOS LTDA</t>
  </si>
  <si>
    <t>Wellcon Treinamento e Consultoria</t>
  </si>
  <si>
    <t>wellcon@wellcon.com.br</t>
  </si>
  <si>
    <t>02665128000108 - WELLCON TREINAMENTO E CONSULTORIA</t>
  </si>
  <si>
    <t>Indisponível</t>
  </si>
  <si>
    <t>INC55351978</t>
  </si>
  <si>
    <t>Nome do Contato: Eduardo de Jesus
Usuário: AIRTEC.OFF
E-mail: airtecoffshore@gmail.com 
Telefone: 21968645760
CNPJ/Razão Social: 22604007000155 - AIRTEC OFF SHORE DO BRASIL LTDA -
Fornecedor solicita desbloqueio do usuário AIRTEC.OFF</t>
  </si>
  <si>
    <t>Eduardo de Jesus</t>
  </si>
  <si>
    <t>AIRTEC.OFF</t>
  </si>
  <si>
    <t>airtecoffshore@gmail.com</t>
  </si>
  <si>
    <t>22604007000155 - AIRTEC OFF SHORE DO BRASIL LTDA -</t>
  </si>
  <si>
    <t>INC55351865</t>
  </si>
  <si>
    <t>Usuário/Senha</t>
  </si>
  <si>
    <t>Chamado criado pela área externa do Portal 
 Nome do Contato: Fernando Lorencon 
 Usuário:  
 Telefone: 41999171447 
 E-mail: fernando@kirsten.ind.br 
 CNPJ: 01202148000171 
 Razão Social KIRSTEN INDUSTRIA E COMÉRCIO DE MATERIAIS 
 Gostaria de Solicitar a informação do nome do usuário administrador da nossa empresa para que seja possível resgatarmos a senha de acesso.</t>
  </si>
  <si>
    <t>Rafael Kirsten</t>
  </si>
  <si>
    <t>felipe.cristiano@kirsten.ind.br</t>
  </si>
  <si>
    <t>01202148000171 - KIRSTEN INDUSTRIA E COMERCIO DE MATERIAI</t>
  </si>
  <si>
    <t>INC55351833</t>
  </si>
  <si>
    <t>Ampliação/Recuperação de fornecimento</t>
  </si>
  <si>
    <t>Oportunidade NENHUMA 
 Chamado criado pelo área interna do Portal 
 Nome do Contato: VICTOR STERZIK 
 Usuário: USR0070800 
 Telefone: 31 3378-6222  31 98412-9396 
 E-mail: comercial@treffer.com.br 
 CNPJ: 04377209000120 
 Razão Social TREFFER TECNOLOGY - INDUSTRIA, COMERCIO 
 Gostaria de fazer a inclusão da seguinte família para fornecimento:
S-13 - Engenharia Submarina -&gt; [PQ] Inspeção de dutos rígidos submarinos</t>
  </si>
  <si>
    <t>VICTOR STERZIK</t>
  </si>
  <si>
    <t>comercial@treffer.com.br</t>
  </si>
  <si>
    <t>04377209000120 - TREFFER TECNOLOGY - INDUSTRIA, COMERCIO</t>
  </si>
  <si>
    <t>INC55351545</t>
  </si>
  <si>
    <t>loguine senha</t>
  </si>
  <si>
    <t>Chamado criado pela área externa do Portal 
 Nome do Contato: RAQUEL 
 Usuário:  
 Telefone: 79999123560 
 E-mail: filtros&amp;cia@infonet.com 
 CNPJ: 02354394000101 
 Razão Social FILTROS E CIA 
 não estamos conseguindo recuperar senha</t>
  </si>
  <si>
    <t>Raquel Gomes</t>
  </si>
  <si>
    <t>anildamachado@infonet.com.br</t>
  </si>
  <si>
    <t>02354394000101 - FILTROS E CIA LTDA</t>
  </si>
  <si>
    <t>INC55351539</t>
  </si>
  <si>
    <t>Não recebendo Senha de segunda etapa</t>
  </si>
  <si>
    <t>Nome do Contato: Mayara Figueiredo 
Usuário: _VIVACI2026
Telefone: 5533991000710
E-mail: contato@vivaciconsultoria.com.br 
CNPJ / Razão Social: 21691083000182
Fornecedor informa não receber o código de segunda etapa de segurança.
Foi solicitado o e-mail com a busca Petronect onde não contas os e-mail nem na caixa de spam e foi orientada a verificar se o meia tem algum bloqueio de caracteres especial.</t>
  </si>
  <si>
    <t>Eduardo BuzimJúnior</t>
  </si>
  <si>
    <t>contato@vivaciconsultoria.com.br</t>
  </si>
  <si>
    <t xml:space="preserve">21691083000182 - </t>
  </si>
  <si>
    <t>comercial.bgfort@gmail.com</t>
  </si>
  <si>
    <t>INC55351404</t>
  </si>
  <si>
    <t>Informações</t>
  </si>
  <si>
    <t xml:space="preserve">
Chat – Canal Fornecedor:  https://canalfornecedor.petrobras.com.br/pt/atendimento-ao-fornecedor/ </t>
  </si>
  <si>
    <t>INC55334675</t>
  </si>
  <si>
    <t>INC55351112</t>
  </si>
  <si>
    <t xml:space="preserve">INC55351112 +5522992589376
Nome do Contato: bruno da silva santos
CNPJ/Razão Social: 23547609000180
CPF: 12322583774
Telefone: 22992589376
E-mail: bruno@globaltecoofshore.com.br
Usuário: BRUNO007
Oportunidade: 
CHAT BOT - Redefinição de Senha
</t>
  </si>
  <si>
    <t>'+5522992589376</t>
  </si>
  <si>
    <t>BRUNO DA SILVA SANTOS</t>
  </si>
  <si>
    <t>bruno@globaltecoffshore.com.br</t>
  </si>
  <si>
    <t>23547609000180 - GLOBALTEC COMERCIO E EQUIPAMENTOS INDUST</t>
  </si>
  <si>
    <t>INC55350631</t>
  </si>
  <si>
    <t xml:space="preserve">Nome de contato: UEIGLAS CARDOSO VANDERLEI
Usuário: UEIGLAS.TA
Telefone: (11) 2413-2000 RAMAL 3528     
E-mail: ueiglas.vanderlei@acotubo.com.br  
CNPJ/Razão social: 33150053000733 ACOTUBO SOLUCOES EM ACO LTDA
</t>
  </si>
  <si>
    <t>INC55350593</t>
  </si>
  <si>
    <t>Atualização do boleto da assinatura Petronect</t>
  </si>
  <si>
    <t>Nome do Contato: SOFIA PUCCINELLI SALIM FERES 
 Usuário: PANAMETRICS2 
 Telefone: 19998502007 
 E-mail: sofia.feres@bakerhughes.com 
 CNPJ: 61030878000164 
 Razão Social PANAMETRICS SENSING TECHNOLOGY DO BRASIL 
Descrição do problema: Prezados, favor verificar a solicitação do fornecedor, conforme manifestação 8001443031.
Prezados,
Nosso boleto da assinatura do Petronect venceu, foi dito no chamado INC55198830 que após 21 dias do boleto vencido, o portal geraria outro com uma nova taxa de vencimento, contudo, já se passou 30 dias e ainda não conseguimos gerar um novo boleto com uma data valida para o pagamento, ainda aparece o mesmo vencido.
Poderiam por favor atualizar e gerar um novo boleto com uma data de pagamento valida?
Isso est[a nos impactando muito pois n'ao estamos conseguindo visualizar muitas oportunidade publicas.
Atenciosamente,
Sofia P. S. Feres
Sales Specialist
Panametrics Flow &amp; ProcessAnalyzers 
M +55 19 97154-9557</t>
  </si>
  <si>
    <t>8001443031</t>
  </si>
  <si>
    <t>SOFIA PUCCINELLI SALIM FERES</t>
  </si>
  <si>
    <t>PANAMETRICS2</t>
  </si>
  <si>
    <t>sofia.feres@bakerhughes.com</t>
  </si>
  <si>
    <t>61030878000164 -  PANAMETRICS SENSING TECHNOLOGY DO BRASIL</t>
  </si>
  <si>
    <t>PNEGLEAO@Petronect</t>
  </si>
  <si>
    <t>Gabriely Leao</t>
  </si>
  <si>
    <t>Reclamação</t>
  </si>
  <si>
    <t>INC55350367</t>
  </si>
  <si>
    <t>Sócio Fornecedor</t>
  </si>
  <si>
    <t>Nome do Contato: RICHARD  BENETTI
Usuário: GALB.INNT
Telefone: 021988643766
E-mail: richard.benetti@inntelectus.com.br
CNPJ/Razão Social: 27987466000189 - GALBEG GROUTING EIRELI
Descrição do problema: Prezados, favor verificar a solicitação do fornecedor, conforme manifestação 8001442586. 
Bom dia
Recebemos um e-mail sobre as mudanças no Sócio Fornecedor:
"Comunicamos que, a partir de 01/02/2025, haverá uma atualização no formato de pagamento da taxa de acesso, com o objetivo de adequar o modelo de cobrança. Atualmente, o fornecedor pode escolher o pagamento da taxa em mensalidades de 1 a 6 meses. Esse formato será gradualmente ajustado, conforme o cronograma abaixo:
✅Até janeiro de 2026: mantém-se a possibilidade de escolha entre os formatos vigentes.
➡️A partir de fevereiro de 2026: o parcelamento disponível passará a ser de até 5 meses de assinatura.
➡️Entre fevereiro e junho de 2026: ocorrerá a redução progressiva do número de meses de assinatura.
➡️A partir de junho de 2026: o pagamento da taxa de acesso será realizado em parcela única.
##Essa mudança tem como finalidade a adequação do formato de pagamento da taxa, a partir do segundo semestre de 2026. Reforçamos que todas as alterações serão aplicadas de forma gradual, permitindo que os fornecedores se organizem com antecedência."
Nossa dúvida: a partir de junho como será a validade da parcela única? Será semestral ou anual?</t>
  </si>
  <si>
    <t>8001442586</t>
  </si>
  <si>
    <t>Incidentes//Cadastro na Petrobras//Suporte//Sócio Fornecedor//Informações Taxa de Acesso</t>
  </si>
  <si>
    <t>Informações Taxa de Acesso</t>
  </si>
  <si>
    <t>RICHARD  BENETTI</t>
  </si>
  <si>
    <t>GALB.INNT</t>
  </si>
  <si>
    <t>richard.benetti@inntelectus.com.br</t>
  </si>
  <si>
    <t>27987466000189 - GALBEG GROUTING EIRELI</t>
  </si>
  <si>
    <t>INC55350122</t>
  </si>
  <si>
    <t>CHAT BOT - Visualização de chamados</t>
  </si>
  <si>
    <t>INC55350122 +5511995736567
Nome do Contato: Nicolas Azevedo Santos da Silva
CNPJ/Razão Social: 07910191000178
CPF: 52287139800
Telefone: 1121554000
E-mail: Cotacao@wmfts.com
Usuário: WATSON2025
Oportunidade: 7004555435
CHAT BOT - Visualização de chamados
Aquisição de  Bomba dosadora API 675 7004555435 Petróleo Brasileiro S. A. DFINRI-SUPRIMENTOS Ativo Licitação Púb. Item 23.01.2026 20:00:00 07.02.2026 20:00:00 Sim</t>
  </si>
  <si>
    <t>'+5511995736567 / 7004555435 /INC55337714</t>
  </si>
  <si>
    <t>Incidentes//Cadastro na Petrobras//Suporte//Fale Conosco//Visualização de chamados</t>
  </si>
  <si>
    <t>CRISTIANO  SCHIMIDT</t>
  </si>
  <si>
    <t>cotacao@wmfts.com</t>
  </si>
  <si>
    <t>07910191000178 - WATSON-MARLOW BREDEL INDUSTRIA E COMERCI</t>
  </si>
  <si>
    <t>INC55350099</t>
  </si>
  <si>
    <t>Usuario em duplicidade</t>
  </si>
  <si>
    <t>CHAMADO:INC55350099
CNPJ/RAZÃO SOCIAL:18888038000108
4 TUBE COMERCIO IMPORTACAO E EXPORTACAO
NOME:JOAQUIM FERREIRA DE ANDRADE
USUARIO:JUCANDRADE
TEL:21992248868
EMAIL:juca.andrade@4tube.com.br
Prezados,
Sr(a) Joaquim solicita suporte para acessar o Portal pois possui dois usuarios cadastrados.Anteriormente o usuario FORTUBES1 estava bloqueado e mesmo assim ao ser solicitado a confirmação de identidade pelo usuario JUCANDRADE era informado que possuía o usuário FORTUBES1 no cadastro da empresa.No dia 29.01.2026 usuário  FORTUBES1 foi desbloqueado,e ao tentar acessar novamente o mesmo recebe informação de dois usuários cadastrados impossibilitando de acessar o Portal.Fornecedor solicita bloqueio do usuário FORTUBES1,de forma que consiga acessar  JUCANDRADE normalmente.
OBS:Fornecedor precisa acessar a sala de colaboração com urgencia.</t>
  </si>
  <si>
    <t>XX</t>
  </si>
  <si>
    <t>JOAQUIM  FERREIRA DE ANDRADE</t>
  </si>
  <si>
    <t>JUCANDRADE</t>
  </si>
  <si>
    <t>juca.andrade@4tube.com.br</t>
  </si>
  <si>
    <t>18888038000108 - 4 TUBE COMERCIO IMPORTACAO E EXPORTACAO</t>
  </si>
  <si>
    <t>Chamado aberto pela URA
Usuário:CL.PARTICIPA
CPF:25314165791
Taxnum:25314165791
E-mail:cpeevento@terra.com.br
Seu chamado foi registrado. Estamos lhe transferindo para o atendimento especializado.</t>
  </si>
  <si>
    <t>CLAUDIO DE SOUZA PINTO</t>
  </si>
  <si>
    <t>CL.PARTICIPA</t>
  </si>
  <si>
    <t>cpeevento@terra.com.br</t>
  </si>
  <si>
    <t>02883352000168 - PARTICIPACOES E EVENTOS C.S.P. LTDA - ME</t>
  </si>
  <si>
    <t>INC55349720</t>
  </si>
  <si>
    <t>Categorias</t>
  </si>
  <si>
    <t>Chamado criado pelo área interna do Portal 
 Nome do Contato: DAVID LUIZ CONCEICAO DOS SANTOS 
 Usuário: DAVIDLCS 
 Telefone: 1120558999 
 E-mail: vendas9@furoexpress.com 
 CNPJ: 07707181000130 
 Razão Social FUROEXPRESS INDUSTRIA E COMERCIO DE GRAD 
 Somos fabricantes e fornecedores de produtos siderúrgicos como grades de piso, chapas expandidas, perfuradas etc.
Recebemos cotações de produtos que não são do nosso catálogo de fornecimento e poucas cotações dos produtos que fornecemos.
Precisamos de ajuda para saber se estamos vinculados nas categorias corretas de fornecimento.</t>
  </si>
  <si>
    <t xml:space="preserve">8001443082 </t>
  </si>
  <si>
    <t>DAVID LUIZ CONCEICAO DOS SANTOS</t>
  </si>
  <si>
    <t>DAVIDLCS</t>
  </si>
  <si>
    <t>vendas9@furoexpress.com</t>
  </si>
  <si>
    <t>07707181000130 - FUROEXPRESS INDUSTRIA E COMERCIO DE GRAD</t>
  </si>
  <si>
    <t>INC55347097</t>
  </si>
  <si>
    <t>Evaluation Questionaires for Economic</t>
  </si>
  <si>
    <t>Chamado criado pela área interna do Portal 
 Nome do Contato: Jianbin Qiao 
 Usuário: SHANXIANBAO 
 Telefone: +8613613506060 
 E-mail: marketing@sxanbao.com 
 CNPJ: 911409217159674698 
 Razão Social SHANXI ANBAO FORGING CO., LTD. 
 Dear Petronect Team,
We got some problems when we  registing on your portal.Please check the attaches about Step "Economic".
We filled out the dates carefully  from our finiancial statements with 2023 and 2024, and double checked many times, but it still cannot be confirmed.Could please give us some tipps how can we figure it out?
Thanks a lot.
Anbao Group</t>
  </si>
  <si>
    <t>Jianbin  Qiao</t>
  </si>
  <si>
    <t>SHANXIANBAO</t>
  </si>
  <si>
    <t>marketing@sxanbao.com</t>
  </si>
  <si>
    <t>911409217159674698 SHANXI ANBAO FORGING CO., LTD.</t>
  </si>
  <si>
    <t>INC55341838</t>
  </si>
  <si>
    <t>Bloqueio</t>
  </si>
  <si>
    <t>Chamado criado pela área externa do Portal 
 Nome do Contato: Kenio Alves Silva 
 Usuário: K.ASERV 
 Telefone: 79991373679 
 E-mail: afservicos@infonet.com.br 
 CNPJ: 32854986000153 
 Razão Social AFSERVIÇOS LTDA 
 Tentei acesso ao portal para renovação do CRC e consta conta bloqueada.</t>
  </si>
  <si>
    <t>ANTONIO FERNANDES BEZERRA</t>
  </si>
  <si>
    <t>K.ASERV</t>
  </si>
  <si>
    <t>a.f.servicos@hotmail.com</t>
  </si>
  <si>
    <t>32854986000153 - A.F.SERVIÇOS LTDA</t>
  </si>
  <si>
    <t>INC55339677</t>
  </si>
  <si>
    <t xml:space="preserve">Nome do Contato: Neuri Ferreira Andrade
Usuário: METAL_790
E-mail: metal.neuri@gmail.com 
Telefone: 51990152060
CNPJ/Razão Social: 50963574000133
Fornecedora solicita desbloqueio do usuário METAL_790
</t>
  </si>
  <si>
    <t>Neuri  FerreiraAndrade</t>
  </si>
  <si>
    <t>metal.neuri@gmail.com</t>
  </si>
  <si>
    <t>50963574000133</t>
  </si>
  <si>
    <t>Alexsandro Albuquerque</t>
  </si>
  <si>
    <t>JPRECICLAGEM</t>
  </si>
  <si>
    <t>ALEX@JPATRICIOMETAIS.COM.BR</t>
  </si>
  <si>
    <t>12620741000154 - MEDEIROS &amp; COMPANHIA LTDA</t>
  </si>
  <si>
    <t>Roberto Campos Reis</t>
  </si>
  <si>
    <t>RC.BITELA</t>
  </si>
  <si>
    <t>bitela.comercio@uol.com.br</t>
  </si>
  <si>
    <t>02277651000159 - BITELA COMÉRCIO INTERNACIONAL LTDA.</t>
  </si>
  <si>
    <t>MATEUS LEITE DO NASCIMENTO</t>
  </si>
  <si>
    <t>MATEUSLNASC</t>
  </si>
  <si>
    <t>mateus@xistel.com.br</t>
  </si>
  <si>
    <t>64054794000159 - XISTEL TELECOMUNICAÇÕES LTDA ME</t>
  </si>
  <si>
    <t>INC55338904</t>
  </si>
  <si>
    <t>Acesso portal</t>
  </si>
  <si>
    <t xml:space="preserve">Boa tarde, 
Fornecedor (a) solicita auxílio para redefinição de senha.
Foi orientado (a), a refazer procedimento através da aba anônima do navegador Google Chrome, caso problema persistisse, entrar em contato conosco com print da tela contendo o erro.
Fornecedor (a) foi informado (a) que o passo a passo detalhado seria enviado por e-mail. 
Redefinição de senha 
      Fornecedor(a) solicita auxílio para redefinição de senha. 
      Foi orientado passo a passo:
- Clicar em "Esqueceu sua senha ?", confirme os dados, será enviado a senha automática para o e-mail informado.
    • ATENÇÃO: Caso o e-mail não chegue em até 2 horas, favor verificar sua pasta de lixo eletrônico (spam).
    •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OBS: Informamos que a senha redefinida, NECESSITA ser totalmente diferente das anteriores, não conter nenhum caractere semelhante a senha antiga. 
Este chamado será encerrado porém permanecemos a disposição. 
Atenciosamente,
Equipe Petronect.
</t>
  </si>
  <si>
    <t>PERICLES EMANOEL MASCARENHAS MAGALHAES</t>
  </si>
  <si>
    <t>PERICLES.GPS</t>
  </si>
  <si>
    <t>comercialgpstec@gpssa.com.br</t>
  </si>
  <si>
    <t>03695461000386 - GPS TEC SISTEMAS ELETRONICOS DE SEGURANC</t>
  </si>
  <si>
    <t>INC55338878</t>
  </si>
  <si>
    <t xml:space="preserve">Nome de contato:Denise Oliveira
Usuário:USR0071106 dmika.rio@gmail.com 21 99973-9728 
CPF:635.722.737-49
Telefone:19999282713
E-mail:dmika.rio@gmail.com
CNPJ/Razão social:49912199000113 FABRICA DE PAPEL E PAPELAO NOSSA SENHORA DA PENHA S/A
Fornecedor(a) entrou em contato solicitando auxilio para gera  boleto de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Por falta de interação o atendimento está sendo finalizado.
</t>
  </si>
  <si>
    <t>7f195343-a03e-45ca-8d80-249bfd9595f2</t>
  </si>
  <si>
    <t>Denise  Oliverira</t>
  </si>
  <si>
    <t>dmika.rio@gmail.com</t>
  </si>
  <si>
    <t>49912199000113 FABRICA DE PAPEL E PAPELAO NOSSA SENHORA DA PENHA S/A</t>
  </si>
  <si>
    <t>INC55338843</t>
  </si>
  <si>
    <t>AGENCIA E CONTA</t>
  </si>
  <si>
    <t>Chamado criado pelo área interna do Portal 
 Nome do Contato: AGERDAN BARROSO JUNIOR 
 Usuário: AGJ2026 
 Telefone: 92 98140-6825 
 E-mail: shoppingdasaude1@gmail.com 
 CNPJ: 35094501000169 
 Razão Social AGERDAN BARROSO JUNIOR LTDA 
 Prezados, boa tarde. 
Não estou conseguindo cadastrar minha agencia e conta, informa que não existe. Encaminho um comprovante de transferencia, para ciencia. 
Minha agência com correção.
Banco: 237 
Bradesco
Agência: 3736
Conta: 0136150-3</t>
  </si>
  <si>
    <t>Incidentes//Cadastro na Petrobras//Suporte//Identificação//Dados Básicos</t>
  </si>
  <si>
    <t>Dados Básicos</t>
  </si>
  <si>
    <t>AGERDAN BARROSO JUNIOR</t>
  </si>
  <si>
    <t>shoppingdasaude1@gmail.com</t>
  </si>
  <si>
    <t>35094501000169 -  AGERDAN BARROSO JUNIOR LTDA</t>
  </si>
  <si>
    <t>INC55338787</t>
  </si>
  <si>
    <t>Ligação muda</t>
  </si>
  <si>
    <t xml:space="preserve">Ligação muda após o script inicial.
</t>
  </si>
  <si>
    <t>INC55338775</t>
  </si>
  <si>
    <t xml:space="preserve">Nome de contato: LAERCIO CUBEIRO MENAS
Usuário: SETELED7LED
Telefone: 21988611999    
E-mail: seteled@seteled.com.br  
CNPJ/Razão social: 19073252000179 SETELED TELECOMUNICAÇÕES E SERVIÇOS LTDA
Fornecedor solicita desbloqueio do usuário e a atribuição do perfil de admnistrador, o mesmo encontra-se expirado.
21988611999 26.05.2024 Bloqueado  seteled@seteled.com.br 
SETELED7LED
Exibir  
LAERCIO CUBEIRO MENAS
</t>
  </si>
  <si>
    <t>8001443038</t>
  </si>
  <si>
    <t>LAERCIO CUBEIRO MENAS</t>
  </si>
  <si>
    <t>SETELED7LED</t>
  </si>
  <si>
    <t>seteled@seteled.com.br</t>
  </si>
  <si>
    <t>19073252000179/SETELED TELECOMUNICAÇÕES E SERVIÇOS LTDA</t>
  </si>
  <si>
    <t>INC55338770</t>
  </si>
  <si>
    <t>Nome do Contato: Marcus Vennícios Rocha Lopes
Usuário: ROCH.ADM0012
E-mail: rochacontrols@gmail.com 
Telefone: 61995497007
CNPJ/Razão Social: 14417648000172 ROCHA CONTROLS MONTAGEM E SERV.
Fornecedor solicita desbloqueio do usuário ROCH.ADM0012</t>
  </si>
  <si>
    <t>Administrador da empresa  ROCHA CONTROLS MONTAGEM E</t>
  </si>
  <si>
    <t>rochacontrols@gmail.com</t>
  </si>
  <si>
    <t>14417648000172 ROCHA CONTROLS MONTAGEM E SERV.</t>
  </si>
  <si>
    <t>carta modelo</t>
  </si>
  <si>
    <t>KEILA MACEDO FIGUEIREDO FERREIRA</t>
  </si>
  <si>
    <t>pdstransportadora@gmail.com</t>
  </si>
  <si>
    <t>40996353000108 -  PDS EMPREENDIMENTOS E SERVIÇOS LTDA</t>
  </si>
  <si>
    <t>INC55338587</t>
  </si>
  <si>
    <t>ENC: H.C.I HIDRAULICA CONEXOES INDUSTRIAIS LT (62.312.426/0007-23)</t>
  </si>
  <si>
    <t>Boa tarde a todos !  Podem verificar por favor ?
Estamos abrindo processo de renovação de ISO para o fornecedor HCI e a Petronect realiza um processo de reprovação automática logo em seguida.
Abri o processo 3001211540, somente com as 13 famílias elegíveis para renovação de ISSO e somente com o questionário SGQ aberto para o fornecedor.
Após o fornecedor responder, o processo de reprovação de ISO foi criado (3001206074) automaticamente.
Peço ajuda para realizar a renovação de ISO desse fornecedor
Atenciosamente,
Dino Octavio Junior
SUPRIMENTOS/RMF/DQF/GCF</t>
  </si>
  <si>
    <t>Incidentes//Cadastro na Petrobras//Suporte//Processos, Avaliação e Resultados//Gestão de Processos</t>
  </si>
  <si>
    <t>Gestão de Processos</t>
  </si>
  <si>
    <t>INC55338452</t>
  </si>
  <si>
    <t>Questionários</t>
  </si>
  <si>
    <t xml:space="preserve">Sua solicitação será encerrada e o tratamento será redirecionado para área responsável através do protocolo 8001443043.
</t>
  </si>
  <si>
    <t>Cadastro - HD Receptivo</t>
  </si>
  <si>
    <t>Incidentes//Cadastro na Petrobras//Suporte//Questionários</t>
  </si>
  <si>
    <t>LEONARDO PEREIRA ROXA</t>
  </si>
  <si>
    <t>LEONARDOR</t>
  </si>
  <si>
    <t>leonardo.roxa@apssolucoes.com</t>
  </si>
  <si>
    <t>04031962000169 / APS COMPONENTES ELETRICOS SA</t>
  </si>
  <si>
    <t>INC55338386</t>
  </si>
  <si>
    <t xml:space="preserve">Nome do Contato: Isaque Jônatas Costa Moraes
Usuário: JPRECICLAGEM 
E-mail: alex@jpatriciometais.com.br 
Telefone: 84999826692
CNPJ/Razão Social: 12620741000154 - MEDEIROS &amp; COMPANHIA LTDA
Fornecedor solicita desbloqueio do usuário JPRECICLAGEM </t>
  </si>
  <si>
    <t>INC55338243</t>
  </si>
  <si>
    <t xml:space="preserve">Nome de contato: Douglas
Usuário: COM.ZHONGDI1
Telefone: 11983096013     
E-mail: comercial@zhongdi.com.br 
CNPJ/Razão social: 20217323000149 ZHONGDI EQUIPAMENTOS DO BRASIL IMPORTAÇÃ
</t>
  </si>
  <si>
    <t>DANIELA  ASSIS DE OLIVEIRA</t>
  </si>
  <si>
    <t>COM.ZHONGDI1</t>
  </si>
  <si>
    <t>comercial@zhongdi.com.br</t>
  </si>
  <si>
    <t>20217323000149 -  ZHONGDI EQUIPAMENTOS DO BRASIL IMPORTAÇÃ</t>
  </si>
  <si>
    <t>INC55338137</t>
  </si>
  <si>
    <t>Registro CRCC</t>
  </si>
  <si>
    <t xml:space="preserve">
Prezados, sua solicitação será encerrada e o tratamento será redirecionado, conforme manifestação 8001443039 </t>
  </si>
  <si>
    <t xml:space="preserve">8001443039 </t>
  </si>
  <si>
    <t>Incidentes//Cadastro na Petrobras//Suporte//Processos, Avaliação e Resultados//Registro CRCC</t>
  </si>
  <si>
    <t>Marco Fabio Ramenzoni</t>
  </si>
  <si>
    <t>ZINGAMETALL</t>
  </si>
  <si>
    <t>vendas@corrgroup.com.br</t>
  </si>
  <si>
    <t>13843984000114 - ZINGA METALL BRASIL COMERCIO DE PRODUTOS</t>
  </si>
  <si>
    <t>tendasreal@tendasreal.com.br</t>
  </si>
  <si>
    <t>05537599000110 - TRANS GG TRANSPORTES E LOGISTICA LTDA -</t>
  </si>
  <si>
    <t>CIDNÉA TONASSE BIRAL POMPERMAYER</t>
  </si>
  <si>
    <t>CIDNEA1</t>
  </si>
  <si>
    <t>Em andamento</t>
  </si>
  <si>
    <t>INC55337831</t>
  </si>
  <si>
    <t xml:space="preserve">Segue o resumo do atendimento: Sra. Cristiane informa que é funcionária da Petrobras e não possui CNPJ. Orientada a entrar em contato com a Petrobrás: 0800 728 9001
</t>
  </si>
  <si>
    <t>INC55337827</t>
  </si>
  <si>
    <t>Electronic Quotes Folder is not opening</t>
  </si>
  <si>
    <t>Nome do Contato: YULIA  FED
Usuário: YULIA123
Telefone: +971501464547
E-mail:  yulia@thesharkholding.com
CNPJ/Razão Social: 100057424200001 - SHARK CONSULTING FZ LLC
Oportunidade: xxx
Descrição do problema: Prezados, favor verificar a solicitação do fornecedor, conforme manifestação   8001442759.
Dear Srs., it seems there is an issue with the access to the folder Electronic Quotes. All other folders in the row can be opened except Electronic Quotes. I need to be able to access this folder also. When I try to access it, nothing happens, the page remains in the previously selected one. Thank you</t>
  </si>
  <si>
    <t>8001442759</t>
  </si>
  <si>
    <t>Yulia Fedorova</t>
  </si>
  <si>
    <t>YULIA123</t>
  </si>
  <si>
    <t>yulia.fedorova@sharkconsultingfze.com</t>
  </si>
  <si>
    <t>100057424200001 - SHARK CONSULTING FZ LLC</t>
  </si>
  <si>
    <t>INC55337714</t>
  </si>
  <si>
    <t>Senha provisória</t>
  </si>
  <si>
    <t>Nome do Contato: Nicolas Azevedo Santos da Silva
Usuário: WATSON2025
E-mail: cotacao@wmfts.com 
Telefone: 11995736567
CNPJ/Razão Social: 07910191000178 - WATSON-MARLOW BREDEL INDUSTRIA E COMERCI
Fornecedor não recebe a senha do usuário WATSON2025. Foi orientado a incluir petronect@petronect.com.br como remetente confiável, verificar se há alguma regra de bloqueio para caracteres especiais e verificar a pasta spam e o lixo eletrônico. O mesmo fez as verificações e solicitou o envio de uma nova senha. Ao aguardar o prazo de 2 horas, a senha não chegou, por tanto o mesmo entrou em contato novamente.
Favor verificar se há alguma falha no envio da senha para o e-mail cotacao@wmfts.com e anexar o log.
Aquisição de  Bomba dosadora API 675 7004555435 Petróleo Brasileiro S. A. DFINRI-SUPRIMENTOS Ativo Licitação Púb. Item 23.01.2026 20:00:00 07.02.2026 20:00:00 Sim</t>
  </si>
  <si>
    <t>7004555435</t>
  </si>
  <si>
    <t>INC55337568</t>
  </si>
  <si>
    <t>Ampliação/ Recuperação Fornecimento</t>
  </si>
  <si>
    <t>Chamado criado pelo área interna do Portal 
 Nome do Contato: SIMONE GOMES DOS SANTOS 
 Usuário: SIMO.ADM0004 
 Telefone: +5571991146961 
 E-mail: juarez@camacarimangueiras.com.br 
 CNPJ: 11263604000147 
 Razão Social CAMACARI MANGUEIRAS EIRELI - ME 
 Segue anexo Famílias para inclusão no Cadastro Petronect</t>
  </si>
  <si>
    <t>Simone Gomes dos Santos</t>
  </si>
  <si>
    <t>camacarimangueiras@bol.com.br</t>
  </si>
  <si>
    <t>11263604000147 - CAMACARI MANGUEIRAS EIRELI - ME</t>
  </si>
  <si>
    <t>INC55337308</t>
  </si>
  <si>
    <t>Acesso com erro</t>
  </si>
  <si>
    <t>Chamado criado pela área externa do Portal 
 Nome do Contato: José Eduardo Paladino 
 Usuário:  
 Telefone: 21 96454-2123 
 E-mail: jose.paladino@wilhelmsen.com 
 CNPJ: 42.586.974/0024-35 
 Razão Social  
 Estamos com dificuldade ao acessar o portal com o usuário WSSCUSTOMERS, já alteramos senha, mas seguimos com o mesmo erro</t>
  </si>
  <si>
    <t xml:space="preserve">DANIEL  DE OLIVEIRA GOMES </t>
  </si>
  <si>
    <t>PEDROESTEV39</t>
  </si>
  <si>
    <t>wss.cs.sam.products@wilhelmsen.com</t>
  </si>
  <si>
    <t xml:space="preserve">42586974002435  -  WILHELMSEN SHIPS SERVICE DO BRASIL LTDA </t>
  </si>
  <si>
    <t>INC55337305</t>
  </si>
  <si>
    <t xml:space="preserve">INC55336478 / INC55337305 +5531997343255
Nome do Contato: Daniela Fonseca Queiroz
CNPJ/Razão Social: 20237590000188
CPF: 05674982635
Telefone: 31997343255
E-mail: marcioflopes@uol.com.br
Usuário: MARCIOFLOPES
Oportunidade: 
CHAT BOT - Acesso portal cadastro
</t>
  </si>
  <si>
    <t xml:space="preserve">'+5531997343255 / INC55336478 </t>
  </si>
  <si>
    <t>Márcio Francisco Lopes</t>
  </si>
  <si>
    <t>MARCIOFLOPES</t>
  </si>
  <si>
    <t>marcio@bufalo.ind.br</t>
  </si>
  <si>
    <t>20237590000188 - BUFALO FERRAMENTAS LIMITADA</t>
  </si>
  <si>
    <t>INC55337296</t>
  </si>
  <si>
    <t xml:space="preserve">INC55337296 +5521998568040
Nome do Contato: DENILDO NUNES DE MACEDO
CNPJ/Razão Social: 25208572000191
CPF: 529.438.017-04
Telefone: 21984129435
E-mail: powerstartenergy67@gmail.com / powerstartenergy67@gmail.com
Usuário: DENILDONUNES
Oportunidade: 
CHAT BOT - Acesso portal cadastro
</t>
  </si>
  <si>
    <t>'+5521998568040</t>
  </si>
  <si>
    <t>Denildo  Macedo</t>
  </si>
  <si>
    <t>DENILDONUNES</t>
  </si>
  <si>
    <t>powerstartnergv67@gmail.com</t>
  </si>
  <si>
    <t xml:space="preserve">25208572000191 - </t>
  </si>
  <si>
    <t>INC55337241</t>
  </si>
  <si>
    <t>Nome do Contato: Flavia Cristiane Bruno de Castro
Usuário: USR0059632
E-mail: waldir@transf-saocarlos.com.br 
Telefone: 16997699947
CNPJ/Razão Social: 62012117000142 - TRANSFORMADORES SAO CARLOS LTDA
Fornecedora solicita desbloqueio do usuário USR0059632</t>
  </si>
  <si>
    <t>Waldir Marques</t>
  </si>
  <si>
    <t>waldir@transf-saocarlos.com.br</t>
  </si>
  <si>
    <t>62012117000142 - TRANSFORMADORES SAO CARLOS LTDA</t>
  </si>
  <si>
    <t>INC55336851</t>
  </si>
  <si>
    <t>Chamado:  INC55336851
 Nome do Contato: JESSICA LUDOVINO DE OLIVEIRA
 Usuário: COMPOSITIS
 Telefone: 19-30520604
E-mail: licita1@compositis.com.br
CNPJ / Razão Social: 30407297000175  - COMPOSITIS FABRICAÇÃO E COMERCIO DE EQUI
Fornecedor(a)  solicitou auxilio para o desbloqueio de seu usuário que expirou no dia 18/02/2024 e aderi ao perfil de administrador.
COMPOSITIS
JESSICA LUDOVINO DE OLIVEIRA
19-30520604 18.02.2024    Bloqueado Exibir  licita1@compositis.com.br</t>
  </si>
  <si>
    <t>JESSICA  LUDOVINO DE OLIVEIRA</t>
  </si>
  <si>
    <t>COMPOSITIS</t>
  </si>
  <si>
    <t>licita1@compositis.com.br</t>
  </si>
  <si>
    <t>30407297000175  - COMPOSITIS FABRICAÇÃO E COMERCIO DE EQUI</t>
  </si>
  <si>
    <t xml:space="preserve">Redefinição de senha </t>
  </si>
  <si>
    <t>INC55336747</t>
  </si>
  <si>
    <t>Redefinição de senha</t>
  </si>
  <si>
    <t xml:space="preserve">Nome de contato: Márcia B Borges 
Usuário: USR0045178
Telefone: 21 35255100    
E-mail: marciabrazao@superquip.com.br  
CNPJ/Razão social: 01101348 CONTROL SEAL B.V.
Fornecedor solicita desbloqueio do usuário e a atribuição do perfil de admnistrador, o mesmo encontra-se expirado.
USR0045178
Márcia B Borges
21 35255100 marciabrazao@superquip.com.br 18.01.2026   Exibir  Desbloqueado </t>
  </si>
  <si>
    <t>Márcia B Borges</t>
  </si>
  <si>
    <t>marciabrazao@superquip.com.br</t>
  </si>
  <si>
    <t>01101348 - CONTROL SEAL B.V.</t>
  </si>
  <si>
    <t>INC55336738</t>
  </si>
  <si>
    <t>Validação de ECNPJ</t>
  </si>
  <si>
    <t>lterrra@gmail.com
Boa tarde, prezados.
Chamado: INC55336738
Orientamos que acesse através de um computador com o sistema operacional Windows e navegador Google Chrome para uma melhor performance no portal.
Segue abaixo as orientações para realizar a validação do e-CNPJ.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Atenciosamente,
Equipe Petronect.</t>
  </si>
  <si>
    <t>LEANDRO  BARBOSA TERRA</t>
  </si>
  <si>
    <t>LTERRACPB</t>
  </si>
  <si>
    <t>terra@expansaoconsultoria.com.br</t>
  </si>
  <si>
    <t>40387181000175</t>
  </si>
  <si>
    <t>MAYARA SILVIA OLIVEIRA</t>
  </si>
  <si>
    <t>vip1@astm.com.br</t>
  </si>
  <si>
    <t>63034847000107 - ASTM ACESSORIOS SERVICOS TECNICOS METALU</t>
  </si>
  <si>
    <t>BRUNO SCHMIDT VIEIRA</t>
  </si>
  <si>
    <t>BRUN.EMPLASU</t>
  </si>
  <si>
    <t>vendas@emplasul.com.br</t>
  </si>
  <si>
    <t>06317181000160 - EMPLASUL TRANSPORTE E COMERCIO</t>
  </si>
  <si>
    <t>INC55336258</t>
  </si>
  <si>
    <t>Perdemos o acesso aos usuários.</t>
  </si>
  <si>
    <t>Chamado criado pela área externa do Portal 
 Nome do Contato: André Luis de Souza Cruz Barbosa 
 Usuário:  
 Telefone: 21 98593 3047 
 E-mail: andreluis.barbosa@siemens-energy.com 
 CNPJ: 12300 
 Razão Social SIEMENS AG, ENERGY OIL &amp; GAS DIVISION 
 Boa tarde, espero que estejam bem. Necessito de ajuda, por favor, com o acesso dessa conta da Siemens Energy. A Siemens Energy se separou do grupo Siemens em 2020, então não possuímos mais acesso a nenhum e-mail que seja @siemens, somente @siemens-energy. Poderiam checar, por favor, se há algum usuário administrador que conseguimos acessar? Caso não conseguirmos acessar o e-mail de nenhum usuário, como poderemos recuperar o acesso à conta? Muito obrigado.</t>
  </si>
  <si>
    <t>Jose Tercio</t>
  </si>
  <si>
    <t>jose.tercio@siemens.com</t>
  </si>
  <si>
    <t>12300 - SIEMENS AG, ENERGY OIL &amp; GAS DIVISION</t>
  </si>
  <si>
    <t>INC55336088</t>
  </si>
  <si>
    <t>CHAT BOT - Abertura de chamados (Analista)</t>
  </si>
  <si>
    <t xml:space="preserve">INC55336088 +5571996669988
Nome do Contato: Nathan Costa
CNPJ/Razão Social: 12539999000120
CPF: 06618345570
Telefone: 71996669988
E-mail: nathanxp1999@gmail.com
Usuário: NATHAN99
Oportunidade: 
CHAT BOT - Abertura de chamados (Analista)
</t>
  </si>
  <si>
    <t>'+5571996669988</t>
  </si>
  <si>
    <t>Incidentes//Cadastro na Petrobras//Suporte//Relacionamento//Abertura de chamados (Analista)</t>
  </si>
  <si>
    <t>Abertura de chamados (Analista)</t>
  </si>
  <si>
    <t>NATHAN HARAHEL COSTA DE CASTRO SOUZA</t>
  </si>
  <si>
    <t>NATHAN99</t>
  </si>
  <si>
    <t>nathanxp1999@gmail.com</t>
  </si>
  <si>
    <t>12539999000120 - TRANSPORTADORA OLIVEIRAMORAIS</t>
  </si>
  <si>
    <t>INC55335867</t>
  </si>
  <si>
    <t>Certificado de Registro Cadastral</t>
  </si>
  <si>
    <t>Chamado criado pelo área interna do Portal 
 Nome do Contato: KEILA MACEDO FIGUEIREDO FERREIRA 
 Usuário: PDS2020 
 Telefone: 75982829313 
 E-mail: pdstransportadora@gmail.com 
 CNPJ: 40996353000108 
 Razão Social PDS EMPREENDIMENTOS E SERVIÇOS LTDA 
 No dia 23/01/2026 finalizei o cadastro de fornecedores junto a petrobrás. Gostaria de saber qual os próximos passos para obter o certificado de registro cadastral?
Razão social: PDS Empreendimentos e serviços LTDA
CNPJ: 40.996.353/0001-08</t>
  </si>
  <si>
    <t>INC55335754</t>
  </si>
  <si>
    <t xml:space="preserve">Contato da refinaria </t>
  </si>
  <si>
    <t xml:space="preserve">Chamado: INC55335754
Fornecedor(a) entrou em contato para obter informações sobre o contato da refinaria, o mesmo foi informado que não consta nem um cadastro no portal com o cnpj informado, e aqui só auxiliamos no manuseio do portal  
Atenciosamente,
Equipe Petronect
</t>
  </si>
  <si>
    <t>Incidentes//Cadastro na Petrobras//Suporte//Atendimento//Outros</t>
  </si>
  <si>
    <t>INC55335599</t>
  </si>
  <si>
    <t>Ligação muda após o script inicial.</t>
  </si>
  <si>
    <t>INC55335361</t>
  </si>
  <si>
    <t xml:space="preserve">INC55335361 f5348a84-6182-3cad-b2aa-2e357bfc5edd
Nome do Contato: Efraym 8 Peças
CNPJ/Razão Social: 62494907000101
CPF: 13554040703
Telefone: 21999305097
E-mail: adm@efraym8pecasdiesel.com
Usuário: ARIANIZIDR32
Oportunidade: 
CHAT BOT - Redefinição de Senha
</t>
  </si>
  <si>
    <t>f5348a84-6182-3cad-b2aa-2e357bfc5edd</t>
  </si>
  <si>
    <t>ARIAN IZIDRO DE GOUVEA</t>
  </si>
  <si>
    <t>ARIANIZIDR32</t>
  </si>
  <si>
    <t>arian@efraym8pecasdiesel.com</t>
  </si>
  <si>
    <t>62494907000101 - EFRAYM 8 PECAS DIESEL</t>
  </si>
  <si>
    <t>INC55334834</t>
  </si>
  <si>
    <t xml:space="preserve">INC55334834 +5571996734098
Nome do Contato: Eric de Aragão Bonfim
CNPJ/Razão Social: 11813062000139
CPF: 00755191510
Telefone: 71996734098
E-mail: eric@impactosolucoes.com.br
Usuário: ARABONPLAN
Oportunidade: 
CHAT BOT - Acesso portal cadastro
</t>
  </si>
  <si>
    <t>'+5571996734098</t>
  </si>
  <si>
    <t>ERIC DE ARAGAO BONFIM</t>
  </si>
  <si>
    <t>ARABONPLAN</t>
  </si>
  <si>
    <t>eric@impactosolucoes.com.br</t>
  </si>
  <si>
    <t>11813062000139 - ARAGAO BONFIM SERVIÇOS LTDA</t>
  </si>
  <si>
    <t>INC55334709</t>
  </si>
  <si>
    <t>Nome do Contato: Phillippe Cappouilez
Usuário: S.FREITAS
E-mail: stephanye.freitas@sioux.com.br 
Telefone: 83982197851
CNPJ/Razão Social: 00316268000137 - SIOUX SERVIÇO DE INFORMÁTICA LTDA - EPP
Fornecedor solicita desbloqueio do usuário S.FREITAS</t>
  </si>
  <si>
    <t>Stephanye  Freitas</t>
  </si>
  <si>
    <t>S.FREITAS</t>
  </si>
  <si>
    <t>stephanye.freitas@sioux.com.br</t>
  </si>
  <si>
    <t>00316268000137 - SIOUX SERVIÇO DE INFORMÁTICA LTDA - EPP</t>
  </si>
  <si>
    <t>Usuario no existe</t>
  </si>
  <si>
    <t>Oportunidad SIN ACCESO 
 Chamado criado pela área externa do Portal 
 Nome do Contato: JOHN BECERRA 
 Usuário: JOH.RAYCO 
 Telefone: 3105703132 
 E-mail: john.becerra@rayco.co 
 CNPJ:  8604005387
 Razão Social RAYCO 
 He intentado entrar con mi usuario: JOH.RAYCO para realizar la inclusión de los dos nuevos usuarios pero desafortunadamente siempre me dice que el usuario no existe.</t>
  </si>
  <si>
    <t>Compras - HD Fornecedores Espanhol</t>
  </si>
  <si>
    <t>John  Becerra Sanchez</t>
  </si>
  <si>
    <t>JOH.RAYCO</t>
  </si>
  <si>
    <t>john.becerra@rayco.co</t>
  </si>
  <si>
    <t>8604005387 RAYCO LTDA</t>
  </si>
  <si>
    <t>INC55334540</t>
  </si>
  <si>
    <t>INC55334138</t>
  </si>
  <si>
    <t>Reativar e atualizar cadastro</t>
  </si>
  <si>
    <t>Chamado criado pela área externa do Portal 
 Nome do Contato: Andre Macharet 
 Usuário:  
 Telefone: 21976317087 
 E-mail: andre.macharet@siemens-energy.com 
 CNPJ: 117293 
 Razão Social DRESSER-RAND INDIA PRIVATE LIMITED 
 Reativar e atualizar cadastro
Cadastro usuario Admin
Atualizar razao social</t>
  </si>
  <si>
    <t>PAULO CHAVES</t>
  </si>
  <si>
    <t>siepe@siepe.com.br</t>
  </si>
  <si>
    <t>117293 - DRESSER-RAND INDIA PRIVATE LIMITED</t>
  </si>
  <si>
    <t>INC55334112</t>
  </si>
  <si>
    <t>Chamado criado pela área externa do Portal 
 Nome do Contato: Andre Macharet 
 Usuário:  
 Telefone: 21976317087 
 E-mail: andre.macharet@siemens-energy.com 
 CNPJ: 117293 
 Razão Social DRESSER-RAND INDIA PRIVATE LIMITED 
 Reativar e atualizar cadastro
Cadastro de Admin
Alteração de razão social</t>
  </si>
  <si>
    <t>Incidentes//Cadastro na Petrobras//Suporte//Website//Dados de Acesso</t>
  </si>
  <si>
    <t>Dados de Acesso</t>
  </si>
  <si>
    <t>Renata Rissi</t>
  </si>
  <si>
    <t>renata.rissi@siemens.com</t>
  </si>
  <si>
    <t>54127733000110 - DRESSER-RAND DO BRASIL LTDA.</t>
  </si>
  <si>
    <t>INC55333974</t>
  </si>
  <si>
    <t>Inclusão de agência Bancária</t>
  </si>
  <si>
    <t>Chamado criado pelo área interna do Portal 
 Nome do Contato: CAMILA COSTA DA SILVA 
 Usuário: SILVACAMILA 
 Telefone: 11919791277 
 E-mail: ccostadasilva@solenis.com 
 CNPJ: 55720908001303 
 Razão Social SOLENIS ESPECIALIDADES QUÍMICAS LTDA 
 Solicito atualização de dados bancários, conforme abaixo:
Banco Citibank (745) 
Agência 001
Conta corrente 03740951-4 
Avenida Paulista, 1111 – 2º andar, Bela Vista, São Paulo, SP.</t>
  </si>
  <si>
    <t xml:space="preserve">8001443016 </t>
  </si>
  <si>
    <t>ROBSON LUIZ STUMPF</t>
  </si>
  <si>
    <t>ROBSONLS</t>
  </si>
  <si>
    <t>RSTUMPF@solenis.com</t>
  </si>
  <si>
    <t>55720908001303 - SOLENIS ESPECIALIDADES QUÍMICAS LTDA</t>
  </si>
  <si>
    <t>INC55333862</t>
  </si>
  <si>
    <t>Cadastramento de Familias</t>
  </si>
  <si>
    <t>Chamado criado pelo área interna do Portal 
 Nome do Contato: MARCOS BASTOS GOMES 
 Usuário: MARCOSBG 
 Telefone: 2819178156 
 E-mail: marcos.gomes@interserviceusa.com 
 CNPJ: 980443088 
 Razão Social INTERSERVICE LLC 
 Ola,
Gostaria de cadastrar as familias abaixo para receber oportunidades de fornecimento.
98010026
98010388
98010674
98010696
98010726</t>
  </si>
  <si>
    <t>MARCOS BASTOS GOMES</t>
  </si>
  <si>
    <t>MARCOSBG</t>
  </si>
  <si>
    <t>marcos.gomes@interserviceusa.com</t>
  </si>
  <si>
    <t>98-0443088 -  INTERSERVICE LLC</t>
  </si>
  <si>
    <t>Alteração no modelo de cobrança</t>
  </si>
  <si>
    <t>DANIELA SANTORO AMIN RIBEIRO</t>
  </si>
  <si>
    <t>comercial@gruposavvy.com</t>
  </si>
  <si>
    <t>12966492000153 - SAVVY SERVICOS EIRELI</t>
  </si>
  <si>
    <t>INC55333783</t>
  </si>
  <si>
    <t>Chamado criado pela área externa do Portal 
 Nome do Contato: Renata Gama 
 Usuário: USR0070150 
 Telefone: (71)996909141 
 E-mail: assistente.comercial@gruposavvy.com 
 CNPJ: 12966492000153 
 Razão Social SAVVY SERVICOS LTDA 
 Prezado, recebi um e-mail informando sobre alterações gradativas que irão ocorrer no modelo de cobrança ao fornecedor para participar da plataforma Petronect.
Irá ocorrer alteração no valor cobrado?
As alterações de cobrança nos impactará e ou se teremos que realizar ajustes para comunicar o financeiro?
Desde já agradeço a colaboração,</t>
  </si>
  <si>
    <t>INC55333740</t>
  </si>
  <si>
    <t>Reativação de Cadastro</t>
  </si>
  <si>
    <t>Chamado criado pela área externa do Portal 
 Nome do Contato: Alex Setime 
 Usuário:  
 Telefone: 21993800961 
 E-mail: alex.emites@gmail.com 
 CNPJ: 0009138200106 
 Razão Social  
 Reativação de cadastro na Petrobras</t>
  </si>
  <si>
    <t>Denis Spaler</t>
  </si>
  <si>
    <t>DENIS-OPCAO</t>
  </si>
  <si>
    <t>denis.spaler@opcaofretur.com.br</t>
  </si>
  <si>
    <t xml:space="preserve">00091382000106 - </t>
  </si>
  <si>
    <t>INC55333721</t>
  </si>
  <si>
    <t>Nome do Contato: Manuela Daltro Pinto Guerra
Usuário: USR0068621
E-mail: licitacaoprolin@gmail.com 
Telefone: 71999126924
CNPJ/Razão Social: 13125158000130 - PROLIN LTDA - ME
Fornecedor solicita desbloqueio do usuário USR0068621</t>
  </si>
  <si>
    <t>MANUEL  ALENCAR DA SILVA</t>
  </si>
  <si>
    <t>licitacaoprolin@gmail.com</t>
  </si>
  <si>
    <t>13125158000130 - PROLIN LTDA - ME</t>
  </si>
  <si>
    <t>INC55333576</t>
  </si>
  <si>
    <t>ACESSO AO PORTAL PETRONECT</t>
  </si>
  <si>
    <t>Chamado criado pela área externa do Portal 
 Nome do Contato: José Eduardo Paladino 
 Usuário:  
 Telefone: 21 96454-2123 
 E-mail: jose.paladino@wilhelmsen.com 
 CNPJ: 42.586.974/0024-35 
 Razão Social  
 Ao tentar acessar o Portal Petronect, não conseguimos alterar a senha para efetuar o login. Já realizamos várias tentativas de alteração, mas o mesmo erro persiste.
Gostaríamos de saber como proceder para regularizar o acesso.
Agradecemos desde já pela assistência.</t>
  </si>
  <si>
    <t>INC55333436</t>
  </si>
  <si>
    <t>Abertura dos questionários</t>
  </si>
  <si>
    <t>Chamado criado pelo área interna do Portal 
 Nome do Contato: ANA CAROLINA TORRES ALMEIDA 
 Usuário: UWT_BRASIL 
 Telefone: 19997391427 
 E-mail: contato@uwt.com.br 
 CNPJ: 37111162000107 
 Razão Social UWT DO BRASIL INSTRUMENTOS DE MEDICAO LT 
 Solicito a abertura dos questionários para atualizar os critérios Legal e Econômico.</t>
  </si>
  <si>
    <t>8001442750</t>
  </si>
  <si>
    <t>ANA CAROLINA  TORRES ALMEIDA</t>
  </si>
  <si>
    <t>UWT_BRASIL</t>
  </si>
  <si>
    <t>contato@uwt.com.br</t>
  </si>
  <si>
    <t>37111162000107 - UWT DO BRASIL INSTRUMENTOS DE MEDICAO LT</t>
  </si>
  <si>
    <t>INC55333427</t>
  </si>
  <si>
    <t>Reabertura dos critérios de renovação cadastral</t>
  </si>
  <si>
    <t>Chamado criado pelo área interna do Portal 
 Nome do Contato: CINTIA DA CONCEICAO PECANHA SOUZA 
 Usuário: DISPEX005659 
 Telefone: 021-3664-5400 
 E-mail: comercial.ambiental@acoem.com 
 CNPJ: 00817018000180 
 Razão Social JCTM COMERCIO E TECNOLOGIA LTDA 
 Reabertura dos critérios de renovação cadastral para a renovação do CRC</t>
  </si>
  <si>
    <t>CINTIA DA CONCEICAO PECANHA SOUZA</t>
  </si>
  <si>
    <t>comercial.ambiental@acoem.com</t>
  </si>
  <si>
    <t>00817018000180 - JCTM COMERCIO E TECNOLOGIA LTDA EPP</t>
  </si>
  <si>
    <t>Desbloqueio de usuário</t>
  </si>
  <si>
    <t>ARIBA</t>
  </si>
  <si>
    <t>INC55333153</t>
  </si>
  <si>
    <t xml:space="preserve">INC55333153 +5534991652007
Nome do Contato: Isabel Marquez Teodoro
CNPJ/Razão Social: 35657372000170
CPF: 06087799621
Telefone: 61996127659
E-mail: contato@allspacefacilities.com.br
Usuário: ALLSPACE
Oportunidade: 
CHAT BOT - Acesso portal cadastro
</t>
  </si>
  <si>
    <t>'+5534991652007</t>
  </si>
  <si>
    <t>ISABEL MARQUEZ TEODORO</t>
  </si>
  <si>
    <t>ALLSPACE</t>
  </si>
  <si>
    <t>contato@allspacefacilities.com.br</t>
  </si>
  <si>
    <t>35657372000170 - ALL SPACE FACILITIES LTDA</t>
  </si>
  <si>
    <t>INC55333081</t>
  </si>
  <si>
    <t>Nome do Contato: LORENA DO NASCIMENTO TISCORNIA
Usuário: LARRJLORENA
E-mail: lorena@larplasticosrj.com.br
Telefone: 21973939221
CNPJ/Razão Social: 63967640000276  - LAR PLASTICOS INDUSTRIA E COMERCIO DE PR
Fornecedora solicita desbloqueio do usuário LARRJLORENA</t>
  </si>
  <si>
    <t>LORENA DO NASCIMENTO TISCORNIA</t>
  </si>
  <si>
    <t>LARRJLORENA</t>
  </si>
  <si>
    <t>lorena@larplasticosrj.com.br</t>
  </si>
  <si>
    <t>63967640000276  - LAR PLASTICOS INDUSTRIA E COMERCIO DE PR</t>
  </si>
  <si>
    <t>INC55333035</t>
  </si>
  <si>
    <t>Preenchimento de Conta</t>
  </si>
  <si>
    <t xml:space="preserve">Bom dia, 
Fornecedor (a) solicita auxílio para Preenchimento de Conta no Portal
Foi orientada em linha, codigo do banco do Brasil 0019, e informou conseguir realizar procedimento com sucesso.
Esta solicitou auxílio tambem para troca de e-mail de usuário e foi informado (a) que o passo a passo detalhado seria enviado por e-mail. 
Alteração de E-mail: 
Fornecedor entrou em contato solicitando suporte para alteração de e-mail. 
Fornecedor possui acesso ao usuário administrador e solicita alterar o 
e-mail de um dos usuários da empresa.
Para o administrador de usuário alterar o e-mail de outro usuário, deve:
    • Inserir o usuário e senha
    • acessar o menu "A Petronect", 
    • Clicar em "Minha Conta". 
    • Na seção "Usuários da Minha Empresa"
    • Clicar no ícone "Editar"
Alterar o e-mail na seção "Dados do usuário" e clicar em "Salvar".
Foi informado que a alteração só será efetivada quando o usuário que solicitou a alteração inserir no portal o código PIN recebido no novo e-mail. 
Este chamado será encerrado porém permanecemos a disposição. 
Atenciosamente,
Equipe Petronect.
</t>
  </si>
  <si>
    <t>Incidentes//Cadastro na Petrobras//Suporte//Identificação//Preenchimento de Conta única</t>
  </si>
  <si>
    <t>Preenchimento de Conta única</t>
  </si>
  <si>
    <t>Gislaine Corrêa</t>
  </si>
  <si>
    <t>gislaine@fertron.com.br</t>
  </si>
  <si>
    <t>08659656000122 - FERTRON</t>
  </si>
  <si>
    <t>INC55332914</t>
  </si>
  <si>
    <t xml:space="preserve">Acesso ao portal </t>
  </si>
  <si>
    <t xml:space="preserve">Chamado:  INC55332914
 Nome do Contato: KAUA YUITI MORIIZUMI
 Usuário: DDREGIS
 Telefone: 13 99726-6039 
E-mail: ddregis@ddregis.com.br
CNPJ / Razão Social: 53540676000134 - D.D. REGIS - LIMPEZA E LOCACOES LTDA
Fornecedor(a) solicito que verifique se há alguma inconsistência no portal, o mesmo foi informado que a principio o sistema esta normal porém esta dando erro quando o fornecedor tenta acessar, foi feita a troca de navegadores e o teste pela aba anomia porém o erro persiste. Segue em anexo o print da tela do fornecedor. 
</t>
  </si>
  <si>
    <t>8001442896</t>
  </si>
  <si>
    <t>KAUA YUITI MORIIZUMI</t>
  </si>
  <si>
    <t>DDREGIS</t>
  </si>
  <si>
    <t>ddregis@ddregis.com.br</t>
  </si>
  <si>
    <t>53540676000134</t>
  </si>
  <si>
    <t>rodrigo.pereira@Petronect</t>
  </si>
  <si>
    <t>Rodrigo da Silva Pereira</t>
  </si>
  <si>
    <t>INC55332856</t>
  </si>
  <si>
    <t>Chamado aberto pela URA
Usuário:GMAVND1
CPF:13607714762
Taxnum:55948986000118
E-mail:vendas@gmaoffshore.com.br
Seu chamado foi registrado. Estamos lhe transferindo para o atendimento especializado.</t>
  </si>
  <si>
    <t>INC55332815</t>
  </si>
  <si>
    <t xml:space="preserve">INC55332815 +5511942529191
Nome do Contato: Victorya Ignácio Cavalheiro
CNPJ/Razão Social: 53930927000197
CPF: 503.267.928-30
Telefone: 11942529191
E-mail: victorya.cavalheiro@newlightpaulista.com.br
Usuário: VICNEWLIGHT
Oportunidade: 
CHAT BOT - Redefinição de Senha
</t>
  </si>
  <si>
    <t>'+5511942529191</t>
  </si>
  <si>
    <t>VICTORYA IGNACIO CAVALHEIRO</t>
  </si>
  <si>
    <t>VICNEWLIGHT</t>
  </si>
  <si>
    <t>victorya.cavalheiro@newlightpaulista.com.br</t>
  </si>
  <si>
    <t>53930927000197 - NEW LIGHT COMPANY COMERCIO E SERVICOS DE</t>
  </si>
  <si>
    <t>BRUNO HENRIQUE  BRAMBILA</t>
  </si>
  <si>
    <t>BRUNOBRA</t>
  </si>
  <si>
    <t>bruno.brambila@meetcall.com.br</t>
  </si>
  <si>
    <t>01999295001005-CENCOB SOLUCOES LTDA</t>
  </si>
  <si>
    <t>Suporte</t>
  </si>
  <si>
    <t>INC55332547</t>
  </si>
  <si>
    <t>FORNECEDOR DE BRINDES</t>
  </si>
  <si>
    <t>Chamado criado pela área externa do Portal 
 Nome do Contato: Sophia 
 Usuário: PAMELLA 
 Telefone: 11 915511561 
 E-mail: vendas.pambrindes@gmail.com 
 CNPJ: 50718928000184 
 Razão Social PAMELLA CRISTINA DE PAULA BARBIRATO 
 Me chamo Sophia da Pam Brindes.
Somos uma empresa especializada em brindes personalizados para ações promocionais, eventos, campanhas internas e datas comemorativas. Trabalhamos com produtos criativos, úteis e com a cara da sua marca!</t>
  </si>
  <si>
    <t>Incidentes//Cadastro na Petrobras//Suporte//Website//Quer se cadastrar na Petrobras</t>
  </si>
  <si>
    <t>Quer se cadastrar na Petrobras</t>
  </si>
  <si>
    <t>INC55332456</t>
  </si>
  <si>
    <t>Inclusão de família</t>
  </si>
  <si>
    <t>Chamado criado pelo área interna do Portal 
 Nome do Contato: MICHEL CONTE RESENDE 
 Usuário: MC_RESENDE 
 Telefone: 11950909305 
 E-mail: michel.resende@inetum.com 
 CNPJ: 11355881000180 
 Razão Social INETUM BRASIL LTDA. 
 Bom dia, por favor, solicito a inclusão das famílias:
S-02 - Serviços técnicos especializados:
99005693
99006105
99006420
99006614
99005950
99006423
99006613
99006606
99006390
99006612
99005951
Muito obrigado!</t>
  </si>
  <si>
    <t>MICHEL  CONTE RESENDE</t>
  </si>
  <si>
    <t>MC_RESENDE</t>
  </si>
  <si>
    <t>michel.resende@inetum.com</t>
  </si>
  <si>
    <t>11355881000180 INETUM BRASIL LTDA</t>
  </si>
  <si>
    <t>INC55332225</t>
  </si>
  <si>
    <t xml:space="preserve">INC55332225 0feea35d-9cab-7556-ede5-7743cb11e290
Nome do Contato: Roseli
CNPJ/Razão Social: 96350988000198
CPF: 04040251881
Telefone: 1130544800
E-mail: nac@valvulasnac.com.br
Usuário: GCANABAL
Oportunidade: 
CHAT BOT - Redefinição de Senha
</t>
  </si>
  <si>
    <t>0feea35d-9cab-7556-ede5-7743cb11e290</t>
  </si>
  <si>
    <t>GERMAN ALFONSO NUNEZ CANABAL</t>
  </si>
  <si>
    <t>GCANABAL</t>
  </si>
  <si>
    <t>nac@valvulasnac.com.br</t>
  </si>
  <si>
    <t>96350988000198 - VÁLVULAS NAC INDÚSTRIA E COMÉRCIO LTDA</t>
  </si>
  <si>
    <t>INC55332121</t>
  </si>
  <si>
    <t>Chat bot Consultar status do chamado</t>
  </si>
  <si>
    <t>Chamado aberto pela URA
Usuário:ADM.ARSOCO
CPF:89705700559
Taxnum:14586651000110
E-mail:manoteck@hotmail.com.br
Chat bot Consultar status do chamado</t>
  </si>
  <si>
    <t>Incidentes//Cadastro na Petrobras//Suporte</t>
  </si>
  <si>
    <t>ARLINDO SOUSA COSTA</t>
  </si>
  <si>
    <t>manoteck@hotmail.com.br</t>
  </si>
  <si>
    <t>14586651000110 - MANOTECK LOCAÇÃO E SERVIÇOS LTDA - ME (M</t>
  </si>
  <si>
    <t>DIMAS  XAVIER BARBOSA JUNIOR</t>
  </si>
  <si>
    <t>ED.DIMAS</t>
  </si>
  <si>
    <t>edsonsucatao@hotmail.com</t>
  </si>
  <si>
    <t>07371494000160 - Dimas Xavier Barbosa Junior ME</t>
  </si>
  <si>
    <t>INC55331751</t>
  </si>
  <si>
    <t xml:space="preserve">Usuário expirado </t>
  </si>
  <si>
    <t>Nome do Contato: Roberto Cesar Antoniolli
Usuário: ROBERTOBUZIN 
E-mail: roberto@buzintransportes.com.br 
Telefone: 51992749685
CNPJ/Razão Social: 88651500001459 - BUZIN TRANSPORTES E COMERCIO LTDA
Fornecedor solicita prorrogação da validade do usuário ROBERTOBUZIN e atribuição de perfis.</t>
  </si>
  <si>
    <t>ROBERTO CESAR ANTONIOLLI</t>
  </si>
  <si>
    <t>ROBERTOBUZIN</t>
  </si>
  <si>
    <t>roberto@buzintransportes.com.br</t>
  </si>
  <si>
    <t>88651500001459 - BUZIN TRANSPORTES E COMERCIO LTDA</t>
  </si>
  <si>
    <t>INC55331710</t>
  </si>
  <si>
    <t xml:space="preserve">INC55331710 +5571999933285
Nome do Contato: Lucas dos Santos dantas
CNPJ/Razão Social: 32992946000178
CPF: 08662954537
Telefone: 7199401099
E-mail: Engenharia@rccosntrutec.com.br
Usuário: LUI159951
Oportunidade: 
CHAT BOT - Acesso portal cadastro
LUI159951
Luiz Actis
  engenharia@rcconstrutec.com.br 27.04.2025    Desbloqueado
Prezados(a), fornecedor(a) solicita desbloqueio, atualização de validade e atribuições de perfis de seu usuário: LUI159951
</t>
  </si>
  <si>
    <t>'+5551992749685</t>
  </si>
  <si>
    <t>Luiz Actis</t>
  </si>
  <si>
    <t>LUI159951</t>
  </si>
  <si>
    <t>engenharia@rcconstrutec.com.br</t>
  </si>
  <si>
    <t xml:space="preserve">32992946000178 - </t>
  </si>
  <si>
    <t>INC55331505</t>
  </si>
  <si>
    <t xml:space="preserve">INC55331505 +5581992074559
Nome do Contato: Silas Octaviano Ribeir
CNPJ/Razão Social: 17076626000184
CPF: 06595753618
Telefone: 81992074559
E-mail: lotusassessoriainstitucional@gmail.com
Usuário: LOTUS14
Oportunidade: 
CHAT BOT - Acesso portal cadastro
</t>
  </si>
  <si>
    <t>'+5581992074559</t>
  </si>
  <si>
    <t>Manuelle Ribeiro</t>
  </si>
  <si>
    <t>LOTUS14</t>
  </si>
  <si>
    <t>manuelledeoliveira@gmail.com</t>
  </si>
  <si>
    <t>17076626000184 - MN DE O RIBEIRO CONSULTORIA ME</t>
  </si>
  <si>
    <t>INC55331464</t>
  </si>
  <si>
    <t>atualização de dados</t>
  </si>
  <si>
    <t>Chamado aberto pela URA
Usuário:CHRISCALAD53
CPF:74882392453
Taxnum:41712607000181
E-mail:ccalado@caladosolucoes.com.br
Seu chamado foi registrado. Estamos lhe transferindo para o atendimento especializado.</t>
  </si>
  <si>
    <t>CHRISTIANO  CALADO TENORIO</t>
  </si>
  <si>
    <t>CHRISCALAD53</t>
  </si>
  <si>
    <t>ccalado@caladosolucoes.com.br</t>
  </si>
  <si>
    <t xml:space="preserve">41712607000181  - </t>
  </si>
  <si>
    <t>INC55331092</t>
  </si>
  <si>
    <t>Chamado:  INC55331092
 Nome do Contato: MARCOS ALMEIDA GUIMARAES
 Usuário: CCR.CITE
 Telefone: 21999738216
E-mail: contato@ccrcite.com.br
CNPJ / Razão Social: 12251508000141 -  CCR CITÉ CONSTRUÇÃO E RECUPERAÇÃO LTDA
Fornecedor(a) solicitou auxilio para o desbloqueio de seu usuário que expirou no dia 16/09/2023 e aderi ao perfil de administrador.
CCR.CITE
MARCOS ALMEIDA GUIMARAES
21999738216 16.09.2023    Bloqueado Exibir  contato@ccrcite.com.br</t>
  </si>
  <si>
    <t>Marcos Almeida Guimarães</t>
  </si>
  <si>
    <t>contato@ccrcite.com.br</t>
  </si>
  <si>
    <t>12251508000141 - CCR CITÉ CONSTRUÇÃO E RECUPERAÇÃO LTDA</t>
  </si>
  <si>
    <t>LUCIANA BERNARDO COLARES SILVA</t>
  </si>
  <si>
    <t>Laerte Borba Netto</t>
  </si>
  <si>
    <t>LAERTE.NETTO</t>
  </si>
  <si>
    <t>adm@lacalab.com.br</t>
  </si>
  <si>
    <t>04272768000175 - LABORATORIO DAS AGUAS LTDA</t>
  </si>
  <si>
    <t>INC55321933</t>
  </si>
  <si>
    <t>Informações Boleto da taxa de acesso</t>
  </si>
  <si>
    <t>Nome de contato:Iandra Akicia Bonfim De oliviera
Usuário:IANDRA.OLI 31991859659 ioliveira@tecnoloc.com.br CPF:13556735695
Telefone:31991859659
E-mail:ioliviera@tecnoloc.com.br
CNPJ/Razão social:04772464000177 TECNOLOC LOCACOES DE MAQUINAS E EQUIPAMENTOS SA
Fornecedor(a) entrou em contato solicitando auxilio para gerar taxa de acesso,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t>
  </si>
  <si>
    <t>0d03af7b-6a47-4a54-b4a6-8d83f4c60062</t>
  </si>
  <si>
    <t>IANDRA ALICIA  BONFIM DE OLIVEIRA</t>
  </si>
  <si>
    <t>IANDRA.OLI</t>
  </si>
  <si>
    <t>ioliveira@tecnoloc.com.br</t>
  </si>
  <si>
    <t>04.772.464/0001-77 TECNOLOC LOCACOES DE MAQUINAS E EQUIPAMENTOS SA</t>
  </si>
  <si>
    <t>INC55321611</t>
  </si>
  <si>
    <t>Acesso ao portal</t>
  </si>
  <si>
    <t xml:space="preserve">Nome do Contato: João Inácio Souza Oliveira
Usuário: JOAO.MAM
E-mail: joao.inacio@mamengenharia.com.br 
Telefone: 92994812725
CNPJ/Razão Social: 07423141000166 - MAM PARTICIPACOES E CONSTRUCOES LTDA
Fornecedor não consegue acessar o portal, pois informa que não recebe o token MFA. Foi orientado a aguardar até 15 minutos, porém não recebeu o e-mail. Foi orientado a cadastrar notificacao@petronect.com.br como remetente confiável, verificar a presença de bloqueios e procurar na pasta spam. Por favor, verifiquem se há alguma falha no envio do token para o e-mail joao.inacio@mamengenharia.com.br </t>
  </si>
  <si>
    <t>JOAO INACIO  SOUZA OLIVEIRA</t>
  </si>
  <si>
    <t>JOAO.MAM</t>
  </si>
  <si>
    <t>joao.inacio@mamengenharia.com.br</t>
  </si>
  <si>
    <t>07423141000166 - MAM PARTICIPACOES E CONSTRUCOES LTDA</t>
  </si>
  <si>
    <t>ad23ab90-a131-4121-958e-f69da853fba8</t>
  </si>
  <si>
    <t>INC55321565</t>
  </si>
  <si>
    <t>Boa tarde, 
Fornecedor (a) solicita Desbloqueio de usuário WELLCON
WELLCON
IG DE OLIVEIRA FERREIRA
(79)4009-9696 OU (79)991419414 wellcon@wellcon.com.br 08.09.2024    Bloqueado 
Chamado/Prot: INC55321510 / 8001442821
Nome : Ig de Oliveira Ferreira
Usuário: WELLCON
Telefone: (79)4009-9696 OU (79)991419414
E-mail: wellcon@wellcon.com.br
CNPJ: 02665128000108
Razão Social: WELLCON TREINAMENTO E CONSULTORIA LTDA -</t>
  </si>
  <si>
    <t>8001442821</t>
  </si>
  <si>
    <t>INC55321510</t>
  </si>
  <si>
    <t xml:space="preserve">Boa tarde, 
Fornecedor (a) solicita Desbloqueio de usuário IGFERREIRA
IGFERREIRA
Ig de Oliveira Ferreira
(79)40099696 igferreira@wellcon.com.br 17.05.2022    Bloqueado
Chamado/Prot: INC55321510 / 8001442821
Nome : Ig de Oliveira Ferreira
Usuário: IGFERREIRA
Telefone: (79)40099696
E-mail: igferreira@wellcon.com.br
CNPJ: 02665128000108
Razão Social: WELLCON TREINAMENTO E CONSULTORIA LTDA -
</t>
  </si>
  <si>
    <t>Ig de Oliveira  Ferreira</t>
  </si>
  <si>
    <t>IGFERREIRA</t>
  </si>
  <si>
    <t>igferreira@wellcon.com.br</t>
  </si>
  <si>
    <t>INC55321488</t>
  </si>
  <si>
    <t xml:space="preserve">Revalidação de Usuario </t>
  </si>
  <si>
    <t>Nome do Contato: Rafael Alcântara Pereira 
Usuário: ZELAINE
Telefone: 61 3084-4009 
E-mail: ambientaldobrasil@gmail.com 
CNPJ / Razão Social:09150575000165 / AMBIENTAL DO BRASIL ESTUDOS E PROJETOS A
Oportunidade: 7004555629
Fornecedor solicita o revalidar de seu usuário para participação de oportunidade.</t>
  </si>
  <si>
    <t>XXX</t>
  </si>
  <si>
    <t>ZELAINE  DE SOUZA CAIXETA</t>
  </si>
  <si>
    <t>ZELAINE</t>
  </si>
  <si>
    <t>ambientaldobrasil@gmail.com</t>
  </si>
  <si>
    <t>09150575000165 AMBIENTAL DO BRASIL ESTUDOS E PROJETOS A</t>
  </si>
  <si>
    <t>INC55321483</t>
  </si>
  <si>
    <t>dados bancarios</t>
  </si>
  <si>
    <t>Nome de contato:jose ferreira da mota
Usuário:ACOSCOPEC mota@acoscopec.com.br 71997070986 
CPF:01818295504
Telefone:7131900313
E-mail:mota@acoscopec.com.br
CNPJ/Razão social:54234129000193 COPEC COMERCIO ATACADISTA DE PRODUTOS E ACESSÓRIOS INDUSTRIAIS LTDA
Fornecedor(a) entrou em contato solicitando auxilio para atualizar os dados bancários, orientada conforme a planilha.
Por falta de interação o atendimento está sendo finalizado.</t>
  </si>
  <si>
    <t>JOSE FERREIRA  DA MOTA</t>
  </si>
  <si>
    <t>ACOSCOPEC</t>
  </si>
  <si>
    <t>mota@acoscopec.com.br</t>
  </si>
  <si>
    <t>54234129000193 COPEC COMERCIO ATACADISTA DE PRODUTOS E ACESSÓRIOS INDUSTRIAIS LTDA</t>
  </si>
  <si>
    <t>INC55321376</t>
  </si>
  <si>
    <t>AS065 - Tipo de chamado utilizado para desbloqueio</t>
  </si>
  <si>
    <t>Boa tarde a todos ! 
Favor verificar se é possível incluir outros tipos de chamados, para desbloqueio de usuário com duplicidade de cpf/email. 
Aparentemente hoje são permitidos apenas os tipos de chamados criados especificamente para a AS065. 
Usuários alegam que nem sempre a solicitação de desbloqueio é recebida pela funcionalidade criada na As065.   
Atenciosamente,
Dino Octavio Junior
SUPRIMENTOS/RMF/DQF/GCF</t>
  </si>
  <si>
    <t>Incidentes//Cadastro na Petrobras//Suporte//Gestão de Processos//Gestão de Processos</t>
  </si>
  <si>
    <t>Priscila dos Santos Paschoal Sorrentino</t>
  </si>
  <si>
    <t>E8H6</t>
  </si>
  <si>
    <t>priscila.sorrentino@petronect.com.br</t>
  </si>
  <si>
    <t>INC55321119</t>
  </si>
  <si>
    <t xml:space="preserve">INC55321119 +5519981591119
Nome do Contato: MAURICIO MASSARELLI
CNPJ/Razão Social: 22575215000173
CPF: 05581238804
Telefone: 19981591119
E-mail: mauriciomassarelli.rmptubos@gmail.com
Usuário: MASSARELLI64
Oportunidade: 
CHAT BOT - Redefinição de Senha
</t>
  </si>
  <si>
    <t>'+5519981591119</t>
  </si>
  <si>
    <t>MAURICIO MASSARELLI</t>
  </si>
  <si>
    <t>MASSARELLI64</t>
  </si>
  <si>
    <t>mauriciomassarelli.rmptubos@gmail.com</t>
  </si>
  <si>
    <t xml:space="preserve">22575215000173 - </t>
  </si>
  <si>
    <t>INC55321024</t>
  </si>
  <si>
    <t>Validação com autenticidade com e-cnpj</t>
  </si>
  <si>
    <t>Chamado aberto pela URA
Usuário:PEDROANSELMO
CPF:32888819856
Taxnum:15102809000100
E-mail:PEDROANSELMO@MORAISDECASTRO.COM.BR
Seu chamado foi registrado. Estamos lhe transferindo para o atendimento especializado.</t>
  </si>
  <si>
    <t>PEDRO CARVALHO</t>
  </si>
  <si>
    <t>PEDROANSELMO</t>
  </si>
  <si>
    <t>pedroanselmo@moraisdecastro.com.br</t>
  </si>
  <si>
    <t>15102809000100 - MORAIS DE CASTRO COMERCIO E IMPORTACAO D</t>
  </si>
  <si>
    <t>INC55320970</t>
  </si>
  <si>
    <t>Solicito bloqueio total da empresa no portal Petronect.</t>
  </si>
  <si>
    <t>Chamado criado pelo área interna do Portal 
 Nome do Contato: MARA ELOIZE LOPES PEROZZO 
 Usuário: USR0069601 
 Telefone: 19 9 8888 1809 
 E-mail: financeiro@espaco345.com.br 
 CNPJ: 17891200000184 
 Razão Social ESPAÇO 345 HOTEL LTDA EPP 
 Eu fornecedor MARA ELOIZE LOPES PEROZZO, usuário administrador, solicito o bloqueio total no Portal da empresa 17891200000184 - ESPAÇO 345 HOTEL LTDA EPP, de acordo com as restrições informadas na manifestação de número 8001442665.</t>
  </si>
  <si>
    <t>Incidentes//Cadastro na Petrobras//Suporte//Programação de Suspensão//Desistência / Reativar</t>
  </si>
  <si>
    <t>Desistência / Reativar</t>
  </si>
  <si>
    <t>MARA ELOIZE LOPES PEROZZO</t>
  </si>
  <si>
    <t>financeiro@espaco345.com.br</t>
  </si>
  <si>
    <t>17891200000184 - ESPAÇO 345 HOTEL LTDA EPP</t>
  </si>
  <si>
    <t>INC55320953</t>
  </si>
  <si>
    <t>Nome do Contato: Ricardo Salviano Rodrigues de Oliveira
Usuário: RICARSALV85
E-mail: ricardo.salviano@nattiva.com.br 
Telefone: 63984999778
CNPJ/Razão Social: 08645200000103 NATTIVA ENGENHARIA E MEIO AMBIENTE
Fornecedor solicita desbloqueio do usuário RICARSALV85</t>
  </si>
  <si>
    <t>RICARDO  SALVIANO  RODRIGUES DE</t>
  </si>
  <si>
    <t>RICARSALV85</t>
  </si>
  <si>
    <t>ricardo.salviano@nattiva.com.br</t>
  </si>
  <si>
    <t>08645200000103 NATTIVA ENGENHARIA E MEIO AMBIENTE</t>
  </si>
  <si>
    <t>INC55320873</t>
  </si>
  <si>
    <t xml:space="preserve">INC55320873 677b8e7c-e325-87d1-826d-f4c45ddc624e
Nome do Contato: Paula Regina da Silva Melo
CNPJ/Razão Social: 03502062000190
CPF: 44555059204
Telefone: 92999820057
E-mail: paule.melo@proexpress.com.br
Usuário: PROEXPRESS02 / AJ.PROEXPRES
Oportunidade: 
CHAT BOT - Acesso portal cadastro
</t>
  </si>
  <si>
    <t>677b8e7c-e325-87d1-826d-f4c45ddc624e</t>
  </si>
  <si>
    <t>JUAREZ QUARESMA</t>
  </si>
  <si>
    <t>juarez.quaresma@proexpress.com.br</t>
  </si>
  <si>
    <t>03502062000190 - PROEXPRESS COMERCIO E SERVICOS LTDA - ME</t>
  </si>
  <si>
    <t>INC55320831</t>
  </si>
  <si>
    <t>Questionarios de avaliação</t>
  </si>
  <si>
    <t xml:space="preserve">CHAMADO:INC55320831
CNPJ/RAZÃO SOCIAL:35.820.448/0213-03
WHITE MARTINS GASES INDUSTRIAIS LTDA
NOME:YUKIE DOS SANTOS NAKASHIMA
USUARIO:VINHEDO02
EMAIL:atendimento@sac.whitemartins.com.br
TEL:0800 709 9000
OPORTUNIDADE:
Sua solicitação será encerrada e o tratamento será redirecionado para área responsável através do protocolo 8001442728 </t>
  </si>
  <si>
    <t>Serviços//Cadastro na Petrobras//Sugestão e Elogio//Portal Petronect//Processos, Avaliação e Resultados</t>
  </si>
  <si>
    <t>Processos, Avaliação e Resultados</t>
  </si>
  <si>
    <t>YUKIE DOS SANTOS NAKASHIMA</t>
  </si>
  <si>
    <t>CACHAMBIMATR</t>
  </si>
  <si>
    <t>atendimento@sac.whitemartins.com.br</t>
  </si>
  <si>
    <t>35820448000721 / WHITE MARTINS GASES INDUSTRIAIS LTDA</t>
  </si>
  <si>
    <t>EDMAR MARTINS</t>
  </si>
  <si>
    <t>neymar@edfer.com.br</t>
  </si>
  <si>
    <t>08603541000116 - EDFER - COMERCIO DE FERRO E AÇO S.A.</t>
  </si>
  <si>
    <t>INC55320676</t>
  </si>
  <si>
    <t>Chamado:  INC55320676
 Nome do Contato: EDMAR EUDSON PESSOA MARTINS
 Usuário: EDMARPESSOA
 Telefone: 3138419020
E-mail: edfer@edfer.com.br
CNPJ / Razão Social: 08603541000116  -  setorcombr@gmail.com
Fornecedor(a) solicitou auxilio para o desbloqueio de seu usuário que expirou no dia 04/02/2024. 
EDMARPESSOA
EDMAR EUDSON PESSOA MARTINS
3138419020 04.02.2024    Desbloq. (Senha Expirada) Exibir  edfer@edfer.com.br</t>
  </si>
  <si>
    <t>8001442659</t>
  </si>
  <si>
    <t>INC55320641</t>
  </si>
  <si>
    <t xml:space="preserve">Boa tarde, 
Fornecedora sem cadastro, orientada em linha procedimento de iniciar cadastramento no portal.
Este chamado será encerrado porém permanecemos a disposição. 
Atenciosamente,
Equipe Petronect.
</t>
  </si>
  <si>
    <t>Compensação de boleto bancário</t>
  </si>
  <si>
    <t>INC55320527</t>
  </si>
  <si>
    <t>INC55320527 +5521964855806
Nome do Contato: GUSTAVO CORREA FERRARI REY
CNPJ/Razão Social: 01865035000156
CPF: 00240593740
Telefone: 21994337399
E-mail: GREY@BETONSTAHL.COM.BR
Usuário: G.BETON
Oportunidade: 
CHAT BOT - Acesso portal cadastro
G.BETON
GUSTAVO CORREA FERRARI REY
(21) 2253-0907 grey@betonstahl.com.br 03.12.2023    Bloqueado</t>
  </si>
  <si>
    <t>'+5521964855806</t>
  </si>
  <si>
    <t>GUSTAVO CORREA FERRARI REY</t>
  </si>
  <si>
    <t>G.BETON</t>
  </si>
  <si>
    <t>grey@betonstahl.com.br</t>
  </si>
  <si>
    <t>01865035000156 - BETON STAHL ENGENHARIA LTDA</t>
  </si>
  <si>
    <t>Serviços//Comunicação e Portal//Atualização de Conteúdo</t>
  </si>
  <si>
    <t>Atualização de Conteúdo</t>
  </si>
  <si>
    <t>LIA  FARIAS PINTO</t>
  </si>
  <si>
    <t>INC55320242</t>
  </si>
  <si>
    <t>Preenchimento de questionário</t>
  </si>
  <si>
    <t>Boa tarde, prezados.
Chamado: INC55320242
Solicita suporte para enviar o questionário e informa que o portal está apresentando " bloqueio por este usuário" 
Orientamos que neste caso possa ter saído do portal da forma indevida e ocasionado o bloqueio, pedimos que saia com segurança do portal, reinicie a máquina e tente novamente finalizar o envio do questionário.
Atenciosamente,
Equipe Petronect.</t>
  </si>
  <si>
    <t>DANIELA DE CASSIA MACEDO EVILASIO</t>
  </si>
  <si>
    <t>SERVOCOM</t>
  </si>
  <si>
    <t>daniela@servo.ind.br</t>
  </si>
  <si>
    <t>12530394000179SERVO COMÉRCIO E SISTEMAS LTDA</t>
  </si>
  <si>
    <t>INC55320224</t>
  </si>
  <si>
    <t>Chamado: INC55320224
 Nome do Contato: LAERTE BORBA NETTO
 Usuário: LAERTE.NETTO
 Telefone: 2225234499
E-mail: adm@lacalab.com.br
CNPJ / Razão Social:   04272768000175  -  LABORATORIO DAS AGUAS LTDA
OBS: O usuário que era administrador veio a óbito por esse motivo o fornecedor solicita o desbloqueio do usuário abaixo.
Fornecedor(a) solicita auxilio para o desbloqueio de usuário que expirou no dia 12/10/2023 e aderi ao perfil de administrador.
LAERTE.NETTO
LAERTE BORBA NETTO
2225234499 12.10.2025    Desbloqueado Exibir  adm@lacalab.com.br</t>
  </si>
  <si>
    <t>8001442688</t>
  </si>
  <si>
    <t>INC55319969</t>
  </si>
  <si>
    <t>Criterio economico</t>
  </si>
  <si>
    <t>Chamado criado pela área externa do Portal 
 Nome do Contato: alain neyret 
 Usuário: ALAIN NEYRET 
 Telefone: 11951389995 
 E-mail: comercial@hpt.com.br 
 CNPJ: 04301551000146 
 Razão Social HPT SOLUÇÕES AMBIENTAIS 
 Prezados,
enviamos há meses nossa ISO 9001 a pedido da petro para revalidação do critério economico , a até agora está em avaliação...
Poderiam nos ajudar?.
obrigado!</t>
  </si>
  <si>
    <t>Carlos Augusto Poli</t>
  </si>
  <si>
    <t>CA.HTOSP</t>
  </si>
  <si>
    <t>comercial@hpt.com.br</t>
  </si>
  <si>
    <t>04301551000146 - HPT TORRES DE RESFRIAMENTO LTDA - EPP</t>
  </si>
  <si>
    <t>INC55319824</t>
  </si>
  <si>
    <t>Chamado criado pelo área interna do Portal 
 Nome do Contato: ANA CAROLINA TORRES ALMEIDA 
 Usuário: UWT_BRASIL 
 Telefone: 19997391427 
 E-mail: contato@uwt.com.br 
 CNPJ: 37111162000107 
 Razão Social UWT DO BRASIL INSTRUMENTOS DE MEDICAO LT 
 Por favor revalidar o CRC 7000247400-0</t>
  </si>
  <si>
    <t>INC55319813</t>
  </si>
  <si>
    <t xml:space="preserve">INC55319813 443e2534-d216-3911-af58-fe4b31d17544
Nome do Contato: Ramon da Silva Oliveira Junior
CNPJ/Razão Social: 12539999000120
CPF: 015.200.805-57
Telefone: 71996669988
E-mail: m.o.transportes@hotmail.com
Usuário: RAMONJR85
Oportunidade: 
CHAT BOT - Redefinição de Senha
</t>
  </si>
  <si>
    <t>443e2534-d216-3911-af58-fe4b31d17544</t>
  </si>
  <si>
    <t>RAMON DA SILVA OLIVEIRA JUNIOR</t>
  </si>
  <si>
    <t>RAMONJR85</t>
  </si>
  <si>
    <t>m.o.transportes@hotmail.com</t>
  </si>
  <si>
    <t>INC55319690</t>
  </si>
  <si>
    <t>Nome do Contato: Denis Rafael Perez de Ordaz Silot
Usuário: JORMARIE.PV
E-mail: jormarie.perozo@petrolvalves.com 
Telefone: +17139697743
CNPJ/Razão Social: 1115182 - PETROLVALVES S.P.A
Fornecedor solicita desbloqueio do usuário JORMARIE.PV</t>
  </si>
  <si>
    <t>JORMARIE  PEROZO</t>
  </si>
  <si>
    <t>JOMARIE.PV</t>
  </si>
  <si>
    <t>jormarie.perozo@petrolvalves.com</t>
  </si>
  <si>
    <t>1115182 - PETROLVALVES S.P.A</t>
  </si>
  <si>
    <t>INC55319651</t>
  </si>
  <si>
    <t xml:space="preserve">INC55319651 153886de-1386-edd0-f61e-fc0c2cdc34ce
Nome do Contato: vinicius luiz martins moura
CNPJ/Razão Social: 42494660000116
CPF: 16733489716
Telefone: 21970336095
E-mail: vlm.assessoria97@gmail.com
Usuário: CENTELHA77
Oportunidade: 
CHAT BOT - Acesso portal cadastro
</t>
  </si>
  <si>
    <t>153886de-1386-edd0-f61e-fc0c2cdc34ce</t>
  </si>
  <si>
    <t>SONIA MARTINS MOURA</t>
  </si>
  <si>
    <t>CENTELHA77</t>
  </si>
  <si>
    <t>vlm.assessoria97@gmail.com</t>
  </si>
  <si>
    <t>42494660000116 - VINICIUS LUIZ MARTINS MOURA 16733489716</t>
  </si>
  <si>
    <t>INC55319524</t>
  </si>
  <si>
    <t>CRC</t>
  </si>
  <si>
    <t>Chamado criado pelo área interna do Portal 
 Nome do Contato: EDUARDO FIGUEIREDO 
 Usuário: CANINDELILIA 
 Telefone: 11-22149000 
 E-mail: eduardo.vendas@metalurgicacaninde.com.br 
 CNPJ: 60412806000119 
 Razão Social METALURGICA CANINDE LTDA 
 Boa tarde o nosso CRC venceu, poderiam por favo enviar o certificado atualizado ?</t>
  </si>
  <si>
    <t xml:space="preserve">8001442719 </t>
  </si>
  <si>
    <t>Eduardo Figueiredo</t>
  </si>
  <si>
    <t>CANINDELILIA</t>
  </si>
  <si>
    <t>eduardo.vendas@metalurgicacaninde.com.br</t>
  </si>
  <si>
    <t>60412806000119 - METALURGICA CANINDE LTDA</t>
  </si>
  <si>
    <t>Francisco de Assis Alves Medeiro</t>
  </si>
  <si>
    <t>faame@uol.com.br</t>
  </si>
  <si>
    <t>06954157000132 - FRANCISCO A. A. MEDEIRO IND. E COMERCIO</t>
  </si>
  <si>
    <t>INC55319057</t>
  </si>
  <si>
    <t xml:space="preserve">INC55319057 +5579991394247
Nome do Contato: Marcos Mauricio de Jesus Souza
CNPJ/Razão Social: 31299595000151
CPF: 89040937591
Telefone: 79988017406
E-mail: me.servicosindustriais@gmail.com
Usuário: MARCOS74
Oportunidade: 
CHAT BOT - Acesso portal cadastro
</t>
  </si>
  <si>
    <t>'+5579991394247</t>
  </si>
  <si>
    <t>MARCOS MAURICIO DE JESUS SOUZA</t>
  </si>
  <si>
    <t>MARCOS74</t>
  </si>
  <si>
    <t>me.servicosindustriais@gmail.com</t>
  </si>
  <si>
    <t xml:space="preserve">31299595000151 - </t>
  </si>
  <si>
    <t>INC55318705</t>
  </si>
  <si>
    <t>Solicitação IDF Global</t>
  </si>
  <si>
    <t>Chamado criado pela área externa do Portal 
 Nome do Contato: Carla Massoco 
 Usuário: CMASSOCO 
 Telefone: 51996302045 
 E-mail: carla@etm.eng.br 
 CNPJ: 90952748000187 
 Razão Social ETM ENGENHARIA LTDA 
 Prezados, boa tarde!
Solicito o envio do IDF Global para os CNPJs 90.952.748/0001-87 e 90.952.748/0002-68.</t>
  </si>
  <si>
    <t>Carla  Massoco</t>
  </si>
  <si>
    <t>CMASSOCO</t>
  </si>
  <si>
    <t>carla@etm.eng.br</t>
  </si>
  <si>
    <t>90952748000187 - ETM ENGENHARIA LTDA</t>
  </si>
  <si>
    <t>INC55318551</t>
  </si>
  <si>
    <t>INC55318130</t>
  </si>
  <si>
    <t xml:space="preserve">Boa tarde, 
Fornecedor (a) solicita Desbloqueio de usuário HEVERMACHA18
HEVERMACHA18
HEVERTON MACHADO COSTA
38998157306 associacaoriachodantamacauba@hotmail.com 12.10.2025    Desbloqueado 
Chamado/Prot: INC55318130 / 8001442680
Nome : HEVERTON MACHADO COSTA
Usuário: HEVERMACHA18
Telefone: 38998157306 
E-mail: associacaoriachodantamacauba@hotmail.com
CNPJ: 01213311000100
Razão Social: ASSOCIAÇÃO COMUNITÁRIA DOS PEQUENOS PROD
</t>
  </si>
  <si>
    <t>8001442680</t>
  </si>
  <si>
    <t>HEVERTON MACHADO COSTA</t>
  </si>
  <si>
    <t>HEVERMACHA18</t>
  </si>
  <si>
    <t>associacaoriachodantamacauba@hotmail.com</t>
  </si>
  <si>
    <t>01213311000100 - ASSOCIAÇÃO COMUNITÁRIA DOS PEQUENOS PROD</t>
  </si>
  <si>
    <t>aline.barros@bakerhughes.com</t>
  </si>
  <si>
    <t>INC55317961</t>
  </si>
  <si>
    <t>CHAT BOT - Preenchimento</t>
  </si>
  <si>
    <t xml:space="preserve">INC55317961 +5521966214507
Nome do Contato: Tania Santos
CNPJ/Razão Social: 29396824000104
CPF: 02407287770
Telefone: 21966214507
E-mail: ascoval@raymount.com.br
Usuário: RAYMOUNT
Oportunidade: 
CHAT BOT - Preenchimento
</t>
  </si>
  <si>
    <t>'+5522992518963</t>
  </si>
  <si>
    <t>RODRIGO ALBINO CARAMICOLI OLIVEIRA</t>
  </si>
  <si>
    <t>RAYMOUNT</t>
  </si>
  <si>
    <t>ascoval@raymount.com.br</t>
  </si>
  <si>
    <t>29396824000104 - RAYMOUNT COMÉRCIO DE VÁLVULAS, CONEXÕES</t>
  </si>
  <si>
    <t>LEILIANE SOUZA VALVERDE</t>
  </si>
  <si>
    <t>HTELICITACAO</t>
  </si>
  <si>
    <t>licitacoes@hispaniatelecom.com.br</t>
  </si>
  <si>
    <t xml:space="preserve">10949452000178 - </t>
  </si>
  <si>
    <t>INC55317367</t>
  </si>
  <si>
    <t>Bloqueio/desbloqueio de usuários</t>
  </si>
  <si>
    <t xml:space="preserve">Nome do Contato: Will 
Usuário:   WAMS-RJ
Telefone:   21977112510
E-mail:  comercial@wams.com.br
CNPJ / Razão Social: 51952954000135 WA. MARITIMOS SERVICOS LTDA
Oportunidade:
Descrição do problema: Segue o resumo do atendimento: Fornecedor informa que errou a senha e foi bloqueado e solicita desbloqueio. Orientado aguardar a resposta do suporte.
</t>
  </si>
  <si>
    <t>Serviços//Cadastro na Petrobras//Registro//Registro de Usuário//Bloqueio/desbloqueio de usuários</t>
  </si>
  <si>
    <t>AMIR  UKKU</t>
  </si>
  <si>
    <t>WAMS-RJ</t>
  </si>
  <si>
    <t>comercial@wams.com.br</t>
  </si>
  <si>
    <t>51952954000135 - WA. MARITIMOS SERVICOS LTDA</t>
  </si>
  <si>
    <t>INC55317276</t>
  </si>
  <si>
    <t>Banner atendimento presencial</t>
  </si>
  <si>
    <t xml:space="preserve">Bom dia @relacionamento.cadastro,
Segue banner para publicar em nosso portal (somente português).
Início: 02/02/2026. Por 30 dias.
1ª posição por pelo menos 15 dias, depois podem mudar.
Colocar um link no banner para direcionar para a página "Avisos" da área externa do Portal, com as informações do Comunicado (o mesmo texto do aviso já existente – data 07.10, conforme print anexo)
Letícia Linhares
Gestão de Cadastro de Fornecedores 
Suprimentos 
petrobras.com.br 
</t>
  </si>
  <si>
    <t>Serviços//Comunicação e Portal//Banner</t>
  </si>
  <si>
    <t>Banner</t>
  </si>
  <si>
    <t>LETICIA MOSSO DE AZEVEDO LINHARES</t>
  </si>
  <si>
    <t>FI9I</t>
  </si>
  <si>
    <t>INC55316983</t>
  </si>
  <si>
    <t xml:space="preserve">Nome do Contato: LILIAN DA ROCHA VIANA
Usuário:  AF.ASSOCAR
Telefone:  (51) 999266379
E-mail:   lilian.viana@maededeus.com.br
CNPJ / Razão Social:  88625686002443 ASSOCIACAO EDUCADORA SAO CARLOS - AESC
Oportunidade: 
Descrição do problema: Segue o resumo do atendimento: Fornecedora solicita auxilio para abertura de questionários.
Fornecedora foi orientada no seguinte procedimento: 
Cadastro na Petrobras 
Fale conosco 
Criar novo chamado 
Solicitação: Abertura/Prorrogação de Questionários 
Assunto: Abertura de Questionários
</t>
  </si>
  <si>
    <t>Aline Fogazzi</t>
  </si>
  <si>
    <t>AF.ASSOCAR</t>
  </si>
  <si>
    <t>lilian.viana@maededeus.com.br</t>
  </si>
  <si>
    <t>88625686002443 - ASSOCIACAO EDUCADORA SAO CARLOS - AESC</t>
  </si>
  <si>
    <t>INC55316800</t>
  </si>
  <si>
    <t>Desbloqueio</t>
  </si>
  <si>
    <t xml:space="preserve">Nome do Contato: Administrador da empresa ALE COMBUSTIVEIS S/A
Usuário: ALEC.ADM0018
Telefone: 21-27765500 
E-mail: regina.lima@ale.com.br 
CNPJ / Razão Social: 23314594000887
Fornecedor solicitou desbloqueio de usuário , mas conforme o print anexo esta dando o seguinte erro, por gentileza verificar.
0000550448 BR1 23314594003398 ALESAT COMBUSTIVEIS S/A PIQUIA ACAILANDIA MA BR mario.carvalho@alesat.com.br 99-35355720 17.02.2014 17:44:03 PNE_JOBS Inativo  0 0
</t>
  </si>
  <si>
    <t>Administrador  da empresa ALE COMBUSTIVEIS S/A</t>
  </si>
  <si>
    <t>regina.lima@ale.com.br</t>
  </si>
  <si>
    <t>23314594000887 - ALE COMBUSTIVEIS SA</t>
  </si>
  <si>
    <t>INC55316722</t>
  </si>
  <si>
    <t>Usuário bloqueado</t>
  </si>
  <si>
    <t>Chamado criado pela área externa do Portal 
 Nome do Contato: Marcelo Kodaira 
 Usuário: MKODAIRA 
 Telefone: 12992126062 
 E-mail: litoralnorte@dddrin.com.br 
 CNPJ: 53362752000169 
 Razão Social SÃO SEBASTIÃO SERVIÇOS DE CONTROLE DE PRAG 
 Somos fornecedores da Transpetro e prestamos serviços por mais de 4 anos no TEBAR. Não estou conseguindo acessar a Petronect, quando tento fazer o login aparece a mensagem de "usuário bloqueado". Também tentei fazer um novo cadastro mas diz que o CNPJ já está cadastrado.
Aguardo orientação.</t>
  </si>
  <si>
    <t>MARCELO KODAIRA</t>
  </si>
  <si>
    <t>MKODAIRA</t>
  </si>
  <si>
    <t>vendasln@dddrin.com.br</t>
  </si>
  <si>
    <t>53362752000169 - SAO SEBASTIAO SERVIÇOS DE CONTROLE DE PR</t>
  </si>
  <si>
    <t>INC55316720</t>
  </si>
  <si>
    <t xml:space="preserve">Cadastro no portal </t>
  </si>
  <si>
    <t xml:space="preserve">Chamado:  INC55316720
Fornecedor(a) solicitou auxilio para o cadastro no portal, o mesmo foi orientado acessar o site da Petronect www.petronect.com.br entra em cadastro na Petrobrás e ir em quer se cadastra? e realizar os procedimento do cadastro. 
Atenciosamente,
Equipe Petronect
</t>
  </si>
  <si>
    <t>INC55316591</t>
  </si>
  <si>
    <t>USER BLOCKED</t>
  </si>
  <si>
    <t>Chamado criado pela área externa do Portal 
 Nome do Contato: ELENA NAVA 
 Usuário:  
 Telefone: +390354655407 
 E-mail: elena.nava@simas.net 
 CNPJ: 10916000150 
 Razão Social SIMAS SRL 
 Hello, I'm trying to access to check the status of our qualification but it seems that our account is blocked. Can you assist us?</t>
  </si>
  <si>
    <t>Elena  Nava</t>
  </si>
  <si>
    <t>S.I.M.A.S.</t>
  </si>
  <si>
    <t>cristina.montini@simas.net</t>
  </si>
  <si>
    <t>10916000150 SOCIETÀ INDUSTRIALE METALLURGICA APLICAZ</t>
  </si>
  <si>
    <t>INC55304278</t>
  </si>
  <si>
    <t xml:space="preserve">EVERTON  DE JESUS MENEZES ANGELO </t>
  </si>
  <si>
    <t>vendas@smtferramentas.com.br</t>
  </si>
  <si>
    <t>47313954000118 - SMART TOOLS COMERCIO DE FERRAMENTAS E SE</t>
  </si>
  <si>
    <t>INC55316401</t>
  </si>
  <si>
    <t>Cancelamento de cadastro</t>
  </si>
  <si>
    <t>Chamado criado pelo área interna do Portal 
 Nome do Contato: MARA ELOIZE LOPES PEROZZO 
 Usuário: USR0069601 
 Telefone: 1998888 1809 
 E-mail: financeiro@espaco345.com.br 
 CNPJ: 17891200000184 
 Razão Social ESPAÇO 345 HOTEL LTDA EPP 
 Bom dia! Gostaria de solicitar o cancelamento do cadastro de minha empresa, por favor, pra não gerar custos. CNPJ: 17.891.200/0001-84. Obrigado</t>
  </si>
  <si>
    <t>INC55316258</t>
  </si>
  <si>
    <t>Nome do Contato: PATRICIA AYRES
Usuário: SEGEX2021
E-mail: comercial@segex.com.br 
Telefone: 31988655621
CNPJ/Razão Social: 12751850000100 SEGEX SEGURANÇA PRIVADA EIRELI
Fornecedor solicita desbloqueio do usuário SEGEX2021</t>
  </si>
  <si>
    <t>ALINE  MARTINS ANDRADE</t>
  </si>
  <si>
    <t>comercial@segex.com.br</t>
  </si>
  <si>
    <t>12751850000100 SEGEX SEGURANÇA PRIVADA EIRELI</t>
  </si>
  <si>
    <t>Aguardando Ação de Terceiros</t>
  </si>
  <si>
    <t>ALISON  VIEIRA QUEVEDO</t>
  </si>
  <si>
    <t>ALISONVIEIRA</t>
  </si>
  <si>
    <t>avieira@actioncargo.com.br</t>
  </si>
  <si>
    <t>07433647000156 - ACTION AGENCIAMENTO DE CARGAS LTDA</t>
  </si>
  <si>
    <t>INC55315892</t>
  </si>
  <si>
    <t xml:space="preserve">Nome do Contato: Administrador da empresa ALE COMBUSTIVEIS S/A
Usuário: ALEC.ADM0018
Telefone: 21-27765500 
E-mail: regina.lima@ale.com.br 
CNPJ / Razão Social: 23314594000887
Fornecedor solicitou desbloqueio de usuário , mas conforme o print anexo esta dando o seguinte erro, por gentileza verificar.
0010048309 BR1 23314594003630     ALE COMBUSTIVEIS SA   VILA EMBRATEL  SAO LUIS   MA BR 
joaobatista.leite@alesat.com.br 98-32281263 13.03.2012 10:42:00     ZCIU Ativo   0 0
</t>
  </si>
  <si>
    <t>INC55315857</t>
  </si>
  <si>
    <t>Nome de contato: Gilmara
Usuário: USR0062873
Telefone: 1150513933    
E-mail: licitacao@setecnet.com.br 
CNPJ/Razão social: 07615386000195 SETEC CONSULTING CONSULTORIA E EDITORA L
Fornecedor solicita desbloqueio do usuário e a atribuição do perfil de admnistrador, o mesmo encontra-se expirado.
1150513933 26.05.2024 Bloqueado  licitacao@setecnet.com.br 
USR0062873
Exibir  
ANA CAROLINA TEDRUS</t>
  </si>
  <si>
    <t>ANA CAROLINA TEDRUS</t>
  </si>
  <si>
    <t>licitacao@setecnet.com.br</t>
  </si>
  <si>
    <t>07615386000195 - SETEC CONSULTING GROUP CONSULTORIA</t>
  </si>
  <si>
    <t>INC55315804</t>
  </si>
  <si>
    <t>Cadastro</t>
  </si>
  <si>
    <t>Chamado criado pela área externa do Portal 
 Nome do Contato: Cimara Goes 
 Usuário:  
 Telefone: 84 988930271 
 E-mail: cimara.goes@ale.com.br 
 CNPJ: 23.314.594/0016-97 
 Razão Social ALE COMBUSTIVEIS S.A. 
 Prezados, não estou conseguindo cadastrar um novo usuário para este CNPJ, o sistema informa que já possui cadastro. Inclusive, já enviei e-mail para atendi.fornecedores@petrobras.com.br, com a carta modelo e não obtive retorno. Poderiam verificar e criar um usuário de acesso.</t>
  </si>
  <si>
    <t>INC55315739</t>
  </si>
  <si>
    <t>Chamado criado pela área externa do Portal 
 Nome do Contato: Cimara Goes 
 Usuário:  
 Telefone: 84 988930271 
 E-mail: cimara.goes@ale.com.br 
 CNPJ: 23.314.594/0036-30 
 Razão Social ALE COMBUSTIVEIS S.A. 
 Prezados, não estou conseguindo cadastrar um novo usuário para os CNPJs abaixo, já enviei a carta modelo por e-mail para atendi.fornecedores@ale.com.br e não obtive retorno. CNPJ: 23.314.594/0033-98 e 23.314.594/0036-30. Quando vou tentar criar um novo usuário, informa que já tem cadastro.</t>
  </si>
  <si>
    <t>Duvidas Assinatura Digital</t>
  </si>
  <si>
    <t>'+5547999287611</t>
  </si>
  <si>
    <t>WILLIAN LEONARDO DA SILVA</t>
  </si>
  <si>
    <t>TEMPEROVERDE</t>
  </si>
  <si>
    <t>licitacao@temperoverderefeicoes.com.br</t>
  </si>
  <si>
    <t>34801398000187 - TEMPERO VERDE REFEIÇÕES LTDA</t>
  </si>
  <si>
    <t>INC55309430</t>
  </si>
  <si>
    <t>Acesso ao Sistema</t>
  </si>
  <si>
    <t>Chamado criado pela área externa do Portal 
 Nome do Contato: Marcelino Guedes Gomes 
 Usuário: PIPELINE 
 Telefone: 21992516114 
 E-mail: marcelino@pipelinebrazil.com 
 CNPJ: 37732050000173 
 Razão Social PIPELINEBRAZIL ENGENHARIA LTDA 
 Tentei acessar e fui informado que o acesso esta bloqueado. Gostaria de orientações.</t>
  </si>
  <si>
    <t>MARCELINO GUEDES FERREIRA MOSQUEIRA GOMES</t>
  </si>
  <si>
    <t>marcelino@pipelinebrazil.com</t>
  </si>
  <si>
    <t>37732050000173</t>
  </si>
  <si>
    <t>INC55305360</t>
  </si>
  <si>
    <t>Erro no portal</t>
  </si>
  <si>
    <t>Nome do Contato: EVA MARIA DE CARVALHO
Usuário: CARVALHO2024
E-mail: eva@ecconsultoriaambiental.com 
Telefone: 11945255214
CNPJ/Razão Social: 35124905000158 EMC CONSULTORIA &amp; ASSESSORIA AMBIENTA
Fornecedora não consegue acessar o portal, segue o print do erro que apresenta o mesmo</t>
  </si>
  <si>
    <t>CIPC 02/2026</t>
  </si>
  <si>
    <t>Incidentes//Cadastro na Petrobras//Suporte//Website//Falhas de Navegação</t>
  </si>
  <si>
    <t>Falhas de Navegação</t>
  </si>
  <si>
    <t>Eva Mariade Carvalho</t>
  </si>
  <si>
    <t>eva@ecconsultoriaambiental.com</t>
  </si>
  <si>
    <t>35124905000158</t>
  </si>
  <si>
    <t>INC55305336</t>
  </si>
  <si>
    <t>Portal indisponível. fornecedora informa que vai aguardar voltar.</t>
  </si>
  <si>
    <t>Incidentes//Chamado Interno//GSI//Acesso//Acesso</t>
  </si>
  <si>
    <t>Usuário Inexistente</t>
  </si>
  <si>
    <t>8605174651 - FERRETERIA HERRAMIENTAS Y LAMINAS LTDA</t>
  </si>
  <si>
    <t>INC55305134</t>
  </si>
  <si>
    <t>Erro no potal</t>
  </si>
  <si>
    <t>Nome do Contato: Felipe 
Usuário: WARCOSTA
E-mail: wardistribuidora@gmail.com
Telefone: 5521993171498
CNPJ/Razão Social: 23726064000170  WAR DISTRIBUIDORA DE MATERIAIS E EQUIPAMENTOS LTDA
Fornecedor não consegue acessar o portal. Seguem os prints do erro que está apresentando o site</t>
  </si>
  <si>
    <t>FELIPE MIRANDA COSTA</t>
  </si>
  <si>
    <t>WARCOSTA</t>
  </si>
  <si>
    <t>wardistribuidora@gmail.com</t>
  </si>
  <si>
    <t>23726064000170 - WAR DISTRIBUIDORA DE MATERIAIS E EQUIPAMENTOS LTDA</t>
  </si>
  <si>
    <t>INC55305098</t>
  </si>
  <si>
    <t>Boa tarde, prezados.
Chamado: INC55305098
CNPJ: 23314594003630
Fornecedora informa que fez a carta modelo e encaminhou ao e-mail da Petrobrás mas ainda não obteve resposta. Orientamos que no momento o sistema Petronect está com instabilidade e não conseguiremos dar sequência ao seu atendimento. 
Solicitamos que retorne o contato em outro momento, pedimos desculpas pelo transtorno.
Atenciosamente,
Equipe Petronect</t>
  </si>
  <si>
    <t>lfarias@amperi.com.br</t>
  </si>
  <si>
    <t>19308851000124 AMPERI IMPORTACAO E COMERCIO LTDA</t>
  </si>
  <si>
    <t>INC55304977</t>
  </si>
  <si>
    <t>canal do forncedor</t>
  </si>
  <si>
    <t>Nome de contato: Huang Pi Hui utiyama
Usuário:
CPF:09288068805
Telefone:1932890907
E-mail:mbconsultores@h2so4.com.br
CNPJ/Razão social:29183498000157
Fornecedor(a) entrou em contato solicitando auxilio para verificar notas NF , orientado(a):
Canal Fornecedor (https://canalfornecedor.petrobras.com.br)</t>
  </si>
  <si>
    <t>1aa4ccd4-972e-4fc3-afff-1683db9c25cc</t>
  </si>
  <si>
    <t>Incidentes//Cadastro na Petrobras//Suporte//Entrada Indevida//ARIBA</t>
  </si>
  <si>
    <t>Mario Beer</t>
  </si>
  <si>
    <t>mbconsultores@h2so4.com.br</t>
  </si>
  <si>
    <t>FN419828W - YARA ENVIROMENTAL TECHNOLOGIES GMBH</t>
  </si>
  <si>
    <t>INC55304940</t>
  </si>
  <si>
    <t xml:space="preserve">Chamado criado pela área externa do Portal 
 Nome do Contato: Cimara Goes 
 Usuário:  ALEC.ADM0004
 Telefone: 84988930271 
 E-mail: cimara.goes@ale.com.br 
 CNPJ: 23314594000453 -
 Razão Social ALE COMBUSTIVEIS S.A. </t>
  </si>
  <si>
    <t>Administrador da empresa ALE COMBUSTIVEIS S.A.</t>
  </si>
  <si>
    <t>23314594000453 - ALE COMBUSTIVEIS S.A.</t>
  </si>
  <si>
    <t>INC55304840</t>
  </si>
  <si>
    <t xml:space="preserve">Chamado:
Nome: Gustavo Tenório
Usuário: TM.BVDISTRIB
Telefone; 35984615566
E-mail: tiago.morais@bvdistribuidora.com
30630087000141 - BV DISTRIBUIDORA DE COMBUSTÍVEIS LTDA.
Solicita o desbloqueio do usuário abaixo e que seja atribuído o perfil admin
TM.BVDISTRIB
TIAGO MORAIS TAVARES
35984615566 01.11.2023    Bloqueado Exibir  tiago.morais@bvdistribuidora.com
</t>
  </si>
  <si>
    <t xml:space="preserve">8001442495 </t>
  </si>
  <si>
    <t>TIAGO  MORAIS TAVARES</t>
  </si>
  <si>
    <t>TM.BVDISTRIB</t>
  </si>
  <si>
    <t>tiago.morais@bvdistribuidora.com</t>
  </si>
  <si>
    <t>30630087000141 - BV DISTRIBUIDORA DE COMBUSTÍVEIS LTDA.</t>
  </si>
  <si>
    <t>INC55304819</t>
  </si>
  <si>
    <t>NOTAS /DESCLASSIFICAÇÃO</t>
  </si>
  <si>
    <t>Oportunidade 7004535368 
 Chamado criado pelo área interna do Portal 
 Nome do Contato: EVERTON DE JESUS MENEZES ANGELO 
 Usuário: EVERTON2707 
 Telefone: 22998153709 
 E-mail: vendas@smtferramentas.com.br 
 CNPJ: 47313954000118 
 Razão Social SMART TOOLS COMERCIO DE FERRAMENTAS E SE 
 Gostaria de solicitar uma revisão na minha nota de fornecimento. EM verificação ao extrato em anexo foi observado que:
Nos pedido com reagendamento de datas as notas estão saindo com IDF 1, mesmo antes da data de entrega Gostaria que fosse revisada as notas contemplando a realidade, pois estou sendo desclassificado da licitação citada na oportunidade relacionada.</t>
  </si>
  <si>
    <t>Incidentes//Cadastro na Petrobras//Suporte//Eventos</t>
  </si>
  <si>
    <t>Eventos</t>
  </si>
  <si>
    <t>INC55304817</t>
  </si>
  <si>
    <t xml:space="preserve">Ligação MUDA com queda após o script inicial
</t>
  </si>
  <si>
    <t>INC55304771</t>
  </si>
  <si>
    <t>Cadastro Usuário</t>
  </si>
  <si>
    <t>Chamado criado pela área externa do Portal 
 Nome do Contato: Cimara Goes 
 Usuário:  
 Telefone: 84988930271 
 E-mail: cimara.goes@ale.com.br 
 CNPJ: 23314594000534 
 Razão Social ALE COMBUSTIVEIS S.A. 
 Prezados, não estamos conseguindo efetuar o cadastro no sistema da Petronect para os CNPJs: 23.314.594/0005-34 e 23314594000453 pois informa que já possui cadastro no sistema. Mas em contato pelo telefone o atendente me informou que não possui cadastro. Como podemos fazer para regularização?</t>
  </si>
  <si>
    <t>ALE COMBUSTIVEIS SA</t>
  </si>
  <si>
    <t>23314594000534 - ALE COMBUSTIVEIS SA</t>
  </si>
  <si>
    <t>INC55304693</t>
  </si>
  <si>
    <t>Cadastro na Petrobras</t>
  </si>
  <si>
    <t>Sra. Silmara não está conseguindo cadastrar a empresa no sistema. Orientada a abrir um fale conosco no portal externo relatando o acontecimento.</t>
  </si>
  <si>
    <t>Serviços//Cadastro na Petrobras</t>
  </si>
  <si>
    <t>INC55304533</t>
  </si>
  <si>
    <t xml:space="preserve">Boa tarde,
Fornecedor (a) solicita Desbloqueio de usuário ASSU.ADM
ASSU.ADM
Andre Vieira de Sa
(83)35331823 andre_sa@assuncaobr.com.br 06.12.2022    Bloq. (Senha Expirada)
Chamado/Prot: INC55304533
Nome :  Andre Vieira de Sa
Usuário: ASSU.ADM
Telefone: (83)35331823
E-mail: andre_sa@assuncaobr.com.br
CNPJ: 05892612000230
Razão Social: ASSUNÇAO DISTRIBUIDORA LTDA
</t>
  </si>
  <si>
    <t>8001442476</t>
  </si>
  <si>
    <t>Andre Vieira de Sa</t>
  </si>
  <si>
    <t>ASSU.ADM</t>
  </si>
  <si>
    <t>andre_sa@assuncaobr.com.br</t>
  </si>
  <si>
    <t>05892612000230 - ASSUNÇAO DISTRIBUIDORA LTDA</t>
  </si>
  <si>
    <t>INC55304427</t>
  </si>
  <si>
    <t>SEM ACESSO</t>
  </si>
  <si>
    <t>Chamado criado pela área externa do Portal 
 Nome do Contato: LUCIANA 
 Usuário:  GABRIELA99
 Telefone: 11 970710703 
 E-mail: fgflex@fgflexmangueiras.com.br 
 CNPJ: 35717443000182 
 Razão Social  35717443000182 - FG FLEX IND E COM DE MANGUEIRAS INDUSTRI
 AO TENTAR ACESSAR O PORTAL, É ENVIADO UM CÓDIGO DE SEGURANÇA PARA O E-MAIL CADASTRADO PORÉM NÃO ESTAMOS RECEBENDO ESTE E-MAIL E SEM ESTE CÓDIGO NÃO CONSEGUIMOS ACESSAR O PORTAL</t>
  </si>
  <si>
    <t>GABRIELA DE OLIVEIRA CABRAL ALGORTA PEDRA</t>
  </si>
  <si>
    <t>GABRIELA99</t>
  </si>
  <si>
    <t>fgflex@fgflexmangueiras.com.br</t>
  </si>
  <si>
    <t>35717443000182 - 35717443000182 - FG FLEX IND E COM DE MANGUEIRAS INDUSTRI</t>
  </si>
  <si>
    <t>INC55304385</t>
  </si>
  <si>
    <t>Chamado:  INC55304385
 Nome do Contato: LUCIANA TEBALDI NOGUEIRA
 Usuário: COMERCIALLPB
 Telefone: 1639477996
E-mail: vendas@lpb.ind.br
CNPJ / Razão Social: 36948499000100  - LPB MANCAIS DE DESLIZAMENTO LTDA
Fornecedor(a) Solicita auxilio para o desbloqueio de seu cadastro que expirou no dia 02/11/2025 e aderi ai perfil de administrador. 
COMERCIALLPB
LUCIANA TEBALDI NOGUEIRA
1639477996 02.11.2025    Desbloqueado Exibir  vendas@lpb.ind.br</t>
  </si>
  <si>
    <t xml:space="preserve">8001442477 </t>
  </si>
  <si>
    <t>LUCIANA TEBALDI NOGUEIRA</t>
  </si>
  <si>
    <t>COMERCIALLPB</t>
  </si>
  <si>
    <t>vendas@lpb.ind.br</t>
  </si>
  <si>
    <t>36948499000100 - LPB MANCAIS DE DESLIZAMENTO LTDA</t>
  </si>
  <si>
    <t>SERGIO XAVIER DE CAMARGO</t>
  </si>
  <si>
    <t>SANEVIAS</t>
  </si>
  <si>
    <t>sanevias@sanevias.com.br</t>
  </si>
  <si>
    <t>08610914000186 - SANEVIAS CONSULTORIA E PROJETOS LTDA</t>
  </si>
  <si>
    <t>INDICE FORNECEDOR</t>
  </si>
  <si>
    <t>Chamado criado pelo área interna do Portal 
 Nome do Contato: EVERTON DE JESUS MENEZES ANGELO 
 Usuário: EVERTON2707 
 Telefone: 22998153709 
 E-mail: vendas@smtferramentas.com.br 
 CNPJ: 47313954000118 
 Razão Social SMART TOOLS COMERCIO DE FERRAMENTAS E SE 
 Na data de hoje recebi um email de desclassificação de uma licitação publica. Motivo alegado seria minha nota, sistema mostra que estou apenas com 1 estrela.
Gostaria de uma análise mais afundo da nota, já algum nas reuniões mensais, vem sendo notado jutno ao diligenciamento que as notas não condizem com a realizada.</t>
  </si>
  <si>
    <t>INC55303937</t>
  </si>
  <si>
    <t>CADASTRO EM FAMILIAS DE FORNECIMENTO</t>
  </si>
  <si>
    <t>Chamado criado pelo área interna do Portal 
 Nome do Contato: NAYDE TORRES DE SOUZA LEAO 
 Usuário: NTS.LEAO 
 Telefone: 81988513110 
 E-mail: administrativo@souzaleaologistica.com.br 
 CNPJ: 32578469000107 
 Razão Social SOUZA LEAO SERVIÇO E COMÉRCIO IMPORTAÇAO 
 GOSTARIA DE SABER COMO INCLUIR OUTRAS FAMILIAS NO MEU CADSTRO DE FORNECIMENTO</t>
  </si>
  <si>
    <t>NAYDE TORRES DE SOUZA LEAO</t>
  </si>
  <si>
    <t>NTS.LEAO</t>
  </si>
  <si>
    <t>administrativo@souzaleaologistica.com.br</t>
  </si>
  <si>
    <t>32578469000107 - N T DE SOUZA LEAO</t>
  </si>
  <si>
    <t>INC55303904</t>
  </si>
  <si>
    <t xml:space="preserve">Boa tarde, 
Fornecedor (a) solicita auxílio pois informou não conseguir realizar troca de e-mail de usuário, este informa que quando usuário administrador tenta efetuar a troca, aparece mensagem de erro, e ao tentar realizar a troca no proprio usuário, tambem não consegue efetuar procedimento.
Ao verificar em sistema SAP usuário também não possui bloqueio.
Seguem os  prints em anexo. 
Chamado/Prot: INC55303904
Nome : Ygor Negrao
Usuário: BRASIL2026
Telefone: 047997879458
E-mail: js10@chinajsgj.com
CNPJ: 911309257926635816
Razão Social: HEBEI JINSHENG PIPE FITTING MANUFACTURIN
</t>
  </si>
  <si>
    <t>8001442458</t>
  </si>
  <si>
    <t>Ygor Negrao</t>
  </si>
  <si>
    <t>js10@chinajsgj.com</t>
  </si>
  <si>
    <t>911309257926635816 HEBEI JINSHENG PIPE FITTING MANUFACTURIN</t>
  </si>
  <si>
    <t>INC55303864</t>
  </si>
  <si>
    <t xml:space="preserve">Desbloqueio  de usuário </t>
  </si>
  <si>
    <t>Chamado:  INC55303864
 Nome do Contato: Alexandra de Farias
 Usuário: USR0057243
 Telefone: 21 3544-5856
E-mail: alexandraf@dimensionalengenharia.com
CNPJ / Razão Social: 00299904000160  - DIMENSIONAL ENGENHARIA LTDA
Fornecedor(a) solicitou auxilio para o desbloqueio de seu usuário que expirou no dia 15/09/2023 e aderi ao perfil de administrador.
USR0057243
Alexandra de Farias
21 3544-5856 15.09.2023    Bloqueado Exibir  alexandraf@dimensionalengenharia.com</t>
  </si>
  <si>
    <t>8001442473</t>
  </si>
  <si>
    <t>Alexandra  de Farias</t>
  </si>
  <si>
    <t>alexandraf@dimensionalengenharia.com</t>
  </si>
  <si>
    <t xml:space="preserve"> 00299904000160  - DIMENSIONAL ENGENHARIA LTDA</t>
  </si>
  <si>
    <t>7004535368</t>
  </si>
  <si>
    <t>INC55303696</t>
  </si>
  <si>
    <t>Inclusão de Familias - Erro petronect</t>
  </si>
  <si>
    <t>Chamado criado pelo área interna do Portal 
 Nome do Contato: THIAGO STEFAN SOARES ROCHA 
 Usuário: PORTAL_CAJA 
 Telefone: 21974953927 
 E-mail: portal.br@se.com 
 CNPJ: 82743287003553 
 Razão Social SCHNEIDER ELECTRIC BRASIL LTDA 
 Prezados,
Conforme orientação da Petronect (protocolo de atendimento: 81439127), estamos solicitando a inclusão de novas famílias de produtos no cadastro da empresa.
As famílias a serem incluídas são:
98010456 – Centro de Controle de Motores (CCM) até 1 kV
98010394 – Painel elétrico de distribuição até 1 kV (BT)
98010385 – Centro de Distribuição de Cargas até 1 kV
98010384 – Centro de Distribuição de Cargas conforme a norma IEC 62271-200
Todas as famílias acima são referentes a bens. Informamos que se trata de (informar: fabricação própria / revenda).
Caso seja revenda, informar também:
CNPJ do fabricante: 82.743.287/0035-53
Razão social do fabricante: Schneider Electric Brasil
(O fabricante já está cadastrado no portal.)
Adicionalmente, gostaríamos de destacar que, ao acessar o menu para abertura do chamado, não encontramos a opção “Solicitação – Ampliação/Recuperação de Fornecimento”, conforme instrução recebida.
No sistema, está aparecendo apenas a opção “Funcionalidade”, já filtrada automaticamente para abertura do chamado interno (conforme print enviado). Solicitamos orientação caso haja alguma inconsistência ou mudança no fluxo.
Aguardo retorno.
Atenciosamente,
Jessica ANDRADE SILVERIO</t>
  </si>
  <si>
    <t xml:space="preserve">8001442448 </t>
  </si>
  <si>
    <t>THIAGO STEFAN SOARES ROCHA</t>
  </si>
  <si>
    <t>PORTAL_CAJA</t>
  </si>
  <si>
    <t>portal.br@se.com</t>
  </si>
  <si>
    <t xml:space="preserve">82743287003553 SCHNEIDER ELECTRIC BRASIL LTDA </t>
  </si>
  <si>
    <t>INC55303598</t>
  </si>
  <si>
    <t>Ajuste de Conta</t>
  </si>
  <si>
    <t>Chamado criado pelo área interna do Portal 
 Nome do Contato: LARA CRISTINA OLIVEIRA CARVALHO 
 Usuário:  Telefone: 24998264419 
 E-mail: lara.carvalho@rtmultiserv.com.br 
 CNPJ: 
 Razão Social  
 Boa tarde,
Por favor, como faço para ajustar o CNPJ de uma empresa cadastrada recentemente, pois foi criado com CNPJ incorreto.
12.848.537/0001-95</t>
  </si>
  <si>
    <t>INC55303364</t>
  </si>
  <si>
    <t>Alteração de conta bancária</t>
  </si>
  <si>
    <t>Chamado criado pelo área interna do Portal 
 Nome do Contato: SAULO SANTOS PESSANHA 
 Usuário: DRILLVEND01 
 Telefone: 22 998456165 
 E-mail: s2pindustrial@outlook.com 
 CNPJ: 36276373000137 
 Razão Social S2P INDUSTRIAL COMERCIO E SERVICOS LTDA 
 Boa tarde!
Solicito alteração da conta bancária anteriormente registrada (Caixa Econômica), para Banco do Brasil, conforme descrita abaixo:
Banco: 001 - Banco do Brasil
Agencia: 3845-8 (Quissamã-RJ)
C/C: 26587-0
S2P Industrial Comercio e Serviços Ltda</t>
  </si>
  <si>
    <t>SAULO SANTOS PESSANHA</t>
  </si>
  <si>
    <t>drillseacomercio@gmail.com</t>
  </si>
  <si>
    <t>36276373000137 - DRILL SEA COMERCIO E SERVIÇOS LTDA</t>
  </si>
  <si>
    <t>INC55303214</t>
  </si>
  <si>
    <t>TAXA E EMISSÃO DA CRC</t>
  </si>
  <si>
    <t>Chamado criado pelo área interna do Portal 
 Nome do Contato: FERNANDO MESSIAS VIEIRA DOS SANTOS 
 Usuário: FERNANDOCONS 
 Telefone: (38) 99218-9137 
 E-mail: contato@consuldoc.com.br 
 CNPJ: 15626562000112 
 Razão Social CONSULDOC CONSULTORIA E ASSESSORIA LTDA 
 Prezados, boa tarde!
Gostaria de saber quando será emitida a CRC e referente a taxa se é preciso efetuar o pagamento após a emissão deste documento?
Att,
Marcus Tadeu
Supervisor de Relacionamento e Qualidade</t>
  </si>
  <si>
    <t>FERNANDO MESSIAS VIEIRA DOS SANTOS</t>
  </si>
  <si>
    <t>FERNANDOCONS</t>
  </si>
  <si>
    <t>contato@consuldoc.com.br</t>
  </si>
  <si>
    <t>15626562000112 -  CONSULDOC CONSULTORIA E ASSESSORIA LTDA</t>
  </si>
  <si>
    <t>INC55303115</t>
  </si>
  <si>
    <t xml:space="preserve">INC55303115 +5519983277372
Nome do Contato: Almir Gonsales
CNPJ/Razão Social: 12096667000119
CPF: 11310742898
Telefone: 19983277372
E-mail: vendas@argus-engenharia.com.br
Usuário: VENDAS.ARGUS
Oportunidade: 
CHAT BOT - Redefinição de Senha
</t>
  </si>
  <si>
    <t>'+5519983277372</t>
  </si>
  <si>
    <t>CARLOS HENRIQUE</t>
  </si>
  <si>
    <t>VENDAS.ARGUS</t>
  </si>
  <si>
    <t>vendas@argus-engenharia.com.br</t>
  </si>
  <si>
    <t>12096667000119 - ARGUS PRODUTOS E SISTEMAS CONTRA INCENDI</t>
  </si>
  <si>
    <t>INC55302791</t>
  </si>
  <si>
    <t>CHAT BOT - Dados Básicos</t>
  </si>
  <si>
    <t xml:space="preserve">INC55302791 +5522992080868
Nome do Contato: Álvaro Bruno Schott Lemgruber
CNPJ/Razão Social: 32871476000194
CPF: 09995962764
Telefone: 22998481981
E-mail: Tribodiesel2@gmail.com
Usuário: ALTD2028
Oportunidade: 
CHAT BOT - Dados Básicos
</t>
  </si>
  <si>
    <t>'+5522992080868</t>
  </si>
  <si>
    <t>ALVARO BRUNO SCHOTT LEMGRUBER</t>
  </si>
  <si>
    <t>tribodiesel2@gmail.com</t>
  </si>
  <si>
    <t>32871476000194 - A. B. SCHOTT LEMGRUBER</t>
  </si>
  <si>
    <t>Vinicius Bégio</t>
  </si>
  <si>
    <t>administrativo@bfcsoldas.com.br</t>
  </si>
  <si>
    <t>21627946000152 - BFC-TECNOLOGIA - SOLUCOES E SERVICOS LTD</t>
  </si>
  <si>
    <t>INC55302475</t>
  </si>
  <si>
    <t xml:space="preserve">INC55302475 +5592984338696
Nome do Contato: RUY FERNANDO RIBEIRO DA FONSECA
CNPJ/Razão Social: 05827381000109
CPF: 000.739.462-49
Telefone: 9232340934
E-mail: ruydafonseca@gmail.com
Usuário: RFRI.ADM
Oportunidade: 
CHAT BOT - Acesso portal cadastro
</t>
  </si>
  <si>
    <t>'+5592984338696</t>
  </si>
  <si>
    <t>RUY FERNANDO RIBEIRO DA FONSECA</t>
  </si>
  <si>
    <t>RFRI.ADM</t>
  </si>
  <si>
    <t>ruy-fonseca@uol.com.br</t>
  </si>
  <si>
    <t>05827381000109 - R. F. RIBEIRO DA FONSECA - ME</t>
  </si>
  <si>
    <t>INC55302128</t>
  </si>
  <si>
    <t>Nome do Contato: Vinicius Chaves Bégio
Usuário: BFCTECN
E-mail: administrativo@bfcsoldas.com.br 
Telefone: 11995787010
CNPJ/Razão Social: 21627946000152 - BFC-TECNOLOGIA - SOLUCOES E SERVICOS LTD
Fornecedor solicita desbloqueio do usuário BFCTECN</t>
  </si>
  <si>
    <t>Thais Andrezza Garcia Silva</t>
  </si>
  <si>
    <t>CNGE-THAIS</t>
  </si>
  <si>
    <t>thais@conenge-sc.com.br</t>
  </si>
  <si>
    <t>75554030000149 - CONENGE-SC CONSTRUCOES E ENGENHARIA LTDA</t>
  </si>
  <si>
    <t>INC55301710</t>
  </si>
  <si>
    <t xml:space="preserve">usuario expirado </t>
  </si>
  <si>
    <t>cnpj : 06954157000132
empresa : FRANCISCO A. A. MEDEIRO IND. E COMERCIO
nome : FRANCISCO DE ASSIS ALVES MEDEIRO
e-mail: faame@uol.com.br
telefone : 21 99992-1227
usuario : USR0053451
expirado desde : 05.10.2025
INC55301710</t>
  </si>
  <si>
    <t>amadeu.neto@Petronect</t>
  </si>
  <si>
    <t>Amadeu  Silva Gomes Da Mota Neto</t>
  </si>
  <si>
    <t>INC55301678</t>
  </si>
  <si>
    <t>Criação de processo de inscrição em massa</t>
  </si>
  <si>
    <t>Bom dia a todos ! 
Precisamos criar algumas centenas de processos de inscrição de critério TEC para 6 famílias .
Existe funcionalidade para fazer essa criação em massa ? A exemplo do que fazemos com o critério Econômico ?
Atenciosamente,
Dino Octavio Junior
SUPRIMENTOS/RMF/DQF/GCF</t>
  </si>
  <si>
    <t>INC55301429</t>
  </si>
  <si>
    <t>Solicitação de Reabertura do Critério Técnico</t>
  </si>
  <si>
    <t>Sendo tratado no chamado: 8001442392</t>
  </si>
  <si>
    <t>8001442392</t>
  </si>
  <si>
    <t>Incidentes//Cadastro na Petrobras//Suporte//Questionários//Outros</t>
  </si>
  <si>
    <t>ERNANE PEDROSA</t>
  </si>
  <si>
    <t xml:space="preserve">6635774 </t>
  </si>
  <si>
    <t>jpedrosa@jpedrosa.com.br</t>
  </si>
  <si>
    <t>66357740000198 - J PEDROSA TRANSPORTES LTDA</t>
  </si>
  <si>
    <t>monique.lima@Petronect</t>
  </si>
  <si>
    <t>Monique Lima</t>
  </si>
  <si>
    <t>INC55301334</t>
  </si>
  <si>
    <t xml:space="preserve">Quer se cadastrar </t>
  </si>
  <si>
    <t>CHAMADO:
CNPJ/RAZÃO SOCIAL:62686705000323
NOME:
USUARIO:xx
EMAIL:xx
TEL:84981033814
OPORTUNIDADE:
Fornecedora solicita suporte para se cadastrar no Portal.
1. Acesse o site petronect.com.br;
2. Vá no menu "Cadastro na Petrobras" e selecione "Quer se cadastrar";
3. Preencha as informações solicitadas, como país de origem, CNPJ, nome, sobrenome, usuário, correio eletrônico 1 e confirme o e-mail;
4. Uma senha provisória será gerada e enviada para o e-mail informado. Ao acessar o Portal Petronect pela primeira vez, será necessário criar uma nova senha.</t>
  </si>
  <si>
    <t>INC55301215</t>
  </si>
  <si>
    <t xml:space="preserve">Oportunidade CADATRO 
 Chamado criado pelo área interna do Portal 
 Nome do Contato: CLAUDIA FERRARI MULLER 
 Usuário: CLAUDIABLACK 
 Telefone: 11942511970 
 E-mail: claudia.muller@blackbox.com 
 CNPJ: 00017332000260 
 Razão Social BLACK BOX INDÚSTRIA E COMÉRCIO LTDA 
 Já abri varios chamados, meu cadastro no criterio economico foi recusado, foi solicitado ao Balanço Patrimonial de abertura, mas conforme base legal, nós utilizamos o Balanço da Matriz, então não temos o balanço patrimonial da Filial.
</t>
  </si>
  <si>
    <t>CLAUDIA FERRARI MULLER</t>
  </si>
  <si>
    <t>CLAUDIABLACK</t>
  </si>
  <si>
    <t>claudia.muller@blackbox.com</t>
  </si>
  <si>
    <t>00017332000260 -  BLACK BOX INDÚSTRIA E COMÉRCIO LTDA</t>
  </si>
  <si>
    <t>INC55301028</t>
  </si>
  <si>
    <t>Bloqueio - Sanção administrativa aplicada pelo Ministério da Agricultura е Pecuária — МАРА</t>
  </si>
  <si>
    <t>Chamado criado pelo área interna do Portal 
 Nome do Contato: ANDRE LUIZ DA SILVA FERNANDES 
 Usuário: ANDREMC 
 Telefone: (22)997712470 
 E-mail: andre.fernandes@sotreq.com.br 
 CNPJ: 34151100000998 
 Razão Social SOTREQ S/A 
 Prezados senhores,
A SOTREQ S/A, pessoa jurídica de direito privado, inscrita no CNPJ sob o n° 34.151.100/0009-98, situada na Av. Mota Coqueiro S/N° - Quadra C, Lote 2 e 3, Cabiúnas, CEP 27.977-300 (“SOTREQ MACAÉ”), vem, por meio deste, apresentar os devidos esclarecimentos referentes à atual situação jurídica da empresa, especialmente no que concerne à ora oficiante, considerando a manutenção da restrição imposta quanto ao acesso ao portal de compras e contratações PETRONECT.
Conforme exposto na primeira Carta de Esclarecimento, enviada à ilustre Comissão em julho de 2025, a Sotreq consta em cadastro de empresa impedida de realizar transações com entidades em âmbito federal, em virtude de sanção administrativa aplicada pelo Ministério da Agricultura е Pecuária — МАРА, em face da filial da SOTREQ de Aparecida de Goiânia,  por prática de infração durante Pregão Eletrônico nº 90010/2024. 
O referido processo licitatório teve como objeto a aquisição, por meio do Sistema de Registro de Preços, de máquinas pesadas, incluindo o fornecimento com a carga, transporte e descarga do bem, em atendimento às necessidades do МАРА. A SOTREQ apresentou proposta para alguns itens constantes do certame, porém com prazo divergente daquele contido nas especificações do Edital, e por este ato, o MAPA entendeu que a filial incorreu em duas condutas passíveis de sanção, quais sejam: 1. não de entregar a documentação exigida para o certame, e 2. não manter as condições da proposta comercial apresentada.
Ocorre que, apesar de as condutas supramencionadas terem ocorrido em um único procedimento licitatório, o MAPA instaurou um processo administrativo para cada item em que foi apresentada proposta divergente, e isso explica a existência de múltiplos ap</t>
  </si>
  <si>
    <t xml:space="preserve">8001442408 </t>
  </si>
  <si>
    <t>ANDRE LUIZ DA SILVA FERNANDES</t>
  </si>
  <si>
    <t>ANDREMC</t>
  </si>
  <si>
    <t>ANDREMC@PETRONECT.COM.BR</t>
  </si>
  <si>
    <t>34151100000998 - SOTREQ S/A</t>
  </si>
  <si>
    <t>07656704000166 - JARDEL DO ROSARIO COSTA</t>
  </si>
  <si>
    <t>INC55300455</t>
  </si>
  <si>
    <t xml:space="preserve">Chamado: INC55300455
 Nome do Contato: THUIANY MATOS DE OLIVEIRA
 Usuário: JMATOST
 Telefone: 21984361624
E-mail: thuiany.matosdeoliveira@jci.com
CNPJ / Razão Social: 01092686002366  - JOHNSON CONTROLS BE DO BRASIL LTDA.
Fornecedor(a) solicitou auxilio para a ampliação da família, foi orientado pelo atendimento. 
Na área externa do portal  localizar as famílias que deseja fazer a ampliação. 
Cadastro da Petrobrás
Família da Petrobrás 
Lista de bens ou serviços 
Após identificar a(s) família(s) que deseja inserir para Fornecimento, anotar o(s) código(s) e:
&gt; Acessar o Portal com login e senha;
A solicitação poderá ser formalizada através do caminho:
&gt; Cadastro na Petrobras;
&gt; Fale Conosco,
&gt;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Foi informado também que o limite de famílias no Cadastro Corporativo são de 5 famílias, e no Registro Simplificado 5
Orientada a inserir o tipo de fornecimento (serviço ou fabricação própria). No caso de revenda, é necessário informar os dados do fabricante (Razão Social e CNPJ).
Para a inclusão de mais famílias, a empresa deverá aguardar a conclusão do processo de ampliação.
Atenciosamente,
Equipe Petronect
</t>
  </si>
  <si>
    <t>THUIANY  MATOS DE OLIVEIRA</t>
  </si>
  <si>
    <t>JMATOST</t>
  </si>
  <si>
    <t>thuiany.matosdeoliveira@jci.com</t>
  </si>
  <si>
    <t>01092686002366  - JOHNSON CONTROLS BE DO BRASIL LTDA.</t>
  </si>
  <si>
    <t>INC55300428</t>
  </si>
  <si>
    <t>Acesso ao portal.</t>
  </si>
  <si>
    <t>Chamado criado pela área externa do Portal 
 Nome do Contato: CHARLES BENEVIDES MOTTÉ 
 Usuário:  
 Telefone: 71981343377 
 E-mail: asapseas.nonato@gmauil.com 
 CNPJ: 05924986000100 
 Razão Social GARRA EMPREENDIMENTOS LTDA 
 Estava realizando o cadastro da empresa e quando fui fazer o login não consegui. Aparece uma mensagem informando que o usuario ou a senha estão incorretos.  
Como devo fazer para resolver, acredito que não lembro o usuario que coloquei e por isso não estou consegundo recuperar a senha.</t>
  </si>
  <si>
    <t>RAIMUNDO SANTOS</t>
  </si>
  <si>
    <t>nonatoss@hotmail.com</t>
  </si>
  <si>
    <t>20111796000167 - MVS CONSTRUÇÕES MONTAGEM E SERVIÇOS LTDA</t>
  </si>
  <si>
    <t>INC55300375</t>
  </si>
  <si>
    <t>Editação de questionario de avaliação</t>
  </si>
  <si>
    <t>Chamado criado pelo área interna do Portal 
 Nome do Contato: MAURICIO CUNHA ALMEIDA 
 Usuário: RAC_VENDAS 
 Telefone: 21964704495 
 E-mail: thawan@racite.com.br 
 CNPJ: 32216244000100 
 Razão Social RACITEC HIDRAULICA LTDA - EPP 
 Bom dia, 
Meu nome é Thawan, Representante da empresa Racitec Hidraulica, reponsavel pleo setor de cadastro da empresa. 
Solicito o supote para a editação do questionário econômico. Pois mesmo adicionando a informação correta uma mensagem de erro perciste. 
Seguem em anexo a mensagem . 
Por gnetileza entrar em contato pelo email : thawan@racitec.com.br
whatsapp : 21988290242</t>
  </si>
  <si>
    <t xml:space="preserve">8001442406 </t>
  </si>
  <si>
    <t>MAURICIO CUNHA ALMEIDA</t>
  </si>
  <si>
    <t>RAC_VENDAS</t>
  </si>
  <si>
    <t>mauricio@racitec.com.br</t>
  </si>
  <si>
    <t>32216244000100 - RACITEC HIDRAULICA LTDA - EPP</t>
  </si>
  <si>
    <t>INC55300344</t>
  </si>
  <si>
    <t>Nome do Contato: Mauro Braga
Usuário: JETCARGO
Telefone: 1239299021 
E-mail: mauro.braga@jetcargotransportes.com.br 
CNPJ / Razão Social: 28857769000140
Bom dia !
Fornecedora solicita o desbloqueei do seu usuário</t>
  </si>
  <si>
    <t>Mauro Braga</t>
  </si>
  <si>
    <t>mauro.braga@jetcargotransportes.com.br</t>
  </si>
  <si>
    <t>28857769000140 - JET CARGO LOGISTICA E TRANSPORTES EIRELL</t>
  </si>
  <si>
    <t>INC55300323</t>
  </si>
  <si>
    <t>Nome do Contato: Camila Barreira barbosa
Usuário: ENGTEX2014
E-mail: leonardo.gar.oliveira@gmail.com 
Telefone: 21970080247
CNPJ/Razão Social: 20773407000169 ENGTEX CONTRUCAO CIVIL E SERVICOS EIRELI
Fornecedora solicita desbloqueio do usuário ENGTEX2014</t>
  </si>
  <si>
    <t>LEONARDO DE OLIVEIRA</t>
  </si>
  <si>
    <t>leonardo.gar.oliveira@gmail.com</t>
  </si>
  <si>
    <t>20773407000169 ENGTEX CONTRUCAO CIVIL E SERVICOS EIRELI</t>
  </si>
  <si>
    <t>SAMYA DANDARA DE SOUSA RAPOSO</t>
  </si>
  <si>
    <t>SAMYARAPOSO</t>
  </si>
  <si>
    <t>hidrovacbelem@gmail.com</t>
  </si>
  <si>
    <t>39380937000175 - SS SERVIÇOS DE LIMPEZA LTDA</t>
  </si>
  <si>
    <t>INC55300038</t>
  </si>
  <si>
    <t>Nome do Contato: Magno do Carmo Rodrigues
Usuário: M.MGRODRIG
E-mail: mgrodriguestransportes@gmail.com 
Telefone: 21964071908
CNPJ/Razão Social: 14000190000151 - MG RODRIGUES TRANSPORTES LTDA - ME
Fornecedor solicita desbloqueio do usuário M.MGRODRIG</t>
  </si>
  <si>
    <t>MAGNO DO CARMO RODRIGUES</t>
  </si>
  <si>
    <t>mgrodriguestransportes@gmail.com</t>
  </si>
  <si>
    <t>14000190000151 - MG RODRIGUES TRANSPORTES LTDA - ME</t>
  </si>
  <si>
    <t>INC55299945</t>
  </si>
  <si>
    <t>INC55299901</t>
  </si>
  <si>
    <t>Nome de contato:Natalia
Usuário: USR0065240 adm@fwengemar.com.br 12988748278
CPF:368.440.428-41
Telefone:12988748278
E-mail:adm@fwengemar.com.br
CNPJ/Razão social:18.235.967/0001-18 FW CONSTRUCÕES E SERVIÇOS MARÍTIMOS LTDA
Fornecedor(a) entrou em contato solicitando auxilio para tirar duvidas após realização do pagamento via pix do boleto da taxa de acesso, orientado(a):
A aguardar o prazo de 24 horas.</t>
  </si>
  <si>
    <t>b550c4c6-8b63-41bd-a414-958529223b52</t>
  </si>
  <si>
    <t>KELVIN MUNIZ  COSTA JESUS</t>
  </si>
  <si>
    <t>INC55299781</t>
  </si>
  <si>
    <t>Chamado criado pela área externa do Portal 
 Nome do Contato: MARIA SALANDRA 
 Usuário: MABECOMERCIO 
 Telefone: 21 970027865 
 E-mail: mabecomercio@gmail.com 
 CNPJ: 20811963000182 
 Razão Social MABE RIO COMERCIO LTDA 
 Bom dia.
Estou tentando solicitar a redefinição de senha de acesso ao portal e não estou conseguindo. Digito o meu usuário, e-mail e o captcha e a solicitação não completa. Há alguma outra maneira de solicitar a redefinição? Estou querendo atualizar o cadastro da empresa.</t>
  </si>
  <si>
    <t>MARIA DO ROSARIO SIQUEIRA SALANDRA</t>
  </si>
  <si>
    <t>MABECOMERCIO</t>
  </si>
  <si>
    <t>mabecomercio@gmail.com</t>
  </si>
  <si>
    <t>20811963000182 - MABE RIO COMÉRCIO LTDA - ME</t>
  </si>
  <si>
    <t>INC55299626</t>
  </si>
  <si>
    <t>iniciar sessão no Petronect</t>
  </si>
  <si>
    <t>Chamado criado pela área externa do Portal 
 Nome do Contato: Eduardo Bancora 
 Usuário:  
 Telefone: +5493416621626 
 E-mail: ebancora@francovigh.com 
 CNPJ: 30501532114 
 Razão Social FRANCOVIGH S.A 
 não conseguimos iniciar sessão no Petronect, pois não sabemos qual e-mail foi cadastrado na plataforma e não temos a senha</t>
  </si>
  <si>
    <t>Renato Ferreira da Silva</t>
  </si>
  <si>
    <t>renato@dacon.ind.br</t>
  </si>
  <si>
    <t>30501532114 - FRANCOVIGH S.A</t>
  </si>
  <si>
    <t>INC55299607</t>
  </si>
  <si>
    <t>Conta Bloqueada</t>
  </si>
  <si>
    <t>Chamado criado pela área externa do Portal 
 Nome do Contato: NIVALDO SILVA DO NASCIMENTO 
 Usuário: NAVIRDO1972 
 Telefone: 11991519410 
 E-mail: contato@ncwater.com.br 
 CNPJ: 42068721000283 
 Razão Social NCWATER TRATAMENTO DE ÁGUA LTDA 
 Olá, Estou com a minha conta bloqueada já faz algum tempo e não consigo descobrir como desbloquear. Simplesmente não tenho acesso, e não recebo nenhuma informação de como realizar o desbloqueio, se é falta de documentação, etc. Poderia me auxiliar? Como devo fazer para realizar o desbloqueio?</t>
  </si>
  <si>
    <t>NIVALDO SILVA DO NASCIMENTO</t>
  </si>
  <si>
    <t>NAVIRDO1972</t>
  </si>
  <si>
    <t>contato@ncwater.com.br</t>
  </si>
  <si>
    <t>42068721000183 -  NCWATER TRATAMENTO DE ÁGUA LTDA</t>
  </si>
  <si>
    <t>debora.c.andrade</t>
  </si>
  <si>
    <t>Debora C. Andrade</t>
  </si>
  <si>
    <t>INC55299456</t>
  </si>
  <si>
    <t>ENC: Erro na geração de CRC e atualização de status</t>
  </si>
  <si>
    <t>Prezados, 
Favor verificar por favor.
Atenciosamente,
Dino Octavio Junior
SUPRIMENTOS/RMF/DQF/GCF
__________________________________________________________________________
Dino, boa tarde
Estamos com um caso de uma empresa que foi aprovada no critério técnico através do processo de cadastro de ofício nº 3001197722, mas não foi gerado CRC e a empresa permanece com status R. Já efetuamos um processo de recálculo, mas o problema continua.
Poderia verificar junto à Petronect, por favor?</t>
  </si>
  <si>
    <t>INC55299365</t>
  </si>
  <si>
    <t xml:space="preserve">INC55299365 f061cc54-97a3-fc82-45d8-562b37a95dbc
Nome do Contato: Edson Ramao Martines
CNPJ/Razão Social: 13353695000218
CPF: 03577582855
Telefone: 1839086687
E-mail: gerencia@operacional1.com.br / gerencia@operacional1.com.br
Usuário: OPER2025MS
Oportunidade: 
CHAT BOT - Acesso portal cadastro
</t>
  </si>
  <si>
    <t>f061cc54-97a3-fc82-45d8-562b37a95dbc</t>
  </si>
  <si>
    <t>Edson ramao</t>
  </si>
  <si>
    <t>gerencia@operaciona1.com.br</t>
  </si>
  <si>
    <t xml:space="preserve">13353695000218 - </t>
  </si>
  <si>
    <t>INC55299149</t>
  </si>
  <si>
    <t>Cadastro de Família</t>
  </si>
  <si>
    <t>Chamado criado pelo área interna do Portal 
 Nome do Contato: ELIANE GOMES DE ARAUJO 
 Usuário: UNIF165 
 Telefone: +551836547100 
 E-mail: vendas@unifardas.com 
 CNPJ: 61646626000245 
 Razão Social UNIFARDAS CONFECÇÕES DO BRASIL LDTA 
 Boa tarde!
Gostaria de incluir no cadastro da Unifardas, as famílias de produtos abaixo:
98012424
98010475
98010284
98010285
98010111
Aguardo retorno. Obrigada,
Eliane.</t>
  </si>
  <si>
    <t xml:space="preserve">8001442409 </t>
  </si>
  <si>
    <t>ELIANE GOMES DE ARAUJO</t>
  </si>
  <si>
    <t>UNIF165</t>
  </si>
  <si>
    <t>vendas@unifardas.com</t>
  </si>
  <si>
    <t>61646626000245 - UNIFARDAS CONFECÇÕES DO BRASIL LDTA</t>
  </si>
  <si>
    <t>INC55298790</t>
  </si>
  <si>
    <t xml:space="preserve">INC55298790 +5511912728388
Nome do Contato: Silvia Camilo Petri
CNPJ/Razão Social: 43553668000179
CPF: 16777888870
Telefone: 11998135633
E-mail: spetri@hoshizakimacom.com.br
Usuário: SPETRI2020
Oportunidade: 
CHAT BOT - Acesso portal cadastro
</t>
  </si>
  <si>
    <t>'+5511912728388</t>
  </si>
  <si>
    <t>SILVIA PETRI</t>
  </si>
  <si>
    <t>spetri@acosmacom.com.br</t>
  </si>
  <si>
    <t>43553668000179 - ACOS MACOM INDUSTRIA E COMERCIO LTDA</t>
  </si>
  <si>
    <t>INC55298774</t>
  </si>
  <si>
    <t>Descredenciamento de Família de Fornecimento</t>
  </si>
  <si>
    <t>Chamado criado pelo área interna do Portal 
 Nome do Contato: THIAGO CORDEIRO QUINTINO 
 Usuário: SINENGETCQ72 
 Telefone: 19971373772 
 E-mail: sinenge@sinenge.com.br 
 CNPJ: 28157963000112 
 Razão Social SINENGE ENGENHARIA LTDA 
 Solicito a exclusão do nosso cadastro da Família: M-70 - Suprimentos para Registro Local
98010056 - Ferramentas de mão [PGAM]. Cadastramento realizado por engano, não fornecemos Ferramentas de Mão em nossa empresa.
Desde já, agradeço pela atenção e peço desculpas pelo incoveniente.
Att.,
Thiago Quintino
19 97137-3772</t>
  </si>
  <si>
    <t>8001442275</t>
  </si>
  <si>
    <t>THIAGO CORDEIRO QUINTINO</t>
  </si>
  <si>
    <t>SINENGETCQ72</t>
  </si>
  <si>
    <t>sinenge@sinenge.com.br</t>
  </si>
  <si>
    <t>28157963000112 -  SINENGE ENGENHARIA LTDA</t>
  </si>
  <si>
    <t>INC55298743</t>
  </si>
  <si>
    <t xml:space="preserve">Nome de contato: JOAO MARCELO ARRUDA FERREIRA
Usuário: MPLJOAO2025
Telefone: 21-99764-9817     
E-mail: joao.ferreira.arruda@lns.maersk.com 
CNPJ/Razão social: 03598524000114 MAERSK LOGISTICS &amp; SERVICES BRASIL LTDA
Fornecedor solicita desbloqueio do usuário, o mesmo encontra-se expirado.
11-97571-3152 30.11.2025 Desbloqueado  fernanda.levi@maersk.com 
MPLLEVI2025
Exibir  
FERNANDA LEVI CORDEIRO
Fornecedor solicita desbloqueio do usuário, o mesmo encontra-se expirado.
47-99125-0010 30.11.2025 Desbloqueado  domingos.neto@lns.maersk.com 
MPLDNETO2025
Exibir  
DOMINGOS ALVES TUGEIRO NETO
</t>
  </si>
  <si>
    <t>JOAO  MARCELO ARRUDA FERREIRA</t>
  </si>
  <si>
    <t>joao.ferreira.arruda@lns.maersk.com</t>
  </si>
  <si>
    <t>03598524000114 / MAERSK LOGISTICS &amp; SERVICES BRASIL LTDA</t>
  </si>
  <si>
    <t>INC55298679</t>
  </si>
  <si>
    <t>nome do Contato: Ligia 
Usuário:ATTCSERVICOS
Telefone: (11) 2356-8440   
E-mail:  attc@attc.net.br      
CNPJ / Razão Social:21296775000126 ATTC EQUIPAMENTOS, MONTAGENS E PROJETOS INDUSTRIAIS LTDA
Fornecedor(a) entrou em contato solicitando auxilio para verificar agendamento de compra e venda direta, orientado(a):
Canal Fornecedor (https://canalfornecedor.petrobras.com.br)</t>
  </si>
  <si>
    <t>Incidentes//Cadastro na Petrobras//Suporte//Entrada Indevida//Ligação Indevida</t>
  </si>
  <si>
    <t>CYNTIA  FERNANDES DA SILVA PERITO</t>
  </si>
  <si>
    <t>ATTCSERVICOS</t>
  </si>
  <si>
    <t>attc@attc.net.br</t>
  </si>
  <si>
    <t>21296775000126 - ATTC EQUIPAMENTOS, MONTAGENS E PROJETOS</t>
  </si>
  <si>
    <t>INC55298619</t>
  </si>
  <si>
    <t xml:space="preserve">INC55298619 +5524988364824
Nome do Contato: Ivania da Silva Marques Veronese
CNPJ/Razão Social: 11223622000103
CPF: 04174255709
Telefone: 24998688818
E-mail: contatos@ecilacm.com.br
Usuário: JB_DIAS
Oportunidade: 
CHAT BOT - Acesso portal cadastro
JB_DIAS
Ivania Veronese
  contatos@ecilacm.com.br 15.06.2025    Desbloqueado
Prezados(a), fornecedor(a) solicita desbloqueio, atualização de validade e atribuições de perfis de seu usuário: JB_DIAS
</t>
  </si>
  <si>
    <t>'+5524988364824</t>
  </si>
  <si>
    <t>Ivania Veronese</t>
  </si>
  <si>
    <t>JB_DIAS</t>
  </si>
  <si>
    <t>contatos@ecilacm.com.br</t>
  </si>
  <si>
    <t xml:space="preserve">11223622000103 - </t>
  </si>
  <si>
    <t>INC55296761</t>
  </si>
  <si>
    <t>Problema de Acesso – Solicitação de Novas Credenciais</t>
  </si>
  <si>
    <t>Chamado criado pela área externa do Portal 
 Nome do Contato: Laura Gastaminza Amodeo 
 Usuário: IDOM.ICEA 
 Telefone: +34661179555 
 E-mail: laura.gastaminza@idom.com 
 CNPJ: A48283964 
 Razão Social  
 Prezada equipe da Petrobras,
Meu nome é Laura, da IDOM, uma empresa de engenharia da Espanha. Estou enfrentando dificuldades para acessar a plataforma. Meus colegas já adicionaram meu e‑mail ao registro de fornecedores da Petrobras, porém ainda não consigo realizar o login.
Tentei acessar o sistema utilizando o usuário e a senha que me foram enviados anteriormente, mas eles parecem não ser mais válidos. Poderiam, por gentileza, enviar novos dados de acesso para o meu e‑mail?
Estou anexando o e‑mail que recebi anteriormente para referência.
Agradeço antecipadamente pelo apoio.
Atenciosamente,
Laura Gastaminza</t>
  </si>
  <si>
    <t>Laura Gastaminza Amodeo</t>
  </si>
  <si>
    <t>IDOM.ICEA</t>
  </si>
  <si>
    <t>laura.gastaminza@idom.com</t>
  </si>
  <si>
    <t>A48283964/IDOM CONSULTING ENGENEERING, ARCHITECTUR</t>
  </si>
  <si>
    <t>INC55289682</t>
  </si>
  <si>
    <t>Cadastro de famílias</t>
  </si>
  <si>
    <t>Chamado criado pelo área interna do Portal 
 Nome do Contato: JOAO MEDEIROS TORQUATO 
 Usuário: JOAOTORQUATO 
 Telefone: 22997540310 
 E-mail: jhsolucoesoffshore@gmail.com 
 CNPJ: 64034073000187 
 Razão Social J M TORQUATO MAQUINAS E FERRAMENTAS LTDA 
 Gostaria de saber porque a família M70 não aparece para colocar os fabricantes. Quando eu edito o fornecimento ele aparece pra mim, porém em editar fabricante ela não aparec, fica esmaecido. Segue foto.</t>
  </si>
  <si>
    <t>JOAO MEDEIROS TORQUATO</t>
  </si>
  <si>
    <t>JOAOTORQUATO</t>
  </si>
  <si>
    <t>jhsolucoesoffshore@gmail.com</t>
  </si>
  <si>
    <t>64034073000187 -  J M TORQUATO MAQUINAS E FERRAMENTAS LTDA</t>
  </si>
  <si>
    <t>INC55288829</t>
  </si>
  <si>
    <t>Cadastro de família 98010458</t>
  </si>
  <si>
    <t>Chamado criado pelo área interna do Portal 
 Nome do Contato: KEILA CRISTINA VIANA DE LAFFITTE ALVES P 
 Usuário: KEILAVIANA02 
 Telefone: 2433402200 
 E-mail: keilaviana@elevolt.com.br 
 CNPJ: 28174670000143 
 Razão Social ELEVOLT INDUSTRIA E COMERCIO LTDA 
 Solicito inserção da família 98010458 em nosso cadastro.
Desde Já agradeço.</t>
  </si>
  <si>
    <t xml:space="preserve">8001442407 </t>
  </si>
  <si>
    <t>Keila Viana</t>
  </si>
  <si>
    <t>keilaviana@elevolt.com.br</t>
  </si>
  <si>
    <t>28174670000143 - ELEVOLT INDUSTRIA E COMERCIO LTDA - EPP</t>
  </si>
  <si>
    <t>INC55288647</t>
  </si>
  <si>
    <t>Nome do Contato: Derly Ramirez
Usuário: DER.AXURE
E-mail: axuretechnologies@axuretechnologies.com
Telefone: +573186372376
CNPJ/Razão Social: 8300926756 AXURE TECHNOLOGIES S.A
Fornecedor solicita desbloqueio do usuário DER.AXURE</t>
  </si>
  <si>
    <t>Derly Mélida  Ramirez Mora</t>
  </si>
  <si>
    <t>DER.AXURE</t>
  </si>
  <si>
    <t>axuretechnologies@axuretechnologies.com</t>
  </si>
  <si>
    <t>8300926756 AXURE TECHNOLOGIES S.A</t>
  </si>
  <si>
    <t>INC55288343</t>
  </si>
  <si>
    <t xml:space="preserve">Revalidar Usuario </t>
  </si>
  <si>
    <t>Nome do Contato: SANDRA LOPES
Usuário: RODA2025
Telefone: 19999974618
E-mail: vendas@mabgruas.com.br 
CNPJ / Razão Social: 07586883000102
Fornecedor solicita a Revalidação de seu usuário, para atualizar os dados Cadastrais.</t>
  </si>
  <si>
    <t>SANDRA  LOPES</t>
  </si>
  <si>
    <t>vendas@mabgruas.com.br</t>
  </si>
  <si>
    <t>07586883000102-MAB COMERCIO DE COMPONENTES DE GRUAS LTD</t>
  </si>
  <si>
    <t>INC55288257</t>
  </si>
  <si>
    <t xml:space="preserve">Nome de contato:KELLY DO NASCIMENTO SANTOS
Usuário:USR0069805 comercial@novostilodesign.com.br (21) 98280-2105
CPF:054.640.387-52
Telefone:21982802105
E-mail:comercial@novostilodesign.com.br
CNPJ/Razão social:39576797000105 NOVO STILO DESIGN GRAFICO EIRLI
Fornecedor(a) entrou em contato solicitando auxilio para gerar boleto da taxa de acesso,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t>
  </si>
  <si>
    <t>802e4e72-eadf-44aa-bfeb-c4076272d6fc</t>
  </si>
  <si>
    <t>Kelly do Nascimento Santos</t>
  </si>
  <si>
    <t>comercial@novostilodesign.com.br</t>
  </si>
  <si>
    <t>39576797000105 - NOVO STILO DESIGN GRAFICO EIRLI</t>
  </si>
  <si>
    <t>INC55287943</t>
  </si>
  <si>
    <t>Nome do Contato: francisco carlos de rezende
Usuário: PRED_SMS
E-mail: carina@pred.com.br 
Telefone: 31992043140
CNPJ/Razão Social: 39642624000148 - PRED ENGENHARIA LTDA - EPP
Fornecedor solicita desbloqueio do usuário PRED_SMS</t>
  </si>
  <si>
    <t>Carina Alves Turci</t>
  </si>
  <si>
    <t>carina@pred.com.br</t>
  </si>
  <si>
    <t>39642624000148 - PRED ENGENHARIA LTDA - EPP</t>
  </si>
  <si>
    <t>INC55287925</t>
  </si>
  <si>
    <t>Restaurar contraseña</t>
  </si>
  <si>
    <t>Chamado criado pela área externa do Portal 
 Nome do Contato: Derly Ramirez 
 Usuário: DER.AXURE 
 Telefone: 3102552323 
 E-mail: axuretechnologies@axuretechnologies.com 
 CNPJ:  
 Razão Social AXURE TECHNOLOGIES 
 no nos deja restaurar la contraseña desde la pagina</t>
  </si>
  <si>
    <t>INC55287916</t>
  </si>
  <si>
    <t>bloqueio da empresa</t>
  </si>
  <si>
    <t xml:space="preserve">Nome de contato:Isaque Jônatas Costa Moraes
CPF:08306458451
Telefone:84999826692
JPATRICIO suprimentos@jpatriciometais.com.br 84-99982-6692 
10.725.679/0001-30J PATRICIO METAIS COMERCIO LTDA
Prezados, sua solicitação será encerrada e o tratamento será redirecionado, conforme manifestação 8001442242 </t>
  </si>
  <si>
    <t>25cf75fe-8677-4613-aea5-89469513a136</t>
  </si>
  <si>
    <t>Isaque Jonatas Costa Moraes</t>
  </si>
  <si>
    <t>JPATRICIO</t>
  </si>
  <si>
    <t>suprimentos@jpatriciometais.com.br</t>
  </si>
  <si>
    <t>10725679000130  J PATRICIO METAIS COMERCIO LTDA</t>
  </si>
  <si>
    <t>DENILTON  ALVES VIEIRA</t>
  </si>
  <si>
    <t>ads.engenharia2016@gmail.com</t>
  </si>
  <si>
    <t>24241060000164 DENILTON ALVES SERVICE ENGENHARIA EIRELI</t>
  </si>
  <si>
    <t>INC55287783</t>
  </si>
  <si>
    <t>registro de usuario</t>
  </si>
  <si>
    <t>Chamado criado pela área externa do Portal 
 Nome do Contato: josé alberto saes 
 Usuário: SAES 
 Telefone: 11 94070 6353 
 E-mail: saes@ducorte.com.bre 
 CNPJ: 46555033000107 
 Razão Social DUCORTE FERRAMENTAS LIMITADA 
 por favor pedimos que muder para este novo usuario comi administrador</t>
  </si>
  <si>
    <t>APARECIDA SOARES</t>
  </si>
  <si>
    <t>DUCORTE</t>
  </si>
  <si>
    <t>rep.riovendas@gmail.com</t>
  </si>
  <si>
    <t xml:space="preserve">46555033000107 - </t>
  </si>
  <si>
    <t>INC55287780</t>
  </si>
  <si>
    <t xml:space="preserve">Nome de contato:Paulo Rogério de Souza
Usuário:
CPF:136.913.748-67
Telefone:11987181482
E-mail:paulo.souza@powersolution.com.br
CNPJ/Razão social:07283019000131 PWS SISTEMAS DE ENERGIA LTDA. - EPP
0000734348 BR1 07283019000131 PWS SISTEMAS DE ENERGIA LTDA. - EPP CENTRO ALTO RIBEIRAO PIRES SP BR kelly@powersafe.com.br 11 26666165 06.02.2018 10:01:06 PNERCACOSTA Inativo  0 0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t>
  </si>
  <si>
    <t>db06b6b1-e845-4c07-a7fa-91665b086e8a</t>
  </si>
  <si>
    <t>INC55287297</t>
  </si>
  <si>
    <t>notas idf</t>
  </si>
  <si>
    <t xml:space="preserve">nome do Contato: Marcio  
Usuário: MARCIO_GOMES
Telefone:31986563904   
E-mail:marcio.leite@sudamin.com.co         
CNPJ / Razão Social:30957357000123 SUDAMIN BRASIL REFRATARIOS E MONTAGENS LTDA
7004543519 DFINRI-SUPRIMENTOS Fechado LP DFP Total 29.12.2025 12:00:00 22.01.2026 17:00:00
Fornecedor(a) entrou em contato solicitando auxilio para verificar poque seu conceito do Fornecedor abaixou, orientado(a):
A verificar com o diligenciador de contrato ou contratante.
Prezados, sua solicitação será encerrada e o tratamento será redirecionado, conforme manifestação  8001442194 
</t>
  </si>
  <si>
    <t>7004543519</t>
  </si>
  <si>
    <t>Wellington Rodrigues</t>
  </si>
  <si>
    <t>marcio.leite@sudamin.com.co</t>
  </si>
  <si>
    <t>30957357000123 - SUDAMIN BRASIL REFRATARIOS E MONTAGENS L</t>
  </si>
  <si>
    <t>INC55287247</t>
  </si>
  <si>
    <t>CHAT BOT - Quer se cadastrar na Petrobras</t>
  </si>
  <si>
    <t xml:space="preserve">INC55287247 +5547991997833
Nome do Contato: Flavio Murilo Vieira
CNPJ/Razão Social: 22340086000134
CPF: 76269620953
Telefone: 47991997833
E-mail: compras@sanfro.com.br
Usuário: 
Oportunidade: 
CHAT BOT - Quer se cadastrar na Petrobras
Solicita a criação do usuário para empresa acima, segue em anexo a planilha.
</t>
  </si>
  <si>
    <t>'+5547991997833</t>
  </si>
  <si>
    <t>Flavio Murilo Vieira</t>
  </si>
  <si>
    <t>FLA.SANFRO</t>
  </si>
  <si>
    <t>financeiro@sanfro.com.br</t>
  </si>
  <si>
    <t xml:space="preserve">22340086000134 - </t>
  </si>
  <si>
    <t>INC55287070</t>
  </si>
  <si>
    <t xml:space="preserve">Nome do Contato: FW CONTRUÇÕES E SERVIÇOS MARÍTIMOS LTDA
Usuário: USR0065240
E-mail: fwtransportes@outlook.com.br 
Telefone: 12988748278
CNPJ/Razão Social: 18235967000118 FW CONSTRUCÕES E SERVIÇOS MARÍTIMOS LTDA
Fornecedor solicita desbloqueio do usuário USR0065240
</t>
  </si>
  <si>
    <t>Kelvin Muniz Costa Jesus</t>
  </si>
  <si>
    <t>INC55287040</t>
  </si>
  <si>
    <t xml:space="preserve">INC55287040 +5582996332180
Nome do Contato: João Pedro Bezerra Dantas de Farias
CNPJ/Razão Social: 13873535000119
CPF: 09060403452
Telefone: 82996332180
E-mail: marecconstrucoes@gmail.com
Usuário: USR0070873
Oportunidade: 
CHAT BOT - Resumo e Confirmação
</t>
  </si>
  <si>
    <t>'+5582996332180</t>
  </si>
  <si>
    <t>JOAO PEDRO BEZERRA DANTAS DE FARIAS</t>
  </si>
  <si>
    <t>marecconstrucoes@gmail.com</t>
  </si>
  <si>
    <t>13873535000119 - MAREC CONSTRUCOES, INCORPORACOES E EMPREENDIMENTOS LTDA</t>
  </si>
  <si>
    <t>INC55286877</t>
  </si>
  <si>
    <t>Nome do Contato: Michele santos da Silva 
Usuário: FERNANDO6062
Telefone: 12991560944 
E-mail: fernando.frugoli@grupoatual.com.br 
CNPJ / Razão Social: 60627313000104
Fornecedora solicita auxilio para o resultado de sua avaliação.
Foi informada que caso tenha passado do prazo médio de 30 dias pode esta solicita o motivo da demora através do chamado de resultado de avaliação.</t>
  </si>
  <si>
    <t>FERNANDO SANT ANA FRUGOLI DOS SANTOS</t>
  </si>
  <si>
    <t>fernando.frugoli@grupoatual.com.br</t>
  </si>
  <si>
    <t>60785179000161 -  ATUAL MARÍTIMA LTDA - ME</t>
  </si>
  <si>
    <t>INC55286782</t>
  </si>
  <si>
    <t xml:space="preserve">INC55286782 +5579998737512
Nome do Contato: Yasmin Melo dos Santos
CNPJ/Razão Social: 18000392000154
CPF: 10311580572
Telefone: 79998737512
E-mail: raiz@genivalnunes.eco.br
Usuário: RAIZ_AMB
Oportunidade: 
CHAT BOT - Redefinição de Senha
</t>
  </si>
  <si>
    <t>'+5579998737512</t>
  </si>
  <si>
    <t>GENIVAL NUNES SILVA</t>
  </si>
  <si>
    <t>RAIZ_AMB</t>
  </si>
  <si>
    <t>raiz@genivalnunes.eco.br</t>
  </si>
  <si>
    <t>18000392000154 - RAIZ CONSULTORIA AMBIENTAL LTDA</t>
  </si>
  <si>
    <t>INC55286738</t>
  </si>
  <si>
    <t>Nome do Contato: thiago dos Anjos santos
Usuário: CENGEENG
E-mail: contato@cenge.com.br 
Telefone: 34997693015
CNPJ/Razão Social: 25822982000128
Fornecedor solicita desbloqueio do usuário CENGEENG</t>
  </si>
  <si>
    <t>Claudio  TeixeiradeCarvalho</t>
  </si>
  <si>
    <t>CENGEENG</t>
  </si>
  <si>
    <t>contato@cenge.com.br</t>
  </si>
  <si>
    <t>25822982000128</t>
  </si>
  <si>
    <t>INC55286680</t>
  </si>
  <si>
    <t>Solicitação de atualização cadastral – Alteração societária, CNPJ e dados de contato</t>
  </si>
  <si>
    <t>Chamado criado pela área externa do Portal 
 Nome do Contato: BEATRIZ NEVES 
 Usuário: BEATRIZNEVES 
 Telefone: 71999798669 
 E-mail: beatriz.neves@pecomenergia.com.br 
 CNPJ: 30537792104CR 
 Razão Social BOLLAN Y CIA S.A. 
 Prezados(as),
Bom dia.
Venho, por meio deste, solicitar a atualização cadastral da empresa junto à plataforma Petronect, em razão de operação societária recentemente concluída.
Dados atualmente cadastrados:
Usuário: BeatrizNeves (Administrador)
E-mail cadastrado: financeiro@bollandsa.com.br
CUIT (CNPJ): 30537792104CR
Razão Social: Bolland y Cia S.A.
Esclarecimentos sobre a alteração societária:
Informamos que a empresa Pecom adquiriu a Bolland y Cia, tendo sido concluída a operação de fusão, motivo pelo qual:
O CUIT (CNPJ) da Bolland y Cia foi devidamente baixado;
A sociedade passou a operar sob nova denominação e novo CUIT.
Diante do exposto, solicitamos, por gentileza, a realização das seguintes alterações:
Alteração do CUIT (CNPJ):
De:   30537792104CR
Para: 30654424698CR
Alteração da Razão Social:
De: Bolland y Cia S.A.
Para: Pecom Servicios Energia S.A.
Alteração do e-mail cadastrado do usuário administrador:
Considerando que o e-mail anteriormente vinculado foi descontinuado em decorrência da fusão, solicitamos a atualização para:
beatriz.neves@pecomenergia.com.br
Para viabilizar a análise e validação das alterações, seguem anexos:
Documentos constitutivos atualizados;
Documentos comprobatórios da operação de fusão.
Permanecemos à disposição para prestar quaisquer esclarecimentos adicionais ou encaminhar documentos complementares que se façam necessários.
Desde já, agradecemos a atenção e aguardamos a confirmação das atualizações solicitadas.
Atenciosamente,
Beatriz das Neves Domingos
Usuário Administrador
Pecom Servicios Energia S.A.
beatriz.neves@pecomenergia.com.br</t>
  </si>
  <si>
    <t>Beatriz Neves</t>
  </si>
  <si>
    <t>BEATRIZNEVES</t>
  </si>
  <si>
    <t>financeiro@bollandsa.com.br</t>
  </si>
  <si>
    <t>30537792104CR - BOLLAND Y CIA S.A.</t>
  </si>
  <si>
    <t>INC55286529</t>
  </si>
  <si>
    <t>Nome do Contato: Solano Faria Madeiraa
Usuário: S3TECSINAL
E-mail: contato@s3tec.eng.br 
Telefone: 27999832004
CNPJ/Razão Social: 43331967000169
Fornecedor solicita desbloqueio do usuário S3TECSINAL</t>
  </si>
  <si>
    <t>SOLANO  MADEIRA</t>
  </si>
  <si>
    <t>S3TECSINAL</t>
  </si>
  <si>
    <t>contato@s3tec.eng.br</t>
  </si>
  <si>
    <t>43331967000169</t>
  </si>
  <si>
    <t>INC55286511</t>
  </si>
  <si>
    <t xml:space="preserve">INC55286511 +5585996607316
Nome do Contato: ALEXANDRE DA SILVA ADRIAO,
CNPJ/Razão Social: 22158733000191
CPF: 30199441200
Telefone: 91993619095
E-mail: aguauniversal@outlook.com
Usuário: AGUAUNIVER
Oportunidade: 
CHAT BOT - Acesso portal cadastro
AGUAUNIVER
ALEXANDRE DA SILVA ADRIAO
91993619095 aguauniversal@outlook.com 25.01.2026    Desbloq. (Senha Expirada)
Prezados(a), fornecedor(a) solicita desbloqueio, atualização de validade e atribuições de perfis de seu usuário: AGUAUNIVER
</t>
  </si>
  <si>
    <t>'+5585996607316</t>
  </si>
  <si>
    <t>ALEXANDRE DA SILVA ADRIAO</t>
  </si>
  <si>
    <t>AGUAUNIVER</t>
  </si>
  <si>
    <t>aguauniversal@outlook.com</t>
  </si>
  <si>
    <t xml:space="preserve">22158733000191 - </t>
  </si>
  <si>
    <t>MARIA  DA PENHA TRINDADE MURAMATSU</t>
  </si>
  <si>
    <t xml:space="preserve"> MARIA.PENHA</t>
  </si>
  <si>
    <t>maria.penha@montcalm.com.br</t>
  </si>
  <si>
    <t>63081764000179 - MONTCALM MONTAGENS INDUSTRIAIS S/A</t>
  </si>
  <si>
    <t>INC55286354</t>
  </si>
  <si>
    <t xml:space="preserve">Acesso portal </t>
  </si>
  <si>
    <t xml:space="preserve">Boa tarde, 
Fornecedora não sabia informar usuario cadastrado no portal, apos ser informada que era necessario confirmação do mesmo, solicitou um momento e a ligação caiu. </t>
  </si>
  <si>
    <t>INC55286353</t>
  </si>
  <si>
    <t>Chamado aberto pela URA
Usuário:TELSI.CRUZ
CPF:01867201739
Taxnum:74079484000142
E-mail:monica.cruz@sonda.com
Seu chamado foi registrado. Estamos lhe transferindo para o atendimento especializado.</t>
  </si>
  <si>
    <t>INC55285977</t>
  </si>
  <si>
    <t>CHAT BOT - Dados de Acesso</t>
  </si>
  <si>
    <t xml:space="preserve">INC55285977 +5581993114775
Nome do Contato: Camila Sales de Oliveira
CNPJ/Razão Social: 32021330000150
CPF: 34404462808
Telefone: 81993114775
E-mail: benivaldo@dachidraulica.com.br
Usuário: BENIVALDO1
Oportunidade: 
CHAT BOT - Dados de Acesso
</t>
  </si>
  <si>
    <t>'+5581993114775</t>
  </si>
  <si>
    <t>BENIVALDO DOS SANTOS BANDEIRA FILHO</t>
  </si>
  <si>
    <t>BENIVALDO1</t>
  </si>
  <si>
    <t>benivaldo@dachidraulica.com.br</t>
  </si>
  <si>
    <t>32021330000150 - DAC COMERCIO E INSTALAÇÃO DE MATERIAIS H</t>
  </si>
  <si>
    <t>INC55285959</t>
  </si>
  <si>
    <t>Falha Login</t>
  </si>
  <si>
    <t>Chamado criado pela área externa do Portal 
 Nome do Contato: Ricardo Haddad 
 Usuário:  
 Telefone: 11985862646 
 E-mail: ricardo@serpolengenharia.com.br 
 CNPJ: 49.385.339/0001-42 
 Razão Social SERPOL CONSTRUÇÕES E SERVIÇOS LTDA 
 Antigamente eu já possui cadastro no Petronect, porém faz tempo que não entre/atualizo.
Estou tentando resetar a minha senha.
O sistema diz que o CNPJ já está cadastrado, porém não sei o email nem a senha de login.
Preciso de ajudar para conseguir fazer o login.
Obrigado.</t>
  </si>
  <si>
    <t>Alessandra Baldim</t>
  </si>
  <si>
    <t>SERPOLENG</t>
  </si>
  <si>
    <t>alessandra@serpolengenharia.com.br</t>
  </si>
  <si>
    <t xml:space="preserve">49385339000142 - </t>
  </si>
  <si>
    <t>INC55285914</t>
  </si>
  <si>
    <t>PARTICIPAR LEILOES</t>
  </si>
  <si>
    <t>Chamado criado pela área externa do Portal 
 Nome do Contato: Anônimo 
 Usuário: Anônimo 
 Telefone:  
 E-mail:  
 CNPJ:  
 Razão Social  
 PARTICIPAR DE LICITAÇOES</t>
  </si>
  <si>
    <t>INC55285759</t>
  </si>
  <si>
    <t>Chamado aberto pela URA
Usuário:UNIF165
CPF:33571257812
Taxnum:61646626000245
E-mail:vendas@unifardas.com
Chat bot Consultar status do chamado</t>
  </si>
  <si>
    <t>INC55285237</t>
  </si>
  <si>
    <t>Chamado aberto pela URA
Usuário:AGUAUNIVER
CPF:30199441200
Taxnum:22158733000191
E-mail:aguauniversal@outlook.com
Chat bot Consultar status do chamado</t>
  </si>
  <si>
    <t>INC55285186</t>
  </si>
  <si>
    <t xml:space="preserve">INC55285186 4a5c302b-f8d6-69ac-8162-59fb3b10d981
Nome do Contato: Agatha Lourenço Caitano
CNPJ/Razão Social: 61838884000576
CPF: 15792258708
Telefone: 21997166785
E-mail: ru050@cummins.com
Usuário: AGATHA968
Oportunidade: 
CHAT BOT - Acesso portal cadastro
AGATHA968
AGATHA LOURENCO CAITANO
21963131 agatha.caitano@cummins.com 31.12.9999    Bloqueado
Prezados(a), fornecedor(a) solicita desbloqueio, atualização de validade e atribuições de perfis de seu usuário: AGATHA968
</t>
  </si>
  <si>
    <t>4a5c302b-f8d6-69ac-8162-59fb3b10d981</t>
  </si>
  <si>
    <t>AGATHA LOURENCO CAITANO</t>
  </si>
  <si>
    <t>AGATHA968</t>
  </si>
  <si>
    <t>agatha.caitano@cummins.com</t>
  </si>
  <si>
    <t>61838884000576 - CUMMINS VENDAS E SERVICOS DE MOTORES E G</t>
  </si>
  <si>
    <t>INC55285042</t>
  </si>
  <si>
    <t>Ativação</t>
  </si>
  <si>
    <t>Chamado criado pela área externa do Portal 
 Nome do Contato: Luara Rocha 
 Usuário: USR7460304 
 Telefone: 1148271402 
 E-mail: lrocha@feital.com.br 
 CNPJ: 74603046-8 
 Razão Social DINGXIANG COUNTY YIXIN FLANGE CO., LTD. 
 Bom dia,
Informo que nao estou conseguindo acessar minha conta, por gentileza poderia me auxiliar?</t>
  </si>
  <si>
    <t>LUARA SILVA DA ROCHA</t>
  </si>
  <si>
    <t>lrocha@feital.com.br</t>
  </si>
  <si>
    <t>74603046-8 - DINGXIANG COUNTY YIXIN FLANGE CO., LTD.</t>
  </si>
  <si>
    <t>JOAO EMILIO DE OLIVEIRA FILHO</t>
  </si>
  <si>
    <t>JELEILOEIRO</t>
  </si>
  <si>
    <t>secretaria@joaoemilio.com.br</t>
  </si>
  <si>
    <t>36040730000163 JOÃO EMILIO DE OLIVEIRA FILHO</t>
  </si>
  <si>
    <t>INC55284461</t>
  </si>
  <si>
    <t>CHAT BOT - Duplo Fator de Autenticação (MFA)</t>
  </si>
  <si>
    <t xml:space="preserve">INC55284461 +5521970499000
Nome do Contato: Diogo dos Santos fernandes
CNPJ/Razão Social: 40797687000152
CPF: 05869333792
Telefone: 21970499000
E-mail: diogo.fernandes@rdxsuplementos.com.br
Usuário: RDXCOMERCIO
Oportunidade: 
CHAT BOT - Duplo Fator de Autenticação (MFA)
</t>
  </si>
  <si>
    <t>'+5521970499000</t>
  </si>
  <si>
    <t>Incidentes//Cadastro na Petrobras//Suporte//Website//Duplo Fator de Autenticação (MFA)</t>
  </si>
  <si>
    <t>Duplo Fator de Autenticação (MFA)</t>
  </si>
  <si>
    <t>DIOGO DOS SANTOS FERNANDES</t>
  </si>
  <si>
    <t>RDXCOMERCIO</t>
  </si>
  <si>
    <t>diego.fernandes@rdxsuplementos.com.br</t>
  </si>
  <si>
    <t>40797687000152 - RDX COMERCIO E SUPLEMENTOS LTDA</t>
  </si>
  <si>
    <t>INC55284235</t>
  </si>
  <si>
    <t>Troca de e-mail de Usuário</t>
  </si>
  <si>
    <t xml:space="preserve">Boa tarde Prezados,
Fornecedor Jose solicita Troca de e-mail de Usuário JOS.ARTETUDE.
D.A segue em anexo.
Chamado/Prot.: INC55284235
Nome : Jose Oliveira de Sá
Usuário: JOS.ARTETUDE
Telefone: 21996770938
CNPJ: 06118979000183
Razão Social: ARTETUDE PRODUÇÃO DE EVENTOS E
E-mail cadastrado: danielleathyde@yahoo.com.br
E-mail correto: danielleathayde@yahoo.com.br
</t>
  </si>
  <si>
    <t xml:space="preserve">8001442101 </t>
  </si>
  <si>
    <t>Jose Oliveira de Sá</t>
  </si>
  <si>
    <t>JOS.ARTETUDE</t>
  </si>
  <si>
    <t>danielleathayde@yahoo.com.br</t>
  </si>
  <si>
    <t>06118979000183 - ARTETUDE PRODUÇÃO DE EVENTOS E ASSESSORIA DE MARKETING LTDA</t>
  </si>
  <si>
    <t>INC55284232</t>
  </si>
  <si>
    <t>Nome do Contato: Lucas Teles Gonçalves
Usuário: WMSOLDAS
E-mail: gerencia@wmsoldas.com 
Telefone: 38984265145
CNPJ/Razão Social: 13126582000107 - WM SOLDAS LTDA ME
Fornecedor solicita desbloqueio do usuário WMSOLDAS</t>
  </si>
  <si>
    <t>Lucas Teles</t>
  </si>
  <si>
    <t>gerencia@wmsoldas.com</t>
  </si>
  <si>
    <t>13126582000107 - WM SOLDAS LTDA ME</t>
  </si>
  <si>
    <t>INC55284071</t>
  </si>
  <si>
    <t xml:space="preserve">nome do Contato:Wantuil  
Usuário: FILHCOPRJ
Telefone: 22 99716-5186   
E-mail: setorcombr@gmail.com        
CNPJ / Razão Social:40815650000100 FILHAO TRANSPORTES E LOGITICA DE ENCOMENDAS EIRELI
Fornecedor(a) entrou em contato solicitando auxilio para gerar taxa de acesso ,após a limpeza de navegador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t>
  </si>
  <si>
    <t>WANTUIL  CAETANO DO NASCIMENTO JUNIOR</t>
  </si>
  <si>
    <t>RNSOLCOMPRJ</t>
  </si>
  <si>
    <t>setorcombr@gmail.com</t>
  </si>
  <si>
    <t>11620732000109-RN SOLUCOES COMERCIAIS LTDA</t>
  </si>
  <si>
    <t>INC55284052</t>
  </si>
  <si>
    <t>LOGIN</t>
  </si>
  <si>
    <t>Chamado criado pela área externa do Portal 
 Nome do Contato: Barbara 
 Usuário:  
 Telefone: +541137789071 
 E-mail: black@winters.com 
 CNPJ: 30676577269 
 Razão Social WINTERS INSTRUMENTS 
 No puedo ingresar con el login ni resetear la clave</t>
  </si>
  <si>
    <t>Barbara Black</t>
  </si>
  <si>
    <t>BARBIEBLACK</t>
  </si>
  <si>
    <t>black@winters.com</t>
  </si>
  <si>
    <t>30676577269 - WINTERS INSTRUMENTS S.A</t>
  </si>
  <si>
    <t>INC55283959</t>
  </si>
  <si>
    <t>cnpj : 01601085000126
empresa : C G DE OLIVEIRA PAPEL E LETRAS ME
nome : CLAUDIO OLIVEIRA
telefone : 2227781128
e-mail: claudiusoliveira@hotmail.com
usuario : CLAUDIOGOMES
expirado desde : 06.12.2022
INC55283959</t>
  </si>
  <si>
    <t xml:space="preserve">Claudio oliveira </t>
  </si>
  <si>
    <t>CLAUDIOGOMES</t>
  </si>
  <si>
    <t>claudiusoliveira@hotmail.com</t>
  </si>
  <si>
    <t>INC55283645</t>
  </si>
  <si>
    <t>Login e Senha</t>
  </si>
  <si>
    <t>Chamado criado pela área externa do Portal 
 Nome do Contato: Jabes Fernandnes Andrade Silva 
 Usuário:  
 Telefone: +351911369272 
 E-mail: jabesvia@gmail.com 
 CNPJ: 913308256970334184 
 Razão Social KAISITONG VALVE CO., LTD.V 
 Tive problemas com computador e perdi os dados de acesso, login e senha</t>
  </si>
  <si>
    <t>JABES FERNANDES ANDRADE SILVA</t>
  </si>
  <si>
    <t>JABESFAS</t>
  </si>
  <si>
    <t>jabesvia@gmail.com</t>
  </si>
  <si>
    <t>913308256970334184 -  KAISITONG VALVE CO., LTD.</t>
  </si>
  <si>
    <t>INC55283603</t>
  </si>
  <si>
    <t>Chamado criado pela área externa do Portal 
 Nome do Contato: Jabes Fernandes 
 Usuário:  
 Telefone: +351911369272 
 E-mail: jabesvia@gmail.com 
 CNPJ: 91310116703313740A 
 Razão Social HUHANG CO LTD 
 Preciso do Login e fazer nova senha, Tive um problema no computador perdi os dados de acesso.</t>
  </si>
  <si>
    <t>INC55283310</t>
  </si>
  <si>
    <t xml:space="preserve">Nome de contato: ISADORA GUIMARAES KAMEL
Usuário: IKAMEL_TPMAT
Telefone: 15088994798   
E-mail: isadora.kamel@technipfmc.com  
CNPJ/Razão social: 68915891000140  TECHNIP BRASIL - ENGENHARIA, INSTALACOES
Fornecedor solicita desbloqueio do usuário, o mesmo encontra-se expirado.
19.01.2025 Desbloqueado  isadora.kamel@technipfmc.com 
IKAMEL_TPMAT
Exibir  
ISADORA GUIMARAES KAMEL
</t>
  </si>
  <si>
    <t xml:space="preserve">8001441994 </t>
  </si>
  <si>
    <t>ISADORA GUIMARAES KAMEL</t>
  </si>
  <si>
    <t>IKAMEL_TPMAT</t>
  </si>
  <si>
    <t>isadora.kamel@technipfmc.com</t>
  </si>
  <si>
    <t>68915891000140 /TECHNIP BRASIL - ENGENHARIA, INSTALACOES</t>
  </si>
  <si>
    <t>INC55283196</t>
  </si>
  <si>
    <t xml:space="preserve">INC55283196 +5511996882090
Nome do Contato: Giovana Cristina Salmazo Rigueto
CNPJ/Razão Social: 39749154000116
CPF: 28592609860
Telefone: 11996882090
E-mail: giovana.salmazo@transmecredutores.com.br
Usuário: TRANSMEC
Oportunidade: 
CHAT BOT - Redefinição de Senha
</t>
  </si>
  <si>
    <t>'+5511996882090</t>
  </si>
  <si>
    <t>GIOVANA DE OLIVEIRA ALBERGARIA</t>
  </si>
  <si>
    <t>TRANSMEC</t>
  </si>
  <si>
    <t>giovana.salmazo@transmecredutores.com.br</t>
  </si>
  <si>
    <t>39749154000116 - TRANSMEC REDUTORES E SERVICOS LTDA</t>
  </si>
  <si>
    <t>INC55283063</t>
  </si>
  <si>
    <t>Suporte  Questionários</t>
  </si>
  <si>
    <t>Bom dia,
Sua solicitação será encerrada e o tratamento será redirecionado para área responsável através do protocolo 8001442002 .</t>
  </si>
  <si>
    <t xml:space="preserve">8001442002 </t>
  </si>
  <si>
    <t>JOZIMAR  LIMA DA SILVA</t>
  </si>
  <si>
    <t>JOZIMARLIMA</t>
  </si>
  <si>
    <t>jozimar@expansaodobrasil.com.b</t>
  </si>
  <si>
    <t>09602663000150   /  -</t>
  </si>
  <si>
    <t>INC55282823</t>
  </si>
  <si>
    <t>Erro no login</t>
  </si>
  <si>
    <t>Chamado criado pela área externa do Portal 
 Nome do Contato: Anderson Rocha Rdrigues 
 Usuário:  
 Telefone: 22996161095 
 E-mail: gerencia@cmsupply.com.br 
 CNPJ: 00089331000140 
 Razão Social  
 Não consigo efetuar o login para finalizar o cadastro.</t>
  </si>
  <si>
    <t>Anderson Rocha Rodrigues</t>
  </si>
  <si>
    <t>AND.CMSUPPLY</t>
  </si>
  <si>
    <t>gerencia@cmsupply.com.br</t>
  </si>
  <si>
    <t xml:space="preserve">00089331000140 - </t>
  </si>
  <si>
    <t>INC55282714</t>
  </si>
  <si>
    <t>ALTERAÇÃO DADOS IDENTIFICAÇÃO DA EMPRESA</t>
  </si>
  <si>
    <t>Chamado criado pelo área interna do Portal 
 Nome do Contato: MARCOS GUANDALINI 
 Usuário: GUANDALINI 
 Telefone: 1138037070 
 E-mail: FINANCEIRO@GUANDALINIBR.COM 
 CNPJ: 15739099000115 
 Razão Social GUANDALINI EQUIPAMENTOS TOPOGRÁFICOS EIR 
 Por gentileza, pode atualizar os seguintes dados abaixo na aba identificação da empresa:
RAZÃO SOCIAL: GUANDALINI EQUIPAMENTOS TOPOGRÁFICOS LTDA
RAZÃO SOCIAL: GUANDALINI EQUIPAMENTOS TOPOGRÁFICOS LTDA
TIPO DE SOCIEDADE: SIMPLES NACIONAL
ENDEREÇO: Rua José Roberto Basile Bonito, 50- Box 69 e 70 – BAIRRO: Centro – CEP 13.201-007– Jundiai – SP.</t>
  </si>
  <si>
    <t>MARCOS GUANDALINI</t>
  </si>
  <si>
    <t>GUANDALINI</t>
  </si>
  <si>
    <t>financeiro@guandalinibr.com</t>
  </si>
  <si>
    <t>15739099000115 - GUANDALINI EQUIPAMENTOS TOPOGRÁFICOS EIR</t>
  </si>
  <si>
    <t>INC55282619</t>
  </si>
  <si>
    <t>ALTERAÇÃO IDENTIFICAÇÃO DA EMPRESA</t>
  </si>
  <si>
    <t>Chamado criado pelo área interna do Portal 
 Nome do Contato: GABRIELLY PINHEIRO NOBRE 
 Usuário: GABRIPINH59 
 Telefone: 1138037070 
 E-mail: financeiro@guandalinibr.com 
 CNPJ: 43376723000100 
 Razão Social GUANDALINI LOCACAO DE EQUIPAMENTOS TOPOG 
 Por gentileza, gostaria de atualizar os dados básico na aba de identificação da empresa:
RAZÃO SOCIAL: GUANDALINI POSICIONAMENTO &amp; EQUIPAMENTOS TOPOGRAFICOS LTDA
NOME DO GRUPO: GUANDALINI
NOME FANTASIA: GUANDALINI POSICIONAMENTO &amp; EQUIPAMENTOS TOPOGRAFICOS LTDA</t>
  </si>
  <si>
    <t>GABRIELLY   PINHEIRO</t>
  </si>
  <si>
    <t>GABRIPINH59</t>
  </si>
  <si>
    <t>gabrielly.pinheiro@guandalinibr.com</t>
  </si>
  <si>
    <t>43376723000100 - GUANDALINI LOCACAO DE EQUIPAMENTOS TOPOG</t>
  </si>
  <si>
    <t>INC55282406</t>
  </si>
  <si>
    <t xml:space="preserve">INC55282406 +5521981718614
Nome do Contato: felipe omena de souza
CNPJ/Razão Social: 63314817000154
CPF: 16890554728
Telefone: 21981718614 
E-mail: felipeomena@outlook.com
Usuário: FELIPEOMENA
Oportunidade: 
CHAT BOT - Acesso portal cadastro
FELIPEOMENA
Felipe OmenadeSouza
  felipeomena@outlook.com 25.01.2026    Desbloqueado 
Prezados(a), fornecedor(a) solicita desbloqueio, atualização de validade e atribuições de perfis de seu usuário: FELIPEOMENA
</t>
  </si>
  <si>
    <t>'+5521981718614</t>
  </si>
  <si>
    <t>Felipe Omena de Souza</t>
  </si>
  <si>
    <t>FELIPEOMENA</t>
  </si>
  <si>
    <t>felipeomena@outlook.com</t>
  </si>
  <si>
    <t xml:space="preserve">63314817000154 - </t>
  </si>
  <si>
    <t>INC55282317</t>
  </si>
  <si>
    <t xml:space="preserve">Nome de contato: Lanice
Usuário: PINHEIROIGOR
Telefone:79 99801-4467 / 79 99968-4467    
E-mail: administrativo@iandere.com  
CNPJ/Razão social: 29252049000113 ÎANDÉRE ENGENHARIA E SERVIÇO SUSTENTÁVEI
Fornecedor solicita desbloqueio do usuário e a atribuição do perfil de administrador, o mesmo encontra-se expirado.
79 99801-4467 / 79 99968-4467 13.04.2025 Desbloqueado  administrativo@iandere.com 
PINHEIROIGOR
Exibir  
IGOR PINHEIRO DA ROCHA
</t>
  </si>
  <si>
    <t>Igor Pinheiro</t>
  </si>
  <si>
    <t>PINHEIROIGOR</t>
  </si>
  <si>
    <t>administrativo@iandere.com</t>
  </si>
  <si>
    <t>29252049000113 - IGOR PINHEIRO DA ROCHA ME</t>
  </si>
  <si>
    <t>INC55282267</t>
  </si>
  <si>
    <t xml:space="preserve">Nome de contato: Marilda
Usuário: CONSTRUFILL
Telefone: 22999712675     
E-mail: contato@construfill.com  
CNPJ/Razão social:  42822589000153 CONSTRUFILL SERVIÇOS E CONSTRUÇÕES LTDA
Fornecedor solicita desbloqueio do usuário e a atribuição do perfil de administrador, o mesmo encontra-se expirado.
22999712675 28.07.2024 Bloqueado  contato@construfill.com 
CONSTRUFILL
Exibir  
EDALMIR BRANDAO DE SOUZA
</t>
  </si>
  <si>
    <t>XXXX</t>
  </si>
  <si>
    <t>EDALMIR BRANDAO DE SOUZA</t>
  </si>
  <si>
    <t>CONSTRUFILL</t>
  </si>
  <si>
    <t>contato@construfill.com</t>
  </si>
  <si>
    <t>42822589000153 /CONSTRUFILL SERVIÇOS E CONSTRUÇÕES LTDA</t>
  </si>
  <si>
    <t>INC55282221</t>
  </si>
  <si>
    <t>Erro para Validação de autenticidade com eCNPJ</t>
  </si>
  <si>
    <t>PEDRO ANSELMO
MORAISDC1960
pedroanselmo@moraisdecastro.com.br
71981842875
15102809000525 /MORAIS DE CASTRO COMERCIO IMPOR PRODUTOS
Prezados,
Portal está apresentando problemas para a Validação de autenticidade com eCNPJ.
Vide anexos.
Por favor, verifiquem.</t>
  </si>
  <si>
    <t>PEDRO ANSELMO SANTOS DE CARVALHO</t>
  </si>
  <si>
    <t>15102809000525 /MORAIS DE CASTRO COMERCIO IMPOR PRODUTOS</t>
  </si>
  <si>
    <t>INC55282168</t>
  </si>
  <si>
    <t>DIFICULDADE DE FINALZIAR CADASTRO DE economico</t>
  </si>
  <si>
    <t>Chamado criado pelo área interna do Portal 
 Nome do Contato: CARLA ADRIANE DOS SANTOS 
 Usuário: USR0071054 
 Telefone: 47 9 9193-7798 
 E-mail: carla.santos@bovenau.com.br 
 CNPJ: 81616765000152 
 Razão Social METAL TECNICA BOVENAU LTDA 
 Não consigo finalizar o cadastro, quando vou colocar o dados economico, não reconhece o sistema.</t>
  </si>
  <si>
    <t xml:space="preserve">8001442045 </t>
  </si>
  <si>
    <t>CARLA ADRIANE DOS SANTOS</t>
  </si>
  <si>
    <t>carla.santos@bovenau.com.br</t>
  </si>
  <si>
    <t>81616765000152 - METAL TECNICA BOVENAU LTDA</t>
  </si>
  <si>
    <t>RICARDO  NIEDERAUER DA CUNDA</t>
  </si>
  <si>
    <t>RICARDOCUNDA</t>
  </si>
  <si>
    <t>gestorpontoobras@gmail.com</t>
  </si>
  <si>
    <t>36073134000180  -  PONTO OBRAS PAVIMENTADORA LTDA</t>
  </si>
  <si>
    <t>INC55282036</t>
  </si>
  <si>
    <t xml:space="preserve">INC55282036 +5511992011569
Nome do Contato: Daniel Alexandre Fuchs
CNPJ/Razão Social: 57277537000110
CPF: 07324546897
Telefone: 1147856504
E-mail: portaleletronico2@conaut.com.br
Usuário: CONAUT25
Oportunidade: 
CHAT BOT - Resumo e Confirmação
</t>
  </si>
  <si>
    <t>'+5511992011569</t>
  </si>
  <si>
    <t>DANIEL ALEXANDRE FUCHS</t>
  </si>
  <si>
    <t>CONAUT25</t>
  </si>
  <si>
    <t>portaleletronico2@conaut.com.br</t>
  </si>
  <si>
    <t>57277537000110 - CONAUT CONTROLES AUTOMÁTICOS LTDA</t>
  </si>
  <si>
    <t>INC55250763</t>
  </si>
  <si>
    <t>'- DEMANDA BAIXA DE OPORTUNIDADES CONVITES -</t>
  </si>
  <si>
    <t>Chamado criado pelo área interna do Portal 
 Nome do Contato: ROBSON DA SILVA SANTOS 
 Usuário: ROB.SUPP 
 Telefone: 1131241399 
 E-mail: orcamentos17@supplytechsp.com.br 
 CNPJ: 08951491000168 
 Razão Social SUPPLYTECH SOLUCOES TECNICAS LTDA. 
 Prezados,
Informo que desde nossa atualização no cadastro, no cenário econômico, nossa demanda de oportunidades na modalidade convites, tem caído drasticamente.
Observamos que o CRCC esta ainda valido ate agosto, sendo deveríamos estar recebendo as demandas das unidades.
Poderia verificar se há alguma pendencia em nosso cadastro que impeça a consulta?
No aguardo 
Robson Silva</t>
  </si>
  <si>
    <t xml:space="preserve">8001441947 </t>
  </si>
  <si>
    <t>ROBSON DA SILVA SANTOS</t>
  </si>
  <si>
    <t>ROB.SUPP</t>
  </si>
  <si>
    <t>orcamentos17@supplytechsp.com.br</t>
  </si>
  <si>
    <t>08951491000168 - SUPPLYTECH SOLUCOES TECNICAS LTDA.</t>
  </si>
  <si>
    <t>MARCIA LUISA FERREIRA KUHL</t>
  </si>
  <si>
    <t>MARCIA.123</t>
  </si>
  <si>
    <t>marcia.ferreira@liquitec.com.br</t>
  </si>
  <si>
    <t>14106270000103-LIQUITEC TRANSFORMADORES LTDA</t>
  </si>
  <si>
    <t>INC55250303</t>
  </si>
  <si>
    <t>Dificuldades para anexar balanço patrimonial.</t>
  </si>
  <si>
    <t>Chamado criado pelo área interna do Portal 
 Nome do Contato: CRISTIANO COSTA DA SILVA 
 Usuário: CRISCDS 
 Telefone: 22 99836-5547 
 E-mail: Cristiano.irituia@gmail.com 
 CNPJ: 62466983000103 
 Razão Social 62.466.983 CRISTIANO COSTA DA SILVA 
 Boa tarde.
Preciso anexar o balanço patrimonial porém não estou conseguindo, a opção de carregar arquivo está bloqueada.</t>
  </si>
  <si>
    <t>CRISTIANO COSTA DA SILVA</t>
  </si>
  <si>
    <t>CRISCDS</t>
  </si>
  <si>
    <t>cristiano.irituia@gmail.com</t>
  </si>
  <si>
    <t xml:space="preserve">62466983000103 - </t>
  </si>
  <si>
    <t>INC55250187</t>
  </si>
  <si>
    <t>Nome do Contato: Bruno Zanelato
Usuário: LEOCRYSTELLO
E-mail: leocrystello@gmail.com 
Telefone: 27992520188
CNPJ/Razão Social: 26377327000170 - LEONARDO PAGANINI CRYTSELLO 13731749785
Fornecedor solicita debloqueio do usuário LEOCRYSTELLO</t>
  </si>
  <si>
    <t xml:space="preserve">8001441923 </t>
  </si>
  <si>
    <t>Leonardo Paganini</t>
  </si>
  <si>
    <t>LEOCRYSTELLO</t>
  </si>
  <si>
    <t>leocrystello@gmail.com</t>
  </si>
  <si>
    <t>26377327000170 - LEONARDO PAGANINI CRYTSELLO 13731749785</t>
  </si>
  <si>
    <t>INC55249980</t>
  </si>
  <si>
    <t>CRC - RENOVAR - URGENTE</t>
  </si>
  <si>
    <t>Chamado criado pelo área interna do Portal 
 Nome do Contato: EDIVANIA MARIA DA SILVA 
 Usuário: EDIDUARTE 
 Telefone: +551135851175 
 E-mail: edivania_duarte@yaskawa.com.br 
 CNPJ: 42354407000167 
 Razão Social YASKAWA ELETRICO DO BRASIL LTDA. 
 Boa tarde, tudo bem?
Precisamos renovar nosso CRC. 
Nosso CRC, só está ativo para serviços . Precisamos fazer nosso recadastramento, para fornecer inversores de frequência, peças, poderia me auxiliar?
Att.,
Edivania Duarte</t>
  </si>
  <si>
    <t>8001441924</t>
  </si>
  <si>
    <t>EDIVANIA MARIA DA SILVA DUARTE</t>
  </si>
  <si>
    <t>EDIDUARTE</t>
  </si>
  <si>
    <t>edivania_duarte@yaskawa.com.br</t>
  </si>
  <si>
    <t>42354407000167 - YASKAWA ELETRICO DO BRASIL LTDA.</t>
  </si>
  <si>
    <t>INC55249910</t>
  </si>
  <si>
    <t>sobre familias dos produtos</t>
  </si>
  <si>
    <t>Chamado criado pelo área interna do Portal 
 Nome do Contato: NINCIA LITIENE WIEZEL 
 Usuário: SEIKO_3424. 
 Telefone: 43999535707 
 E-mail: comercial@seikoquimica.com.br 
 CNPJ: 30015450000119 
 Razão Social SEIKO DISTRIBUIDORA DE PRODUTOS QUIMICOS 
 como cadastrar as familias se precisa anexar documento como fazer</t>
  </si>
  <si>
    <t>NINCIA LITIENE WIEZEL</t>
  </si>
  <si>
    <t>SEIKO_3424</t>
  </si>
  <si>
    <t>comercial@seikoquimica.com.br</t>
  </si>
  <si>
    <t xml:space="preserve">30015450000119 - </t>
  </si>
  <si>
    <t>INC55249856</t>
  </si>
  <si>
    <t>atualização bancária</t>
  </si>
  <si>
    <t xml:space="preserve">Nome de contato:DANIELA DE JESUS SANTOS TAVARES 
Usuário:BAGAREL01 (79)99929-4003 bagarel-se@bagarel.com.br 
CPF:031224235-29
Telefone:7932592400
E-mail:bagarel-se@bagarel.com.br
CNPJ/Razão social:13562913000496 BAGAREL COMERCIO DE INSTRUMENTOS
Fornecedor(a) entrou em contato solicitando auxilio para atualizar dados bancários orientado conforme a planilha. 
</t>
  </si>
  <si>
    <t>2cf16294-406e-4cc4-a518-cf634f5d4d75</t>
  </si>
  <si>
    <t>DANIELA DE JESUS  SANTOS TAVARES</t>
  </si>
  <si>
    <t>bagarel-se@bagarel.com.br</t>
  </si>
  <si>
    <t>13562913000496 BAGAREL COMERCIO DE INSTRUMENTOS</t>
  </si>
  <si>
    <t>ANA LUCIA  MACHADO BUENO</t>
  </si>
  <si>
    <t>ANA.BUENO</t>
  </si>
  <si>
    <t>ana@rodex.com.br</t>
  </si>
  <si>
    <t>93085777000187 - RODEX EQUIPAMENTOS INDUSTRIAIS LTDA</t>
  </si>
  <si>
    <t>INC55249543</t>
  </si>
  <si>
    <t xml:space="preserve">Preenchimento </t>
  </si>
  <si>
    <t xml:space="preserve">Chamado: INC55249543
 Nome do Contato: ANA LUCIA MACHADO BUENO
 Usuário: ANA.BUENO
 Telefone: 51-33621700
E-mail: ana@rodex.com.br
CNPJ / Razão Social: 93085777000187  -  RODEX EQUIPAMENTOS INDUSTRIAIS LTDA
Oportunidade: 7004531267
Aquisição de Acoplamento Flexivel DFINRI-SUPRIMENTOS Fechado Licitação Púb. Item 14.11.2025 15:00:00 17:00:00
Fornecedor(a) solicitou auxilio para o preenchimento do critério, a mesma foi orientada pelo atendimento abrir um chamado com analista pelo fale. Referente ao porcentual de desconta a mesma foi orientada pelo  atendimento porém o campo não estava habilitado foi orientada a solicitar o comprador na sala de colaboração para habilitar o campo para o preenchimento.
Cadastro na Petrobras
Fale conosco
Criar novo chamado
Solicitação: Critério XXX
Contato:
The:
E-mail:
Orientada a aguardar o retorno do setor responsável.
Atenciosamente,
Equipe Petronect
</t>
  </si>
  <si>
    <t>7004531267</t>
  </si>
  <si>
    <t>INC55249493</t>
  </si>
  <si>
    <t>AS065 Erro 4 - Erro ao criar usuário em empresa estrangeira (cpf ?)</t>
  </si>
  <si>
    <t>Erro ao tentar criar usuário de empresa estrangeira. 
Habilitação parada. Se puderem incluir por outro método, favor fazer.
CNPJ 33AAACR3438C1ZW
Empresa ROTORK CONTROLS INDIA PTV. LTD.
Sobrenome: Ravindran 
1º Nome: Jadarayalu
Endereço e-mail: ravindran.jadarayalu@rotork.com
Telefone: 91 44 3955 5600</t>
  </si>
  <si>
    <t>Incidentes//Cadastro na Petrobras//Suporte//Gestão de Processos</t>
  </si>
  <si>
    <t>INC55249369</t>
  </si>
  <si>
    <t>Critério Econômico</t>
  </si>
  <si>
    <t>Chamado criado pelo área interna do Portal 
 Nome do Contato: ANA CLEIDE CANDIDO DA SILVA 
 Usuário: EAGLES2025 
 Telefone: 22992670426 
 E-mail: eagles@eaglesbrasil.com.br 
 CNPJ: 44247889000181 
 Razão Social EAGLES MANUTENÇÃO E SERVIÇOS LTDA. 
 Boa tarde!!
Prezados, solicitamos a abertura para preenchimento correto do critério econômico.
att,,,,</t>
  </si>
  <si>
    <t>8001441842</t>
  </si>
  <si>
    <t>ANA CLEIDE CANDIDO DA SILVA</t>
  </si>
  <si>
    <t>eagles@eaglesbrasil.com.br</t>
  </si>
  <si>
    <t>44247889000181  -  EAGLES MANUTENÇÃO E SERVIÇOS LTDA.</t>
  </si>
  <si>
    <t>INC55249309</t>
  </si>
  <si>
    <t>Cadastro do Fornecedor - Adicionar a Familia</t>
  </si>
  <si>
    <t>Chamado criado pelo área interna do Portal 
 Nome do Contato: CYNTHIA MARIA FROIS DE ALMEIDA 
 Usuário: PC.TECSAN 
 Telefone: 71-992151703 
 E-mail: tecsan@tecsan.com.br 
 CNPJ: 34186585000106 
 Razão Social TECSAN TECNOLOGIA DE SANEAMENTO LTDA 
 Prezados, Boa Tarde!! 
Não está aparecendo a opção selecionar a familia, nem  o botão para adicionar a familia. Conforme segue Print</t>
  </si>
  <si>
    <t>CYNTHIA MARIA  FROIS DE ALMEIDA</t>
  </si>
  <si>
    <t>PC.TECSAN</t>
  </si>
  <si>
    <t>tecsan@tecsan.com.br</t>
  </si>
  <si>
    <t>34186585000106 - TECSAN TECNOLOGIA DE SANEAMENTO</t>
  </si>
  <si>
    <t>INC55249271</t>
  </si>
  <si>
    <t>AS065 Erro 3 - Configuração do novo tipo de chamado</t>
  </si>
  <si>
    <t>Prezados, não está claro de quem é a responsabilidade para criação do novo tipo de chamado ? 
Da Petrobras ?  Posso utilizar qualquer texto descritivo ? 
Atenciosamente,
Dino Octavio Junior
SUPRIMENTOS/RMF/DQF/GCF</t>
  </si>
  <si>
    <t>INC55249265</t>
  </si>
  <si>
    <t>Nome do Contato: SUELI MACHADO NETO
Usuário: SUELIMACHADO
E-mail: smachado@romi.com 
Telefone: 19992093998
CNPJ/Razão Social: 56720428000163 - INDUSTRIAS ROMI S A
Fornecedora solicita desbloqueio do usuário SUELIMACHADO</t>
  </si>
  <si>
    <t>SUELI MACHADO</t>
  </si>
  <si>
    <t>smachado@romi.com</t>
  </si>
  <si>
    <t>56720428000163 - INDUSTRIAS ROMI S A</t>
  </si>
  <si>
    <t>INC55249177</t>
  </si>
  <si>
    <t xml:space="preserve">INC55249177 +5513996831394
Nome do Contato: ALISON VIEIRA QUEVEDO
CNPJ/Razão Social: 07433647000156
CPF: 27109670813
Telefone: 13996831394
E-mail: avieira@actioncargo.com.br
Usuário: ALISONVIEIRA
Oportunidade: 
CHAT BOT - Acesso portal cadastro
</t>
  </si>
  <si>
    <t>'+5513996831394</t>
  </si>
  <si>
    <t>INC55249126</t>
  </si>
  <si>
    <t>Nome do Contato: Josefa dos Santos
Usuário: MEIROCAS
E-mail: comercial@econsultt.com.br
Telefone: 13997397424
CNPJ/Razão Social: 04333947000175 - ECONSULT ESTUDOS AMBIENTAIS LTDA -
Fornecedora solicita prorrogação da validade do usuário MEIROCAS</t>
  </si>
  <si>
    <t>Vilma Maria Cavinatto Rivero</t>
  </si>
  <si>
    <t>MEIROCAS</t>
  </si>
  <si>
    <t>comercial@econsultt.com.br</t>
  </si>
  <si>
    <t>04333947000175 - ECONSULT ESTUDOS AMBIENTAIS LTDA -</t>
  </si>
  <si>
    <t>INC55249090</t>
  </si>
  <si>
    <t>INC55249090 +5512992550657
Nome do Contato: Janaine
CNPJ/Razão Social: 61092565002265
CPF: 39583246816
Telefone: 1130263000
E-mail: licitacoes@madis.com.br
Usuário: FHOTT_DIMEP
Oportunidade: 7004538536
CHAT BOT - Redefinição de Senha
Aquisição de  Equipamentos para contr... 7004538536 Petróleo Brasileiro S. A. DFINRI-SUPRIMENTOS Ativo Licitação Púb. Item 12.01.2026 08:00:00 29.01.2026 17:00:00 Sim</t>
  </si>
  <si>
    <t>'+5512992550657 / 7004538536</t>
  </si>
  <si>
    <t>FABIANO PEREIRA HOTT</t>
  </si>
  <si>
    <t>FHOTT_DIMEP</t>
  </si>
  <si>
    <t>fabiano.hott@dimep.com.br</t>
  </si>
  <si>
    <t xml:space="preserve">61092565002265 - </t>
  </si>
  <si>
    <t>INC55248971</t>
  </si>
  <si>
    <t xml:space="preserve">INC55248971 +5516996229857
Nome do Contato: Ingrid
CNPJ/Razão Social: 23971280000180
CPF: 36323078813
Telefone: 16991659417
E-mail: Daniel@institutoterroa.org
Usuário: DANIEYACOU33
Oportunidade: 
CHAT BOT - Acesso portal cadastro
</t>
  </si>
  <si>
    <t>'+5516996229857</t>
  </si>
  <si>
    <t>DANIEL YACOUB BELLISSIMO</t>
  </si>
  <si>
    <t>DANIEYACOU33</t>
  </si>
  <si>
    <t>daniel@institutoterroa.org</t>
  </si>
  <si>
    <t>23971280000180 - ASSOCIACAO INSTITUTO TERROA</t>
  </si>
  <si>
    <t>INC55248632</t>
  </si>
  <si>
    <t xml:space="preserve">Desbloqueio de Usuario </t>
  </si>
  <si>
    <t xml:space="preserve">Nome do Contato: FRANCINE ANGELIS
Usuário: FRANCINE_DIG
Telefone: 11 35112626 
E-mail: francine.angelis@digitrol.com.br 
CNPJ / Razão Social:  53153649000109
Fornecedora solicita o motivo de seu bloqueio, pois não esta conseguindo realizar redefinição de senha e gostaria do desbloqueio para atualizar informações. 
</t>
  </si>
  <si>
    <t>FRANCINE  ANGELIS</t>
  </si>
  <si>
    <t>FRANCINE_DIG</t>
  </si>
  <si>
    <t>francine.angelis@digitrol.com.br</t>
  </si>
  <si>
    <t>53153649000109 - DIGITROL INDUSTRIA E COMERCIO LTDA</t>
  </si>
  <si>
    <t>INC55248631</t>
  </si>
  <si>
    <t>AS065 Erro 2 - Usuários já bloqueados previamente aparecem com mensagem 'bloqueado por duplicidade'</t>
  </si>
  <si>
    <t>Prezados, 
Estou verificando que alguns usuários já previamente existentes estão aparecendo com a mensagem 'bloqueado por duplicidade'. 
Essa mensagem já aparecia antes do go live de ontem ? 
Se sim: desde quando ? 
Se não: Se não tivemos tratamento de passivo no go live, como esse status apareceu ? Os exemplos que estou vendo são de usuários relacionados a força de trabalho , tanto da Petronect quanto da Petrobras, certo ?  
Favor listar todos os usuário com esse status. 
Atenciosamente,
Dino Octavio Junior
SUPRIMENTOS/RMF/DQF/GCF</t>
  </si>
  <si>
    <t>INC55234870</t>
  </si>
  <si>
    <t>INC55248495</t>
  </si>
  <si>
    <t>Erro 01 As065 - Perfil para desbloqueio não disponível no GPAS</t>
  </si>
  <si>
    <t>INC55248472</t>
  </si>
  <si>
    <t>Cadastro no portal</t>
  </si>
  <si>
    <t>Nome do Contato: Monique
Usuário: FERTRONRST
E-mail: licitacao@fertron.com.br 
Telefone: 1639465899
CNPJ/Razão Social: 31255541000194 RST EQUIPAMENTOS E SERVICOS LTDA
Fornecedora questiona sobre os questionários de avaliação. Foi informada que os mesmos estão em avaliação.
Solicita suporte para cadastrar um novo CNPJ. Foi identificado que o mesmo á possui cadastro e foi orientada a verificar se consegue acesso ao e-mail cadastrado</t>
  </si>
  <si>
    <t>CELIO ANGELO VIEIRA</t>
  </si>
  <si>
    <t>FERTRONRST</t>
  </si>
  <si>
    <t>licitacao@fertron.com.br</t>
  </si>
  <si>
    <t>31255541000194 - RST ENGENHARIA E MONTAGENS LTDA</t>
  </si>
  <si>
    <t>INC55248291</t>
  </si>
  <si>
    <t>Nome do Contato: Aline
Usuário: KARLA.G
E-mail: karla.graziottin@oceanpact.com 
Telefone: 48 32980915 
CNPJ/Razão Social: 09551724000106 SLI MEIO AMBIENTE E INFRAESTRUTURA LTDA
Fornecedora solicita suporte para acessar o portal. Foi informada que o login cadastrado é JOAOSILV e-mail joao.silva@oceanpact.com
Caso não tenha a senha acesse www.petronect.com.br &gt; Login &gt; Esqueci minha senha e insira esses dados para recuperar o acesso</t>
  </si>
  <si>
    <t>JOAO VICTOR  PEREIRA DA SILVA</t>
  </si>
  <si>
    <t>JOAOSILV</t>
  </si>
  <si>
    <t>joao.silva@oceanpact.com</t>
  </si>
  <si>
    <t>09551724000106 - SLI MEIO AMBIENTE E INFRAESTRUTURA LTDA</t>
  </si>
  <si>
    <t>INC55248158</t>
  </si>
  <si>
    <t xml:space="preserve">INC55248158 +5527997071560
Nome do Contato: Karine Corrêa Deolindo
CNPJ/Razão Social: 23716446000112
CPF: 14368766725
Telefone: 27997071560
E-mail: contato@weesservicos.com.br
Usuário: WEES2400
Oportunidade: 
CHAT BOT - Redefinição de Senha
</t>
  </si>
  <si>
    <t>'+5527997071560</t>
  </si>
  <si>
    <t>WALACE ROCHA</t>
  </si>
  <si>
    <t>contato@weesservicos.com.br</t>
  </si>
  <si>
    <t>23716446000112 - SUELLEN FRANCINE DA CONCEIÇÃO NUNES ME</t>
  </si>
  <si>
    <t>INC55247892</t>
  </si>
  <si>
    <t xml:space="preserve">INC55247892 +5521965930047
Nome do Contato: matheus ramos da silva
CNPJ/Razão Social: 49351423000145
CPF: 15757212799
Telefone: 21965930047
E-mail: mrc@mrcpecaseservicos.com.br
Usuário: MRCPECAS
Oportunidade: 
CHAT BOT - Redefinição de Senha
</t>
  </si>
  <si>
    <t>'+5521965930047</t>
  </si>
  <si>
    <t>MATHEUS RAMOS DA SILVA</t>
  </si>
  <si>
    <t>MRCPECAS</t>
  </si>
  <si>
    <t>mrc@mrcpecaseservicos.com.br</t>
  </si>
  <si>
    <t xml:space="preserve">49351423000145 - </t>
  </si>
  <si>
    <t>INC55247845</t>
  </si>
  <si>
    <t>RE: 2º e-mail de notificação - INC54625798 - Assunto: Solicitação de prioridade no processo de cadastro - API Store / Minha Petronect</t>
  </si>
  <si>
    <t>INC53735479 / INC55247910</t>
  </si>
  <si>
    <t xml:space="preserve">João Gualberto Golvin Pinheiro Neto </t>
  </si>
  <si>
    <t>FOMB</t>
  </si>
  <si>
    <t>INC55247817</t>
  </si>
  <si>
    <t xml:space="preserve">INC55247817 +5519981931611
Nome do Contato: Luana Soares de Souza de Campos
CNPJ/Razão Social: 42159411000174
CPF: 33243759838
Telefone: 19981931611
E-mail: comercial@tks.ind.br
Usuário: TKS232510
Oportunidade: 
CHAT BOT - Redefinição de Senha
</t>
  </si>
  <si>
    <t>'+5519981931611</t>
  </si>
  <si>
    <t>GABRIEL GUSTAVO GUION</t>
  </si>
  <si>
    <t>comercial@tks.ind.br</t>
  </si>
  <si>
    <t>42159411000174 - TKS INDUSTRIA E COMERCIO DE PECAS EM FER</t>
  </si>
  <si>
    <t>INC55247649</t>
  </si>
  <si>
    <t>Solicitação de Desbloqueio - 23314594000453</t>
  </si>
  <si>
    <t>Prezado, boa tarde!
Recebi um e-mail da empresa ALE COMBUSTIVEL S.A., CNPJ: 23314594000453, solicitando criação de usuário administrador, porém ao buscar aparece a informação que a empresa está com status "Bloqueado".
Atenciosamente,
Fabiane Moura.</t>
  </si>
  <si>
    <t>INC55247639</t>
  </si>
  <si>
    <t xml:space="preserve">INC55247639 +5521981985246
Nome do Contato: Vinícius Duarte de Souza
CNPJ/Razão Social: 44912190000199
CPF: 18516303845
Telefone: 21995558515
E-mail: contato@asaphome.com.br
Usuário: VINICSOUZA78
Oportunidade: 
CHAT BOT - Redefinição de Senha
</t>
  </si>
  <si>
    <t>'+5521981985246</t>
  </si>
  <si>
    <t>VINICIUS DUARTE DE SOUZA</t>
  </si>
  <si>
    <t>VINICSOUZA78</t>
  </si>
  <si>
    <t>contato@asaphome.com.br</t>
  </si>
  <si>
    <t>44912190000199 - ASAP HOME LTDA</t>
  </si>
  <si>
    <t>INC55247553</t>
  </si>
  <si>
    <t>Nome do Contato: jianfeng cao
Usuário: ZGBXGY123
Telefone: 
E-mail: zgbxggygs@163.com 
CNPJ / Razão Social: 91140700ma0gtmg875
Fornecedor solicita revalidação de usuário, para atualizar os dados cadastrais.</t>
  </si>
  <si>
    <t>jianfeng  cao</t>
  </si>
  <si>
    <t>ZGBXGY123</t>
  </si>
  <si>
    <t>zgbxggygs@163.com</t>
  </si>
  <si>
    <t>91140700MA0GTMG875</t>
  </si>
  <si>
    <t>INC55247492</t>
  </si>
  <si>
    <t xml:space="preserve"> Ligação com queda após o script inicial</t>
  </si>
  <si>
    <t xml:space="preserve"> Ligação com queda após o script inicial
</t>
  </si>
  <si>
    <t>INC55247468</t>
  </si>
  <si>
    <t>Solicitação de Desbloqueio - 23314594003630</t>
  </si>
  <si>
    <t>Prezado, boa tarde!
Recebi um e-mail da empresa ALE COMBUSTIVEL S.A., CNPJ: 23314594003630, solicitando criação de usuário administrador, porém ao buscar aparece a informação que a empresa está com status "Bloqueado". 
Atenciosamente,
Fabiane Moura.</t>
  </si>
  <si>
    <t>INC55247202</t>
  </si>
  <si>
    <t>CHAT BOT - Fornecimento de Bens e Serviços</t>
  </si>
  <si>
    <t>INC55247202 +5511975348956
Nome do Contato: Tiago Brugger Rodrigues Seguro
CNPJ/Razão Social: 65414476000114
CPF: 07797921652
Telefone: 1138747908
E-mail: governo@phonoway.com.br
Usuário: T.PHONOWAY
Oportunidade: 7004549708
CHAT BOT - Fornecimento de Bens e Serviços
Serviços para provimento e suporte a... 7004549708 Petróleo Brasileiro S. A. DFINRI-SUPRIMENTOS Ativo LP DFP Lote 09.01.2026 17:00:00 03.02.2026 17:00:00 Sim</t>
  </si>
  <si>
    <t>'+5511975348956 / 7004549708</t>
  </si>
  <si>
    <t>GILSON CESAR PIRES</t>
  </si>
  <si>
    <t>T.PHONOWAY</t>
  </si>
  <si>
    <t>governo@phonoway.com.br</t>
  </si>
  <si>
    <t>65414476000114 - PHONOWAY COMERCIO E REPRESENTACAO</t>
  </si>
  <si>
    <t>INC55247153</t>
  </si>
  <si>
    <t>nome do Contato:Rogerio
Usuário:   
Telefone:   11962000555
E-mail:       
CNPJ / Razão Social:09475334000196
Para dar início ao processo de cadastramento no portal Petronect, siga os passos abaixo:
1. Acesse o link: "Quer se Cadastrar?" no topo do Portal da Petronect.
2. Preencha as seguintes informações:
   - País de origem;
   - CNPJ (código fiscal para outros países);
   - Nome (nome do responsável pelo cadastro da empresa);
   - Sobrenome (sobrenome do responsável pelo cadastro da empresa);
   - Usuário (login desejado com no mínimo cinco caracteres e no máximo doze caracteres. O usuário deve conter apenas letras, números, pontos (.), hífens (-) e sublinhados (_). Caracteres especiais ou letras acentuadas não são permitidos);
   - Correio Eletrônico 1 (informe o e-mail de contato. Será através desse e-mail que você receberá as suas credenciais de acesso);
   - Confirmar Correio Eletrônico 1 (confirme seu e-mail uma vez que ele tenha sido validado com sucesso).
Após preencher todas as informações, uma senha será gerada e enviada para o e-mail informado. Essa senha é provisória e irá expirar assim que houver o primeiro acesso ao Portal Petronect, sendo necessário criar uma nova senha.</t>
  </si>
  <si>
    <t>INC55247083</t>
  </si>
  <si>
    <t>Nome do Contato: Thiago Xavier Gomes
Usuário: GOMESAC
E-mail: t.gomesassessoria@gmail.com 
Telefone: 22999138655
CNPJ/Razão Social: 42630818000138
Fornecedor solicita desbloqueio do usuário GOMESAC</t>
  </si>
  <si>
    <t>GomesAssessoriaeConsultoria  ServiçosemQSMS</t>
  </si>
  <si>
    <t>GOMESAC</t>
  </si>
  <si>
    <t>t.gomesassessoria@gmail.com</t>
  </si>
  <si>
    <t>42630818000138</t>
  </si>
  <si>
    <t>INC55246984</t>
  </si>
  <si>
    <t>Dificuldade de agendamento</t>
  </si>
  <si>
    <t>Chamado criado pela área externa do Portal 
 Nome do Contato: Beatriz Araujo Llopis 
 Usuário: TELEBITBR 
 Telefone: 21972021521 
 E-mail: comercial@telebitbrasil.com 
 CNPJ: 14.826.280/0001-04 
 Razão Social TELEBIT BRASIL TELECOMUNICACAO LTDA 
 Ao acessar o site da Petronect, verifiquei que no menu não consta a opção de agendamento.
Além disso, ao tentar realizar o vínculo de família, a IA do site não permitiu a conclusão do cadastro, informando que ele já está ativo ou que permanece bloqueado.
Diante disso, gostaria de confirmar se o cadastro encontra-se ativo ou se ainda está bloqueado, bem como solicitar orientações sobre como proceder para regularização.
Desde já, agradeço a atenção e fico no aguardo de um retorno.</t>
  </si>
  <si>
    <t>DERLAINE  CRISTINA DE SOUZA CASTANHO</t>
  </si>
  <si>
    <t>comercial@telebitbrasil.com</t>
  </si>
  <si>
    <t>14826280000104</t>
  </si>
  <si>
    <t>INC55246908</t>
  </si>
  <si>
    <t xml:space="preserve">INC55246908 +5512991811091
Nome do Contato: Simone dos Santos Ribeiro Kaligeris Rocha
CNPJ/Razão Social: 37083705000120
CPF: 23614335836
Telefone: 12991811091
E-mail: simone@centrotreinamentos.com.br
Usuário: SIMONEROCHA
Oportunidade: 
CHAT BOT - Redefinição de Senha
</t>
  </si>
  <si>
    <t>'+5512991811091</t>
  </si>
  <si>
    <t>SIMONE DOS SANTOS RIBEIRO KALIGERIS ROCHA</t>
  </si>
  <si>
    <t>SIMONEROCHA</t>
  </si>
  <si>
    <t>simone@centrotreinamentos.com.br</t>
  </si>
  <si>
    <t xml:space="preserve">37083705000120 - </t>
  </si>
  <si>
    <t>INC55246806</t>
  </si>
  <si>
    <t xml:space="preserve">INC55246806 +551938211101
Nome do Contato: Alfa Omega Ferramentas LTDA
CNPJ/Razão Social: 00855580000107
CPF: 43113511860
Telefone: 1938211101
E-mail: ferramentas@alfaomegaf.com.br
Usuário: MARCOJ.PA82
Oportunidade: 
CHAT BOT - Acesso portal cadastro
MARCOJ.PA82
MARCOS JARDEL PATELLI
1938211101 ferramentas@alfaomegaf.com.br 18.02.2024    Bloqueado
Prezados(a), fornecedor(a) solicita desbloqueio, atualização de validade e atribuições de perfis de seu usuário: MARCOJ.PA82
</t>
  </si>
  <si>
    <t>'+551938211101</t>
  </si>
  <si>
    <t>MARCOS JARDEL PATELLI</t>
  </si>
  <si>
    <t>MARCOJ.PA82</t>
  </si>
  <si>
    <t>ferramentas@alfaomegaf.com.br</t>
  </si>
  <si>
    <t>00855580000107 - ALFA OMEGA FERRAMENTAS LTDA</t>
  </si>
  <si>
    <t>INC55246800</t>
  </si>
  <si>
    <t xml:space="preserve">INC55246800 +5579998737512
Nome do Contato: Yasmin Melo dos Santos
CNPJ/Razão Social: 18000392000154
CPF: 10311580572
Telefone: 79998737512
E-mail: raiz@genivalnunes.eco.br
Usuário: RAIZ_AMB
Oportunidade: 
CHAT BOT - Redefinição de Senha
</t>
  </si>
  <si>
    <t>INC55246721</t>
  </si>
  <si>
    <t>Petronect e-mail change support</t>
  </si>
  <si>
    <t>Nome do Contato: May
Usuário: USR0068102
E-mail: js10@chinajsgj.com 
Telefone: +8615732177342 
CNPJ/Razão Social: 911309257926635816 HEBEI JINSHENG PIPE FITTING MANUFACTURIN
Fornecedora solicita suporte para alterar o e-mail cadastrado. Foi orientada a acessar o portal &gt; A Petronect &gt; Minha Conta &gt; Meus Dados Pessoais &gt; Editar &gt; trocar o e-mail e deslogar para confirmar o PIN recebido no novo e-mail.
Aguardando a confirmação da fornecedora.</t>
  </si>
  <si>
    <t>KEVIN  QIN</t>
  </si>
  <si>
    <t>INC55246699</t>
  </si>
  <si>
    <t>rota</t>
  </si>
  <si>
    <t>nome do Contato: Cristiano    
Usuário:   
Telefone:   
E-mail:       
CNPJ / Razão Social:
Prestador de serviços da Petrobras  entrou em contato solicitando auxilio para tirar duvidas do porque não consegue enviar convite pra cadastro do forncedor, orientado(a):
ROTA: DISCAR 881 &gt; OPÇÃO 4 &gt; TELEFONE EXTERNO: 0800 881 0881. 
DISPONÍVEL DE SEGUNDA A SEGUNDA, 24H. 
https://petrobras.service-now.com/cs </t>
  </si>
  <si>
    <t>INC55246696</t>
  </si>
  <si>
    <t xml:space="preserve">INC55246696 +5511992229409
Nome do Contato: Ester Alves da Silva
CNPJ/Razão Social: 12598197000191
CPF: 49487878840
Telefone: 11992229409
E-mail: ester.silva@gep.com
Usuário: ESTERSILVA46
Oportunidade: 
CHAT BOT - Dados Básicos
</t>
  </si>
  <si>
    <t>'+5511992229409</t>
  </si>
  <si>
    <t>ESTER ALVES DA SILVA</t>
  </si>
  <si>
    <t>ESTERSILVA46</t>
  </si>
  <si>
    <t>ester.silva@gep.com</t>
  </si>
  <si>
    <t>12598197000191 - GLOBAL EPROCURE SERVICOS LTDA</t>
  </si>
  <si>
    <t>INC55246652</t>
  </si>
  <si>
    <t>Cadastro da Empresa</t>
  </si>
  <si>
    <t>Chamado criado pelo área interna do Portal 
 Nome do Contato: DIOGO VIEIRA MACHADO 
 Usuário: CBVOFFSHORE 
 Telefone: 21985474622 
 E-mail: cbv@cbvoffshore.com 
 CNPJ: 39912731000149 
 Razão Social CBV ENGENHARIA E OPERACOES OFFSHORE LTDA 
 Olá.
Na aba "Cadastro na Petrobras" &gt;&gt; "Identificação da Empresa, não estásendo possível cadastrar a conta bancária para dar continuidade ao processo de cadastramento.
Um erro acontece dizendo que o número da agência está incorreto.
A busca também não funciona.
Poderia por favor cadastrar a conta abaixo para finalização do cadastro da empresa:
Bradesco: 0237
Agência: 6566-8
Conta: 0007843-3
Obrigado</t>
  </si>
  <si>
    <t>DIOGO VIEIRA MACHADO</t>
  </si>
  <si>
    <t>CBVOFFSHORE</t>
  </si>
  <si>
    <t>cbv@cbvoffshore.com</t>
  </si>
  <si>
    <t>39912731000149 -  CBV ENGENHARIA E OPERACOES OFFSHORE LTDA</t>
  </si>
  <si>
    <t>INC55246563</t>
  </si>
  <si>
    <t>Solicitação de Desbloqueio - 23314594001697</t>
  </si>
  <si>
    <t>Prezado, boa tarde!
Recebi um e-mail da empresa ALE COMBUSTIVEL S.A., CNPJ: 23314594001697, solicitando criação de usuário administrador, porém ao buscar aparece a informação que a empresa está com status "Bloqueado". 
Atenciosamente,
Fabiane Moura.</t>
  </si>
  <si>
    <t>INC55246528</t>
  </si>
  <si>
    <t>Recuperação de acesso à conta</t>
  </si>
  <si>
    <t>Chamado criado pela área externa do Portal 
 Nome do Contato: André Luis de Souza Cruz Barbosa 
 Usuário:  
 Telefone: 21 98593 3047 
 E-mail: andreluis.barbosa@siemens-energy.com 
 CNPJ: 117293 
 Razão Social DRESSER-RAND INDIA PRIVATE LIMITED 
 Bom dia. Sou colaborador da Siemens Energy, que engloba a Dresser-Rand. Eu gostaria de saber, por favor, como/se podemos recuperar o acesso à conta especificada, a qual não temos o nome de usuário e nem a senha, quais documentos precisamos apresentar, etc. Muito obrigado.</t>
  </si>
  <si>
    <t>INC55246489</t>
  </si>
  <si>
    <t>Solicitação de Desbloqueio - 23314594000534</t>
  </si>
  <si>
    <t>Prezado, boa tarde!
Recebi um e-mail da empresa ALE COMBUSTIVEL S.A., CNPJ: 23314594000534, solicitando criação de usuário administrador, porém ao buscar aparece a informação que a empresa está com status "Bloqueado".
Atenciosamente,
Fabiane Moura.</t>
  </si>
  <si>
    <t>INC55246477</t>
  </si>
  <si>
    <t xml:space="preserve">INC55246477 +5511960822636
Nome do Contato: Adriana Galozzi
CNPJ/Razão Social: 61936522000194
CPF: 27455078854
Telefone: 11960822636
E-mail: a.galozzi@celmar.com.br
Usuário: AGALOZZI
Oportunidade: 
CHAT BOT - Redefinição de Senha
</t>
  </si>
  <si>
    <t>'+5511960822636</t>
  </si>
  <si>
    <t>ADRIANA GALOZZI</t>
  </si>
  <si>
    <t>AGALOZZI</t>
  </si>
  <si>
    <t>a.galozzi@celmar.com.br</t>
  </si>
  <si>
    <t>61936522000194 - CELMAR COMERCIAL E IMPORTADORA LIMITADA</t>
  </si>
  <si>
    <t>INC55246469</t>
  </si>
  <si>
    <t>Ligação muda. feita a fraseologia para finalizar chamada.</t>
  </si>
  <si>
    <t>ANDRESA VITORIA  DE SANTANA MARQUES</t>
  </si>
  <si>
    <t>ANDRESA.HS</t>
  </si>
  <si>
    <t>andresa.marques@seven.online</t>
  </si>
  <si>
    <t>24913295000155 - HARPIA SERVICOS E ENGENHARIA LTDA</t>
  </si>
  <si>
    <t>INC55245653</t>
  </si>
  <si>
    <t>Não consigo acessar o portal</t>
  </si>
  <si>
    <t>Chamado criado pela área externa do Portal 
 Nome do Contato: RENATO GOMES DOS SANTOS 
 Usuário: MCCIMANUT 
 Telefone: 33040249 
 E-mail: mccimanut@yahoo.com.br 
 CNPJ: 96969555887 
 Razão Social  
 Já realizei o cadastro, redefini a senha no primeiro acessar, porem tento acessar e não consigo.</t>
  </si>
  <si>
    <t>Renato Gomes dos Santos</t>
  </si>
  <si>
    <t>MCCIMANUT</t>
  </si>
  <si>
    <t>mccimanut@yahoo.com.br</t>
  </si>
  <si>
    <t xml:space="preserve">96791603000128 - </t>
  </si>
  <si>
    <t>Adriana  Martins</t>
  </si>
  <si>
    <t>24815922</t>
  </si>
  <si>
    <t>comercial2@lunalmf.com.br</t>
  </si>
  <si>
    <t>32100972000144 -   AL CLIMA COMÉRCIOE SÉRVIÇOS DE REFRIGERA</t>
  </si>
  <si>
    <t>INC55245619</t>
  </si>
  <si>
    <t>INC55245619 +5512997786736
Nome do Contato: Glenda Alexia da Silva BArbosa
CNPJ/Razão Social: 09433059000148
CPF: 42780450851
Telefone: 12997786736
E-mail: p.oliveira@grupofta.com.br
Usuário: USR0067217
Oportunidade: 7004501715
CHAT BOT - Acesso portal cadastro
USR0067217
PALMERINDO ANDRADE DE OLIVEIRA
27 9 9312-0950 p.oliveira@grupofta.com.br 30.11.2025    Desbloqueado
Prezados(a), fornecedor(a) solicita desbloqueio, atualização de validade e atribuições de perfis de seu usuário: USR0067217
REVAMP do FLARE da REDUC - Fornecimen... 7004501715 Petróleo Brasileiro S. A. DFINRI-SUPRIMENTOS Ativo LP DFP Total 24.11.2025 18:00:00 23.02.2026 12:00:00 Sim</t>
  </si>
  <si>
    <t>'+5512997786736</t>
  </si>
  <si>
    <t>PALMERINDO   ANDRADE DE OLIVEIRA</t>
  </si>
  <si>
    <t>p.oliveira@grupofta.com.br</t>
  </si>
  <si>
    <t>09433059000148 - FTA PRODUTOS E SERVICOS INDUSTRIAIS LTDA</t>
  </si>
  <si>
    <t>THIAGO  FAULHABER LIMA</t>
  </si>
  <si>
    <t>atendimento@safetyworld.com.br</t>
  </si>
  <si>
    <t>11708685000141 - SAFETY WORLD CONSULTORIA DE SEGURANCA, S</t>
  </si>
  <si>
    <t>INC55245524</t>
  </si>
  <si>
    <t>Cadastro Perfil Cotação</t>
  </si>
  <si>
    <t>Chamado criado pelo área interna do Portal 
 Nome do Contato: LEONARDO RIBEIRO MONTEIRO BELEM 
 Usuário: LEONABELEM71 
 Telefone: 6298406 4241 
 E-mail: leobigode@monstrodiscos.com.br 
 CNPJ: 08867634000158 
 Razão Social MONSTRO PRODUÇÕES LTDA. 
 Prezaados,
vamos lá... mais uma vez. 
Recebi um retorno de vcs com o seguinte passo a passo para cadastrar e habilitar o perfil do usuário LEONABELEM71 no perfil de cotações eletrônicas:
Em atendimento ao chamado INC55244926 segue a resposta abaixo:
Segue orientações para atribuição de funções:
&gt; Logar com usuário e senha
&gt; Menu "A Petronect "
&gt; Sub Menu "Minha Conta" &gt;
&gt; Meus dados de acesso: Funções atribuídas - editar &gt; Selecionar a função desejada
"Cotações eletrônicas &gt; Salvar &gt; Sair com segurança e logar novamente.
NO ENTANTO, CONFORME PRINT EM ANEXO, essa função não aparece no local citado. E, abaixo, no local de usuários da minha empresa tb não aparece o usuário... em nenhum lugar há essa possibilidade de atribuirmos essa função solicitada pela Gerência de Contratação da Comunicação (COM/CONT) ao usuário LEONABELEM71.
Este já deve ser o quinto chamado que eu abro solicitando suporte, ajuda e a solução para isso e até agora não conseguimos avançar em nada.
Aguardo retorno.</t>
  </si>
  <si>
    <t>Leonardo Ribeiro Monteiro Belém</t>
  </si>
  <si>
    <t>LEONABELEM71</t>
  </si>
  <si>
    <t>leobigode@monstrodiscos.com.br</t>
  </si>
  <si>
    <t>08867634000158 - MONSTRO PRODUÇÕES LTDA.</t>
  </si>
  <si>
    <t>INC55245063</t>
  </si>
  <si>
    <t xml:space="preserve">INC55245063 +5515981063185
Nome do Contato: Renata Alves Branco de Miranda Cruz
CNPJ/Razão Social: 07092005000211
CPF: 319.947.308-38
Telefone: 1530338008
E-mail: renata.miranda@alutal.com.br
Usuário: RENATA_SRS
Oportunidade: 
CHAT BOT - Redefinição de Senha
</t>
  </si>
  <si>
    <t>'+5515981063185</t>
  </si>
  <si>
    <t>RENATA ALVES BRANCO DE MIRANDA CRUZ</t>
  </si>
  <si>
    <t>RENATA_SRS</t>
  </si>
  <si>
    <t>renata.miranda@alutal.com.br</t>
  </si>
  <si>
    <t>07092005000211-AlutalControles</t>
  </si>
  <si>
    <t>INC55245019</t>
  </si>
  <si>
    <t xml:space="preserve">INC55245019 +5521999714044
Nome do Contato: Mariana Kohler Pereira
CNPJ/Razão Social: 33615317000191
CPF: 07078268709
Telefone: 21999714044
E-mail: contato@emroda.com.br
Usuário: EMRODA0806
Oportunidade: 
CHAT BOT - Dados Básicos
</t>
  </si>
  <si>
    <t>'+5521999714044</t>
  </si>
  <si>
    <t>MARIANA KOHLER PEREIRA</t>
  </si>
  <si>
    <t>contato@emroda.com.br</t>
  </si>
  <si>
    <t>33615317000191 - MARIANA KOHLER PEREIRA CONSULTORIA EM GE</t>
  </si>
  <si>
    <t>INC55244991</t>
  </si>
  <si>
    <t>cnpj : 32520779000162
empresa : SPARFLEX AUTOMAÇÃO INDUSTRIAL LTDA
nome: AUREA REGIA DIAS DOS SANTOS
telefone : 11 919124151
e-mail: aurea@sparflex.com.br
usuario : AUREASPAR
expirado desde : 06.07.2025
INC55244991</t>
  </si>
  <si>
    <t>Aurea regia</t>
  </si>
  <si>
    <t>AUREASPAR</t>
  </si>
  <si>
    <t>aurea@sparflex.com.br</t>
  </si>
  <si>
    <t>INC55244832</t>
  </si>
  <si>
    <t xml:space="preserve">Nome de contato: PATRICIA MARCELIA VIANA NOBREGA
Usuário: ANDRESA.HS
Telefone: 71997073310      
E-mail:andresa.marques@seven.online   
CNPJ/Razão social: 96745823000115 HARPIA SERVICOS E ENGENHARIA LTDA
Fornecedor solicita desbloqueio do usuário, o mesmo encontra-se expirado.
07.09.2025 Desbloqueado  marcelia.viana@seven.online 
MARCELIA.HS
Exibir  
PATRICIA MARCELIA VIANA NOBREGA
</t>
  </si>
  <si>
    <t>INC55244780</t>
  </si>
  <si>
    <t xml:space="preserve">INC55244780 +5519981931611
Nome do Contato: Luana Soares de Souza de Campos
CNPJ/Razão Social: 42159411000174
CPF: 33243759838
Telefone: 19981931611
E-mail: comercial@tks.ind.br
Usuário: TKS232510
Oportunidade: 
CHAT BOT - Redefinição de Senha
</t>
  </si>
  <si>
    <t>INC55244517</t>
  </si>
  <si>
    <t>RES: Atualização Portal Petronect - usuário em duplicidade</t>
  </si>
  <si>
    <t>Boa tarde @relacionamento.cadastro,
Vamos precisa fazer uma atualização na carta modelo e no texto em:
Cadastro na Petrobras / Perguntas frequentes / "7. Sou usuário Administrador e não consigo criar novo usuário, pois seu CPF e/ou e-mail está vinculado a um usuário ativo de outra empresa no Portal."
"Para recuperar o acesso ao Portal de Cadastro em casos de bloqueio de usuário, é preciso comprovar o vínculo do solicitante com a empresa. Siga os passos abaixo:
1. Preencher a Carta Modelo , assinada pelo representante legal que conste no Contrato Social ou no Estatuto Social e na Ata de Eleição de Membros da Diretoria Executiva.
2. Anexar ao chamado criado na Petronect :
• A carta mencionada acima;
• Os documentos citados abaixo nos itens a) e b) conforme o tipo de empresa:
a) Certidão da Junta Comercial Estadual ou Registro Civil de Pessoas Jurídicas (RCPJ) ou Registro Civil de Pessoas Naturais (RCPN)
Nota 1: Dentre os tipos de certidões expedidos pelos Registros de Sociedades Empresariais, o documento deverá conter obrigatoriamente:
• Razão social;
• CNPJ;
.
.
.
.
.
(Seguir com o mesmo texto presente na pergunta 6)
Letícia Linhares
Gestão de Cadastro de Fornecedores 
Suprimentos</t>
  </si>
  <si>
    <t>INC55244339</t>
  </si>
  <si>
    <t>CHAT BOT - Inscrição Oportunidade (P4)</t>
  </si>
  <si>
    <t xml:space="preserve">INC55244339 +5531986110564
Nome do Contato: Rosani Aparecida de Souza lopes
CNPJ/Razão Social: 20237590000188
CPF: 81596413620
Telefone: 31986110564
E-mail: rosani@Bufalo.com.br
Usuário: MARIACE.C
Oportunidade: 
CHAT BOT - Acesso portal cadastro
</t>
  </si>
  <si>
    <t>'+5531986110564</t>
  </si>
  <si>
    <t>INC55244118</t>
  </si>
  <si>
    <t>CHAT BOT - Abertura de chamados</t>
  </si>
  <si>
    <t xml:space="preserve">INC55244118 +5511997356526
Nome do Contato: João Carlos Cará
CNPJ/Razão Social: 26690127000173
CPF: 059.490.078-67
Telefone: 11999111249
E-mail: joao@oguen.com
Usuário: OGUEN.COM
Oportunidade: 
CHAT BOT - Abertura de chamados
</t>
  </si>
  <si>
    <t>'+5511997356526</t>
  </si>
  <si>
    <t>Incidentes//Cadastro na Petrobras//Suporte//Fale Conosco//Abertura de chamados</t>
  </si>
  <si>
    <t>Abertura de chamados</t>
  </si>
  <si>
    <t>JOAO  CARLOS CARAI</t>
  </si>
  <si>
    <t>OGUEN.COM</t>
  </si>
  <si>
    <t>joao@oguen.com</t>
  </si>
  <si>
    <t>26690127000173 - OGUEN COMERCIO E CONSULTORIA EM SEGURANCA EMPRESARIAL LTDA</t>
  </si>
  <si>
    <t>INC55243872</t>
  </si>
  <si>
    <t>INC55243872 +5592993951559
Nome do Contato: Rafael Victor Santos Silva
CNPJ/Razão Social: 09478040000118
CPF: 74119117200
Telefone: 92993951559
E-mail: tecontrol@tecontrolbr.com.br
Usuário: TECONTROL
Oportunidade: 
CHAT BOT - Acesso portal cadastro
TECONTROL
JUNIO OLIVEIRA DA SILVA
  tecontrol@tecontrolbr.com.br 15.09.2023    Bloqueado</t>
  </si>
  <si>
    <t>'+5592993951559</t>
  </si>
  <si>
    <t>JUNIO OLIVEIRA DA SILVA</t>
  </si>
  <si>
    <t>TECONTROL</t>
  </si>
  <si>
    <t>tecontrol@tecontrolbr.com.br</t>
  </si>
  <si>
    <t xml:space="preserve">09478040000118 - </t>
  </si>
  <si>
    <t>INC55238511</t>
  </si>
  <si>
    <t>Unable to Login on Petronect</t>
  </si>
  <si>
    <t>Chamado criado pela área externa do Portal 
 Nome do Contato: Rowena E Gaspar 
 Usuário: R.COENS 
 Telefone: +6598235065 
 E-mail: rowena@coens.com 
 CNPJ: 200807971M 
 Razão Social COENS ENERGY PTE LTD 
 Hi Team,
I am trying to login on PETRONECT to access my Petrobras account but every time I do, it is prompting me to change password.  After changing the Password and I try to use the new password to login, the error still remains the same. 
Could you help me please as I wish to access the latest notification from Petrobras. Thanks.
Best regards,
Rowena
Rowena Espiritu-Gaspar
Country Manager, Singapore
Coens Energy Pte. Ltd. : 18C9329
T:  +65 6957 7889  D: +65 6950 8350  M: +65 9823 5065
W: www.coens.com   E: rowena@coens.com 
A:  15 Beach Road, #02-01 Beach Centre, Singapore 189677</t>
  </si>
  <si>
    <t>Rowena Espiritu-Gaspar</t>
  </si>
  <si>
    <t>R.COENS</t>
  </si>
  <si>
    <t>enquiries@coens.com</t>
  </si>
  <si>
    <t>200807971M - Coens Energy Pte. Ltd.</t>
  </si>
  <si>
    <t>INC55236126</t>
  </si>
  <si>
    <t>Atualização de dados básicos</t>
  </si>
  <si>
    <t>Chamado criado pela área externa do Portal 
 Nome do Contato: Luiz Carlos Santos de Jesus 
 Usuário: 07123380 
 Telefone: 71 992842035 
 E-mail: lme.33@hotmail.com 
 CNPJ: 12320886000130 
 Razão Social FALCÃO SERVIÇOS DE INSTALAÇÃO E CONSTRUÇÃO 
 Gostaria de mudar o nome que consta no cadastro, na época que fiz a solicitação de cadastro minha esposa estava como proprietária da empresa, porém, hoje a empresa se encontra em meu nome
Solicito a mudança do nome de: Katia Gomes Santos, portadora do cpf: 824.287.905-63 para o meu nome: Luiz Carlos Santos de Jesus, cpf: 796.089.905-30</t>
  </si>
  <si>
    <t>Katia  Gomes Santos Santos</t>
  </si>
  <si>
    <t>lme.33@hotmail.com</t>
  </si>
  <si>
    <t>12320886000130 - LME SERVIÇOS MANUTENÇÃO E REFORMA PREDIA</t>
  </si>
  <si>
    <t>Projetos</t>
  </si>
  <si>
    <t>USUARIO NO VALIDO</t>
  </si>
  <si>
    <t>Chamado criado pela área externa do Portal 
 Nome do Contato: GINA LILIANA RAMIREZ 
 Usuário: GI.COLOMBIA 
 Telefone: 3174407133 
 E-mail: gina.ramirez@telefonica.com 
 CNPJ: 830122566-1 
 Razão Social COLOMBIA TELECOMUNICACIONES SA ESP BIC 
 Buen dia, agradezco de su colaboracion ya que el usuario GI.COLOMBIA al digital la clave correcta indica: usuario no valido, por tal motivo se requiere tener el usuario para poder hacer ingreso al portal</t>
  </si>
  <si>
    <t>GINALILIANA RAMIREZ PIÑEROS</t>
  </si>
  <si>
    <t>GI.COLOMBIA</t>
  </si>
  <si>
    <t>gina.ramirez@telefonica.com</t>
  </si>
  <si>
    <t>8301225661 - COLOMBIA TELECOMUNICACIONES S.A. ESP</t>
  </si>
  <si>
    <t>INC55234709</t>
  </si>
  <si>
    <t>Solicitação de Desbloqueio -23314594000887</t>
  </si>
  <si>
    <t>Prezado, boa tarde!
Recebi um e-mail da empresa ALE COMBUSTIVEL S.A., CNPJ: 23314594000887, solicitando criação de usuário administrador, porém ao buscar aparece a informação que a empresa está com status "Bloqueado".
Atenciosamente,
Fabiane Moura.</t>
  </si>
  <si>
    <t>SIDILENE  APARECIDA DE SOUZA LIMA</t>
  </si>
  <si>
    <t>MULTICURSOS</t>
  </si>
  <si>
    <t>sidilene@multicursosesonline.com.br</t>
  </si>
  <si>
    <t>28783359000100 - SIDILENE APARECIDA DE SOUZA LIMA</t>
  </si>
  <si>
    <t>Chamado aberto pela URA
Usuário:JOSECOUTI38
CPF:71491538791
Taxnum:06998056000163
E-mail:teatropoeira@teatropoeira.com.br
Seu chamado foi registrado. Estamos lhe transferindo para o atendimento especializado.</t>
  </si>
  <si>
    <t>INC55234393</t>
  </si>
  <si>
    <t>Chamado: INC55234393
 Nome do Contato: Amilto José do Pilar
 Usuário: AMILTO.STILO
 Telefone: 67 33801187
E-mail: comercial@stiloseguranca.com.br
CNPJ / Razão Social: 08112812000130 - STILO SEGURANÇA LTDA
Fornecedor(a) solicitou auxilio para o desbloqueio de seu usuário que expirou no dia 06/12/2022. 
AMILTO.STILO
Amilto José do Pilar
67 33801187 06.12.2022    Desbloqueado Exibir  comercial@stiloseguranca.com.br</t>
  </si>
  <si>
    <t>Amilto José do Pilar</t>
  </si>
  <si>
    <t>comercial@stiloseguranca.com.br</t>
  </si>
  <si>
    <t>08112812000130 - STILO SEGURANÇA LTDA</t>
  </si>
  <si>
    <t>INC55234373</t>
  </si>
  <si>
    <t>inclusão  de familia</t>
  </si>
  <si>
    <t>Nome de contato:Priscila latronico
Usuário:PRIZINATA servicos@zinata.com.br 48996741871 
CPF:05649457905
Telefone:48996741871
E-mail:servicos@zinata.com.br
CNPJ/Razão social:02814057000150 ZINATA SERVICOS E ADMINISTRAÇÃO TDA - ME
Por falta de interação o atendimento está sendo finalizado.
Prezados, sua solicitação será encerrada e o tratamento será redirecionado, conforme manifestação 8001441602 
Por falta de interação o atendimento está sendo finalizado.</t>
  </si>
  <si>
    <t>f6d1f8f8-4b21-4ebc-8756-2e8f1dd0abe7</t>
  </si>
  <si>
    <t>PRICILA  NUNES LATRONICO</t>
  </si>
  <si>
    <t>PRIZINATA</t>
  </si>
  <si>
    <t>servicos@zinata.com.br</t>
  </si>
  <si>
    <t>02814057000150 ZINATA SERVICOS E ADMINISTRAÇÃO TDA - ME</t>
  </si>
  <si>
    <t>Telma Luiza Correa de Araujo</t>
  </si>
  <si>
    <t>contato@stiloseguranca.com.br</t>
  </si>
  <si>
    <t>INC55234208</t>
  </si>
  <si>
    <t>Inclusão de familias e atualização de dados básicos.</t>
  </si>
  <si>
    <t xml:space="preserve">Nome de contato:Michel Conte Resende
Usuário:MC_RESENDE michel.resende@inetum.com 11950909305 
CPF:317692278-73
Telefone:11950909305
E-mail:michel.resende@inetum.com
CNPJ/Razão social:11355881000180 INETUM BRASIL LTDA.
Prezados, sua solicitação será encerrada e o tratamento será redirecionado, conforme manifestação 8001441600 </t>
  </si>
  <si>
    <t>d7af8696-8ca7-4043-b165-86d63f3ce308</t>
  </si>
  <si>
    <t>INC55234142</t>
  </si>
  <si>
    <t>Cadastro em Red Flag</t>
  </si>
  <si>
    <t>Chamado criado pela área externa do Portal 
 Nome do Contato: Raphael Montagnon 
 Usuário:  
 Telefone: 61 982354114 
 E-mail: integridade@santiagoac.adv.br 
 CNPJ: 
 Razão Social HARPIA 
 Solicito o agendamento de uma reunião para esclarecimentos acerca da manutenção do cadastro da empresa em status Red Flag, bem como para compreensão dos apontamentos existentes e orientações quanto tratativas necessárias para regularização.</t>
  </si>
  <si>
    <t>INC55234130</t>
  </si>
  <si>
    <t>Suporte para Login</t>
  </si>
  <si>
    <t>Chamado criado pela área externa do Portal 
 Nome do Contato: FELIPE APARECIDO DE OLIVEIRA MEIRA 
 Usuário:  
 Telefone: 11988727945 
 E-mail: felipetile@hotmail.com 
 CNPJ: 44866973000183 
 Razão Social  
 Prezados, boa tarde!
Meu nome é Felipe Meira, sou proprietário da empresa Qualityller.
Temos cadastro ativo, porém, não consigo solicitar uma nova senha, o sistema informa que o e-mail ou usuario/CPF está incorreto. 
Gostaria de auxilio para recuperação do acesso.</t>
  </si>
  <si>
    <t>FELIPE APARECIDO DE OLIVEIRA MEIRA</t>
  </si>
  <si>
    <t>QUALITYLLER</t>
  </si>
  <si>
    <t>financeiro@qualityller.com</t>
  </si>
  <si>
    <t xml:space="preserve">44866973000183 - </t>
  </si>
  <si>
    <t>EVANCLEY  SANTOS DE MELO</t>
  </si>
  <si>
    <t>EVANCLEY</t>
  </si>
  <si>
    <t>dmelodedetizacao@gmail.com</t>
  </si>
  <si>
    <t>26738897000149 EVANCLEY S. DE MELO-ME</t>
  </si>
  <si>
    <t>INC55233759</t>
  </si>
  <si>
    <t>INC55233759 +5596999720818
Nome do Contato: Neusiane Costa Pantoja de Oliveira
CNPJ/Razão Social: 55359027000167
CPF: 79733182249
Telefone: 96981389095
E-mail: diretoria@eusouinzo.com.br
Usuário: NEUSIANE
Oportunidade: 
CHAT BOT - Acesso portal cadastro
NEUSIANE
NEUSIANE COSTAPANTOJADEOLIVEIRA
  diretoria@eusouinzo.com.br 31.12.9999    Desbloq. (Senha Expirada)</t>
  </si>
  <si>
    <t>'+5596999720818</t>
  </si>
  <si>
    <t>NEUSIANE COSTA PANTOJA DE OLIVEIRA</t>
  </si>
  <si>
    <t>NEUSIANE</t>
  </si>
  <si>
    <t>diretoria@eusouinzo.com.br</t>
  </si>
  <si>
    <t xml:space="preserve">55359027000167 - </t>
  </si>
  <si>
    <t>INC55233098</t>
  </si>
  <si>
    <t>Suporte no questionario ECONÔMICO</t>
  </si>
  <si>
    <t>Chamado criado pelo área interna do Portal 
 Nome do Contato: FABRICIO MELO FREIRE 
 Usuário: FFREIRE 
 Telefone: 71 2106-9200 
 E-mail: cadastro@hita.com.br 
 CNPJ: 00793483000129 
 Razão Social HITA COMERCIO E SERVICOS S/A 
 Prezados, solicito esclarecimento sobre o questionário econômico está voltando. Solicitando ajuda sobre a questões inválidas</t>
  </si>
  <si>
    <t>FABRICIO MELO FREIRE</t>
  </si>
  <si>
    <t>FFREIRE</t>
  </si>
  <si>
    <t>hita@hita.com.br</t>
  </si>
  <si>
    <t>00793483000129 - HITA COMERCIO E SERVICOS LTDA</t>
  </si>
  <si>
    <t>INC55233005</t>
  </si>
  <si>
    <t>Nome do Contato: ingrid ximensa gaitan
Usuário: ING.ANDITEL
E-mail: igaitan@anditel.com 
Telefone: 3182061587
CNPJ/Razão Social: 8600746711 ANDITEL S A
Fornecedor solicita desbloqueio do usuário ING.ANDITEL</t>
  </si>
  <si>
    <t>INGRID XIMENA  GAITAN VALDES</t>
  </si>
  <si>
    <t>ING.ANDITEL</t>
  </si>
  <si>
    <t>igaitan@anditel.com</t>
  </si>
  <si>
    <t>8600746711 ANDITEL S A</t>
  </si>
  <si>
    <t>INC55232937</t>
  </si>
  <si>
    <t>Nome do Contato: Diego
Usuário: REDFOXLUIS
E-mail: luis.seixas@redfox.tech 
Telefone: 21 9 9156-1477 
CNPJ/Razão Social: 27208515000138 REDFOX SOLUCOES DIGITAIS LTDA
Fornecedor solicita desbloqueio do usuário REDFOXLUIS</t>
  </si>
  <si>
    <t>LUIS ANTONIO  FONSECA SEIXAS</t>
  </si>
  <si>
    <t>REDFOXLUIS</t>
  </si>
  <si>
    <t>luis.seixas@redfox.tech</t>
  </si>
  <si>
    <t>27208515000138 - REDFOX SOLUCOES DIGITAIS LTDA</t>
  </si>
  <si>
    <t>INC55232720</t>
  </si>
  <si>
    <t xml:space="preserve">Nome do Contato: Anderson Sehn de Souza
Usuário: GIVAL.1986
E-mail: gival_rs@yahoo.com.br 
Telefone: 51981706652
CNPJ/Razão Social: 91377887000197
Fornecedor solicita desbloqueio do usuário GIVAL.1986
</t>
  </si>
  <si>
    <t>ANDERSON  SEHNDESOUZA</t>
  </si>
  <si>
    <t>GIVAL.1986</t>
  </si>
  <si>
    <t>gival_rs@yahoo.com.br</t>
  </si>
  <si>
    <t>91377887000197</t>
  </si>
  <si>
    <t>INC55232635</t>
  </si>
  <si>
    <t xml:space="preserve">INC55232635 +5522999386308
Nome do Contato: Lincoln Lima de Andrade
CNPJ/Razão Social: 44173496000170
CPF: 16626682792
Telefone: 22999386308
E-mail: afsmechanical@gmail.com
Usuário: AFS2021
Oportunidade: 
CHAT BOT - Acesso portal cadastro
AFS2021
LINCOLN LIMA DE ANDRADE
+5522999386308 afsmechanical@gmail.com 18.01.2026    Desbloqueado
Prezados(a), fornecedor(a) solicita desbloqueio, atualização de validade e atribuições de perfis de seu usuário: AFS2021
</t>
  </si>
  <si>
    <t>'+5522999386308</t>
  </si>
  <si>
    <t>LINCOLN  LIMA DE ANDRADE</t>
  </si>
  <si>
    <t>afsmechanical@gmail.com</t>
  </si>
  <si>
    <t>44173496000170 - AF&amp;S SOLUTIONS LTDA</t>
  </si>
  <si>
    <t>INC55232573</t>
  </si>
  <si>
    <t xml:space="preserve">INC55232573 +5579999336137
Nome do Contato: Wilnara Ferreira Silva
CNPJ/Razão Social: 13350020000134
CPF: 843.820.905-04
Telefone: 7932188363
E-mail: suprimentos@multserv.net
Usuário: PPDI001
Oportunidade: 
CHAT BOT - Dados Básicos
</t>
  </si>
  <si>
    <t>'+5579999336137</t>
  </si>
  <si>
    <t>WILNARA FERREIRA SILVA</t>
  </si>
  <si>
    <t>suprimentos@multserv.net</t>
  </si>
  <si>
    <t>13350020000134 - MULTSERV MANUTENCAO PREDIAL LTDA</t>
  </si>
  <si>
    <t>INC55232380</t>
  </si>
  <si>
    <t xml:space="preserve">INC55232380 +5531992706050
Nome do Contato: Luiz Henrique Bastos Junior
CNPJ/Razão Social: 01615979000175
CPF: 08659695666
Telefone: 31992706050
E-mail: junior.bastos@locsoldas.com.br
Usuário: LOCSOLDAS
Oportunidade: 
CHAT BOT - Acesso portal cadastro
LOCSOLDAS
LUIZ HENRIQUE BASTOS JUNIOR
(31) 99270-6050 locsoldas@locsoldas.com.br 21.12.2025    Desbloqueado 
Prezados(a), fornecedor(a) solicita desbloqueio, atualização de validade e atribuições de perfis de seu usuário: LOCSOLDAS
</t>
  </si>
  <si>
    <t>'+5531992706050</t>
  </si>
  <si>
    <t>LUIZ HENRIQUE BASTOS JUNIOR</t>
  </si>
  <si>
    <t>LOCSOLDAS</t>
  </si>
  <si>
    <t>locsoldas@locsoldas.com.br</t>
  </si>
  <si>
    <t>01615979000175 - LOCSOLDAS LTDA ME</t>
  </si>
  <si>
    <t>INC55232372</t>
  </si>
  <si>
    <t xml:space="preserve">Duvidas sobre a licitações </t>
  </si>
  <si>
    <t>Fornecedor entrou em contato querendo tirar duvidas sobre as licitações da Petrobras
Foi informado ao fornecedor que não auxiliamos ao site Petrobras somente ao canal petronect</t>
  </si>
  <si>
    <t>INC55232367</t>
  </si>
  <si>
    <t xml:space="preserve">INC55232367 +5522998386553
Nome do Contato: ELTON VIEIRA LEITE
CNPJ/Razão Social: 10280730000147
CPF: 98670115700
Telefone: 22998386553
E-mail: prudencia@prudenciaconsultoria.com.br
Usuário: 14344589
Oportunidade: 
CHAT BOT - Acesso portal cadastro
</t>
  </si>
  <si>
    <t>'+5522998386553</t>
  </si>
  <si>
    <t>ELTON LEITE</t>
  </si>
  <si>
    <t>14344589</t>
  </si>
  <si>
    <t>prudencia@censanet.com.br</t>
  </si>
  <si>
    <t xml:space="preserve">10280730000147 - </t>
  </si>
  <si>
    <t>INC55232227</t>
  </si>
  <si>
    <t xml:space="preserve">INC55232227 +5511930547890
Nome do Contato: Thais azevedo dos Santos
CNPJ/Razão Social: 11996317000146
CPF: 39222174860
Telefone: 11975737080
E-mail: thais.santos@bigbagvirtude.com.br
Usuário: VIRTUDE2
Oportunidade: 
CHAT BOT - Acesso portal cadastro
VIRTUDE2
THAIS AZEVEDO DOS SANTOS
114147-1856 thais.santos@bigbagvirtude.com.br 05.10.2025    Desbloq. (Senha Expirada)
Prezados(a), fornecedor(a) solicita desbloqueio, atualização de validade e atribuições de perfis de seu usuário: VIRTUDE2
</t>
  </si>
  <si>
    <t>'+5511930547890</t>
  </si>
  <si>
    <t>THAIS AZEVEDO DOS SANTOS</t>
  </si>
  <si>
    <t>VIRTUDE2</t>
  </si>
  <si>
    <t>thais.santos@bigbagvirtude.com.br</t>
  </si>
  <si>
    <t>11996317000146 - BIG BAG VIRTUDE EMBALAGEM LTDA</t>
  </si>
  <si>
    <t>INC55232175</t>
  </si>
  <si>
    <t>Nome de contato: OSCAR FERNANDO CORREA LEITE
Usuário: OSCARCORREA
Telefone: 11945183656     
E-mail: oscar@racsoeng.com  
CNPJ/Razão social: 53932494000109 RACSO ENGENHARIA E CONSTRUTORA LTDA.
Fornecedor solicita desbloqueio do usuário, o mesmo encontra-se expirado.
11945183656 18.01.2026 Desbloqueado  oscar@racsoeng.com 
OSCARCORREA
Exibir  
OSCAR FERNANDO CORRE</t>
  </si>
  <si>
    <t>OSCAR FERNANDO CORREA LEITE</t>
  </si>
  <si>
    <t>OSCARCORREA</t>
  </si>
  <si>
    <t>oscar@racsoeng.com</t>
  </si>
  <si>
    <t>53932494000109 - RACSO ENGENHARIA E CONSTRUTORA LTDA.</t>
  </si>
  <si>
    <t>INC55232020</t>
  </si>
  <si>
    <t>ENC: Critério Legal - Fornecedor 33049503000100</t>
  </si>
  <si>
    <t xml:space="preserve">Bom dia a todos ! 
Favor verificar com urgência. 
Atenciosamente,
Dino Octavio Junior
SUPRIMENTOS/RMF/DQF/GCF 
________________________________________________________
@Dino Octavio Braga de Oliveira Junior, bom dia!
Pode verificar com a Petronect, por favor, por que no CRC do fornecedor CONSTRUTORA METROPOLITANA S A (CNPJ 33049503000100) consta o critério legal como aprovado?
A empresa foi reprovada no critério legal em 23/12/2025, por meio do processo 3001199906, mas aparentemente o sistema não derrubou a aprovação antiga dela.
Obrigado!
Atenciosamente, 
Rafael Nunes  
Pré-Qualificação e Habilitação de Fornecedores 
Suprimentos </t>
  </si>
  <si>
    <t>INC55231968</t>
  </si>
  <si>
    <t xml:space="preserve">INC55231968 +5579999162318
Nome do Contato: gilberto
CNPJ/Razão Social: 08619944000153
CPF: 36163252500
Telefone: 79999343435
E-mail: giba2066@gmail.com
Usuário: GILBERTO2006
Oportunidade: 
CHAT BOT - Acesso portal cadastro
</t>
  </si>
  <si>
    <t>'+5579999162318</t>
  </si>
  <si>
    <t>gilberto santos</t>
  </si>
  <si>
    <t>giba2006@ig.com.br</t>
  </si>
  <si>
    <t xml:space="preserve">08619944000153 - </t>
  </si>
  <si>
    <t>INC55231588</t>
  </si>
  <si>
    <t xml:space="preserve">INC55231588 +5531986893598
Nome do Contato: Carlos Bozzi
CNPJ/Razão Social: 01899414000167
CPF: 93928580604
Telefone: 31986893598
E-mail: comercial@mecbrun.com.br
Usuário: MECBRUN
Oportunidade: 
CHAT BOT - Redefinição de Senha
</t>
  </si>
  <si>
    <t>'+5531986893598</t>
  </si>
  <si>
    <t>DANIELE GONCALVES ZIDERICH</t>
  </si>
  <si>
    <t>MECBRUN</t>
  </si>
  <si>
    <t>comercial@mecbrun.com.br</t>
  </si>
  <si>
    <t>01899414000167 - MECBRUN-INDUSTRIA E COMERCIO LTDA</t>
  </si>
  <si>
    <t>INC55231510</t>
  </si>
  <si>
    <t>Nome do Contato: MARCIA LUISA FERREIRA KUHL
Usuário: MARCIA.123
Telefone: 16992360706
E-mail: marcia.ferreira@liquitec.com.br 
CNPJ / Razão Social: 24306270000193
Fornecedora solicita auxílio para redefinição de senha. Foi orientado passo a passo:
- Clicar em "Esqueceu sua senha?", confirme os dados, será enviado a senha automática para o e-mail informado.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Fornecedor(a) redefiniu com sucesso</t>
  </si>
  <si>
    <t>INC55231440</t>
  </si>
  <si>
    <t xml:space="preserve">INC55231440 +5531990720167
Nome do Contato: Thiago Eleutério Rodrigues
CNPJ/Razão Social: 34905361000107
CPF: 07242531659
Telefone: 31990720167
E-mail: thiago@serramarambiental.com
Usuário: SERRAMAR
Oportunidade: 
CHAT BOT - Redefinição de Senha
</t>
  </si>
  <si>
    <t>'+5531990720167</t>
  </si>
  <si>
    <t>Thiago Eleutério Rodrigues</t>
  </si>
  <si>
    <t>SERRAMAR</t>
  </si>
  <si>
    <t>thiago@serramarambiental.com</t>
  </si>
  <si>
    <t>34905361000107 - SERRA MAR MEIO AMBIENTE LTDA</t>
  </si>
  <si>
    <t>INC55231236</t>
  </si>
  <si>
    <t>Recuperação de senha</t>
  </si>
  <si>
    <t>Chamado criado pela área externa do Portal 
 Nome do Contato: Paulo Costanza 
 Usuário:  
 Telefone: 11976135853 
 E-mail: financeiro@uggi.com.br 
 CNPJ: 10565053000103 
 Razão Social UGGI TECNOLOGIA E ARQUITETURA LTDA 
 Não consigo recuperar a senha, CPF e e-mail com mensagem que não conferem</t>
  </si>
  <si>
    <t>MARCELO KRINGS</t>
  </si>
  <si>
    <t>UGGI.ADM</t>
  </si>
  <si>
    <t>marcelo@ukengenharia.com.br</t>
  </si>
  <si>
    <t>10565053000103 - UGGI TECNOLOGIA E ARQUITETURA EIRELI</t>
  </si>
  <si>
    <t>INC55231198</t>
  </si>
  <si>
    <t xml:space="preserve">INC55231198 +5547999287611
Nome do Contato: Tempero Verde Refeições Ltda
CNPJ/Razão Social: 34801398000187
CPF: 11672658900
Telefone: 47999287611
E-mail: licitacao@temperoverderefeicoes.com.br
Usuário: TEMPEROVERDE
Oportunidade: 
CHAT BOT - Dados de Acesso
</t>
  </si>
  <si>
    <t>INC55230785</t>
  </si>
  <si>
    <t>Nome do Contato: Margarete Da Rosa
Usuário: ADM-TWA23
E-mail: adm@twaequipamentos.com.br 
Telefone: 16993313502
CNPJ/Razão Social: 23063771000123 AJSR MONTAGEM E CALDEIRARIA LTDA
Fornecedora solicita desbloqueio do usuário ADM-TWA23</t>
  </si>
  <si>
    <t>MARGARETE  DA ROSA</t>
  </si>
  <si>
    <t>ADM-TWA23</t>
  </si>
  <si>
    <t>adm@twaequipamentos.com.br</t>
  </si>
  <si>
    <t>23063771000123 AJSR MONTAGEM E CALDEIRARIA LTDA</t>
  </si>
  <si>
    <t>INC55230739</t>
  </si>
  <si>
    <t>Cadastro de transportadora</t>
  </si>
  <si>
    <t xml:space="preserve">Orientada a entrar em contato com a Petrobrás: 0800 728 9001 .
</t>
  </si>
  <si>
    <t>INC55230583</t>
  </si>
  <si>
    <t>Nome do Contato: Marcos Vinicius Passos dos Santos
Usuário: M_PASSOS
E-mail: marcos.passos@intermoor.com 
Telefone: 21977318788
CNPJ/Razão Social:00156880000190 - INTERMOOR DO BRASIL SERVICOS ONSHORE E O
Fornecedor solicita desbloqueio do usuário M_PASSOS</t>
  </si>
  <si>
    <t>MARCOS VINICIUS  PASSOS DOS SANTOS</t>
  </si>
  <si>
    <t>M_PASSOS</t>
  </si>
  <si>
    <t>marcos.passos@intermoor.com</t>
  </si>
  <si>
    <t>00156880000190 - INTERMOOR DO BRASIL SERVICOS ONSHORE E O</t>
  </si>
  <si>
    <t>INC55230497</t>
  </si>
  <si>
    <t xml:space="preserve">Questionários </t>
  </si>
  <si>
    <t>Nome do Contato: Islaine
Usuário: USR0071009
E-mail: atendimento@safetyworld.com.br 
Telefone: 024974036265 
CNPJ/Razão Social: 11708685000141 SAFETY WORLD CONSULTORIA DE SEGURANCA, S
Fornecedora solicita suporte para preencher o questionário Econômico. Foi orientada a colocar o sinal negativo na frente dos valores correspondentes. A mesma conseguiu salvar os dados</t>
  </si>
  <si>
    <t>INC55230431</t>
  </si>
  <si>
    <t>Nome do Contato: Isaias Rodrigues Santana Marvila
Usuário: AJAXTEC
E-mail: comercial@ajaxtecnologia.net.br 
Telefone: 22998584955
CNPJ/Razão Social: 17770193000162 - JANE CLAIDE FLORINDO MARVILA RODRIGUES
Fornecedor solicita desbloqueio do usuário AJAXTEC</t>
  </si>
  <si>
    <t>Jane Claide Florindo Marvila Rodrigues</t>
  </si>
  <si>
    <t>comercial@ajaxtecnologia.net.br</t>
  </si>
  <si>
    <t>17770193000162 - JANE CLAIDE FLORINDO MARVILA RODRIGUES</t>
  </si>
  <si>
    <t>INC55230208</t>
  </si>
  <si>
    <t>Não recebi o login de acesso</t>
  </si>
  <si>
    <t>Chamado criado pela área externa do Portal 
 Nome do Contato: Larissa Gonçalves 
 Usuário:  
 Telefone: 21991713575 
 E-mail: back.office@tecnoil.com.br 
 CNPJ: 91330500668348736X 
 Razão Social  
 Iniciei o processo de cadastro na Petronect mas ainda não recebi o e-mail com login e senha para dar continuidade. Ao tentar novamente sou informada que o CNPJ já está cadastrado, mas sem login não consigo acessar.
O número de registro (CNPJ) é 91330500668348736X
País China
Obrigada.</t>
  </si>
  <si>
    <t>Larissa Goncalves</t>
  </si>
  <si>
    <t>LGS.ZDVALVE</t>
  </si>
  <si>
    <t>back.office@tecnoil.com</t>
  </si>
  <si>
    <t xml:space="preserve">91330500668348736X - </t>
  </si>
  <si>
    <t>INC55230145</t>
  </si>
  <si>
    <t xml:space="preserve">INC55230145 +5571992963366
Nome do Contato: Bianca de Andrade Cardoso
CNPJ/Razão Social: 34579020000180
CPF: 06306600507
Telefone: 71996702035
E-mail: enaarq.projetoseconstrucoes@gmail.com
Usuário: TARCISIONASC
Oportunidade: 
CHAT BOT - Redefinição de Senha
</t>
  </si>
  <si>
    <t>'+5571992963366</t>
  </si>
  <si>
    <t>TARCISIO  SANTOS NASCIMENTO</t>
  </si>
  <si>
    <t>TARCISIONASC</t>
  </si>
  <si>
    <t>metaltec.oficial@gmail.com</t>
  </si>
  <si>
    <t>34579020000180 - GBL SERVICOS DE ENGENHARIA &amp; ARQUITETURA</t>
  </si>
  <si>
    <t>INC55230029</t>
  </si>
  <si>
    <t>Adicionar família de fornecimento</t>
  </si>
  <si>
    <t>Chamado criado pelo área interna do Portal 
 Nome do Contato: GABRIEL SILVA DE SOUSA 
 Usuário: GS.POOL 
 Telefone: 4733461088 
 E-mail: recepcao@poollab.com.br 
 CNPJ: 03308741000122 
 Razão Social POOL-LAB COMERCIO DE EQUIPAMENTOS E ANAL 
 Gostaria de auxílio para adicionar o código 98011644 da família M70 nas linhas de fornecimento</t>
  </si>
  <si>
    <t xml:space="preserve">8001441520 </t>
  </si>
  <si>
    <t>GABRIEL SILVA DE SOUSA</t>
  </si>
  <si>
    <t>GS.POOL</t>
  </si>
  <si>
    <t>recepcao@poollab.com.br</t>
  </si>
  <si>
    <t>03308741000122 - POOL-LAB COMERCIO DE EQUIPAMENTOS E ANAL</t>
  </si>
  <si>
    <t>INC55229927</t>
  </si>
  <si>
    <t>Suporte p/ Inclusão de documentos para o cadastro na Petrobras</t>
  </si>
  <si>
    <t>Oportunidade SUPORTE P/ 
 Chamado criado pelo área interna do Portal 
 Nome do Contato: WILNA DOMINGUES LESSA AMORIM 
 Usuário: USR0070421 
 Telefone: 21 9 7003-7191 
 E-mail: administrativo@atlantisdive.com.br 
 CNPJ: 21065630000114 
 Razão Social SEATRUST MARINE SERVIÇOS SUBAQUÁTICOS EI 
 Bom dia!
Fizemos todos os questionários para obter o CRC da Petrobras; porém, foi-nos informado que falta atualização da última alteração contratual e da certidão do registro de pessoas jurídica atualizada para ter aprovação. Poderia nos orientar como incluí-las no sistema?
Também gostaríamos de saber qual o atual status de nosso cadastro e o que mais devemos fazer para obter o CRC, por gentileza!
CNPJ: 21.0655.630/0001-14
SEATRUST MARINE SERVIÇOS SUBAQUÁTICOS LTDA</t>
  </si>
  <si>
    <t xml:space="preserve">8001441499 </t>
  </si>
  <si>
    <t>WILNA DOMINGUES LESSA AMORIM</t>
  </si>
  <si>
    <t>administrativo@atlantisdive.com.br</t>
  </si>
  <si>
    <t>21065630000114 -  SEATRUST MARINE SERVIÇOS SUBAQUÁTICOS EI</t>
  </si>
  <si>
    <t>INC55229805</t>
  </si>
  <si>
    <t xml:space="preserve">Preenchimento de Habilitação </t>
  </si>
  <si>
    <t>Nome do Contato: MARIO TEIXEIRA PERES JUNIOR
Usuário: MARIOECO
Telefone: (017)33050873 
E-mail: mario.teixeira@vbjateadoras.com.br 
CNPJ / Razão Social: 14117645000113
Fornecedor solicita auxilio para o processo de habilitação.
Foi orientado o seguinte passo a passo:
Preenchimento de questionários
Sr. entrou em contato, solicitando auxílio no preenchimento dos questionários.
Fornecedor foi orientado no seguinte procedimento:
*Cadastro na Petrobras
*Questionários de avaliação
*Responder
*Editar
*Instruções
*Anexos
*Enviar</t>
  </si>
  <si>
    <t>Mario Teixeira Peres Júnior</t>
  </si>
  <si>
    <t>mario.teixeira@vbjateadoras.com.br</t>
  </si>
  <si>
    <t>14117645000113 - ECORESTAURADORA LTDA. ME</t>
  </si>
  <si>
    <t>INC55229519</t>
  </si>
  <si>
    <t>Conta bloqueada</t>
  </si>
  <si>
    <t>Chamado criado pela área externa do Portal 
 Nome do Contato: Felipe Warwar Murad 
 Usuário: PARALELAMENT 
 Telefone: 21988931193 
 E-mail: fmurad@mindsim.com.br 
 CNPJ: 33192617000105 
 Razão Social MINDSIM DESENVOLVIMENTO DE TECNOLOGIAS L 
 Prezados, não consigo acessar minha conta na Petronect. Quando entro na conta aparece "conta bloqueada". Poderiam me ajudar a descobrir o motivo e como resolver?</t>
  </si>
  <si>
    <t>FELIPE WARWAR MURAD</t>
  </si>
  <si>
    <t>fmurad@mindsim.com.br</t>
  </si>
  <si>
    <t>33192617000105 -  MINDSIM DESENVOLVIMENTO DE TECNOLOGIAS L</t>
  </si>
  <si>
    <t>INC55229355</t>
  </si>
  <si>
    <t>Nome do Contato: Marcos Apoena Alexandre Reis
Usuário: QUALIXENG
E-mail: marcosapoena@gmail.com 
Telefone: 11989986865
CNPJ/Razão Social: 03575442000154 - QUALIX - CONSULTORIA E DESENVOLVIMENTO DE SISTEMAS DA QUALIDADE LTDA 
Fornecedor solicita desbloqueio do usuário QUALIXENG</t>
  </si>
  <si>
    <t>MARCOS APOENA ALEXANDRE REIS</t>
  </si>
  <si>
    <t>QUALIXENG</t>
  </si>
  <si>
    <t>marcosapoena@gmail.com</t>
  </si>
  <si>
    <t xml:space="preserve">03575442000154 - QUALIX - CONSULTORIA E DESENVOLVIMENTO DE SISTEMAS DA QUALIDADE LTDA </t>
  </si>
  <si>
    <t>INC55229302</t>
  </si>
  <si>
    <t xml:space="preserve">INC55229302 +5541998257718
Nome do Contato: ana schorr
CNPJ/Razão Social: 18512671000105
CPF: 02956708945
Telefone: 41998257718
E-mail: mafosrep@hotmail.com
Usuário: MAFOSREP
Oportunidade: 
CHAT BOT - Acesso portal cadastro
</t>
  </si>
  <si>
    <t>'+5541998257718</t>
  </si>
  <si>
    <t>ANA VITORIA FRESIA SCHORR</t>
  </si>
  <si>
    <t>MAFOSREP</t>
  </si>
  <si>
    <t>mafosrep@hotmail.com</t>
  </si>
  <si>
    <t>18512671000105 - MAFOS COMÉRCIO E SERVIÇOS LTDA</t>
  </si>
  <si>
    <t>INC55229260</t>
  </si>
  <si>
    <t>Ligação muda de transferencia.</t>
  </si>
  <si>
    <t>INC55229182</t>
  </si>
  <si>
    <t xml:space="preserve">INC55229182 +5519995931611
Nome do Contato: Luana de Camargo
CNPJ/Razão Social: 37054288000197
CPF: 34871843890
Telefone: 19995931611
E-mail: vendas2@acsagroup.com.br
Usuário: VENDASACSA2
Oportunidade: 
CHAT BOT - Redefinição de Senha
</t>
  </si>
  <si>
    <t>'+5519995931611</t>
  </si>
  <si>
    <t>SILVIA RENATA LIRA ALCAIDE</t>
  </si>
  <si>
    <t>VENDASACSA2</t>
  </si>
  <si>
    <t>vendas2@acsagroup.com.br</t>
  </si>
  <si>
    <t>37054288000197 - ACSA SOLUÇÕES HIDRAULICAS LTDA</t>
  </si>
  <si>
    <t>INC55229097</t>
  </si>
  <si>
    <t>Nome do Contato: Thiago Eleutério Rodrigues
Usuário: SERRAMAR
E-mail: thiago@serramarambiental.com
Telefone: 31990720167
CNPJ/Razão Social: 34905361000107 - SERRA MAR MEIO AMBIENTE LTDA
Fornecedor solicita desbloqueio do usuário SERRAMAR</t>
  </si>
  <si>
    <t>INC55229075</t>
  </si>
  <si>
    <t>Resultado de Proposta</t>
  </si>
  <si>
    <t>Fornecedor entrou em contato informando não esta conseguindo ver o resultado da proposta 7004495944
Foi pedido ao fornecedor para enviar a print pelo qual erro esta dando, mas o mesmo disse que não poderia enviar e disse que depois retornaria</t>
  </si>
  <si>
    <t>INC55229059</t>
  </si>
  <si>
    <t>CHAT BOT - Falhas de Navegação</t>
  </si>
  <si>
    <t xml:space="preserve">INC55229059 +5561998583852
Nome do Contato: Andreza Borges da Silva
CNPJ/Razão Social: 04606250000120
CPF: 04275620151
Telefone: 61998583852
E-mail: andreza.silva@jomaga.com.br
Usuário: ANDREZA2025
Oportunidade: 
CHAT BOT - Falhas de Navegação
</t>
  </si>
  <si>
    <t>'+5561998583852 / CIPC 01/2026</t>
  </si>
  <si>
    <t>ANDREZA BORGES DA SILVA</t>
  </si>
  <si>
    <t>andreza.silva@jomaga.com.br</t>
  </si>
  <si>
    <t>04606250000120 - JOMAGA PARTICIPACOES LTDA</t>
  </si>
  <si>
    <t>INC55228951</t>
  </si>
  <si>
    <t>Chamado:  INC55228951
 Nome do Contato: Ulisses Santiago
 Usuário: SEAL_BR
 Telefone: -
E-mail: comercial@sealbr.com.br
CNPJ / Razão Social: 58539355000133  /  - 
Fornecedor(a) solicitou auxilio para o desbloqueio de seu usuário que expirou no dia 11/01/2026.
SEAL_BR
Ulisses Santiago
  11.01.2026    Desbloqueado Exibir  comercial@sealbr.com.br</t>
  </si>
  <si>
    <t xml:space="preserve">8001441387 </t>
  </si>
  <si>
    <t>Ulisses Santiago</t>
  </si>
  <si>
    <t>SEAL_BR</t>
  </si>
  <si>
    <t>comercial@sealbr.com.br</t>
  </si>
  <si>
    <t>58539355000133 - SEAL SOLUTIONS MAQUINAS &amp; EQUIPAMENTOS LTDA - ME</t>
  </si>
  <si>
    <t>INC55228724</t>
  </si>
  <si>
    <t>Critério</t>
  </si>
  <si>
    <t>Nome do Contato: DEBORA BAVARESCO TEDESCO
Usuário: DEBORABT
Telefone: (54) 2123-1000 
E-mail: debora@cadval.com.br 
CNPJ / Razão Social: 16786082000343
Fornecedor entrou em contato informando que o critério técnico esta em analise desde 04.08.2025 e ainda continua em avalição, queria ver com o setor responsável para ver oque esta acontecendo</t>
  </si>
  <si>
    <t>DEBORA  BAVARESCO TEDESCO</t>
  </si>
  <si>
    <t>DEBORABT</t>
  </si>
  <si>
    <t>debora@cadval.com.br</t>
  </si>
  <si>
    <t>16786082000343 - CADVAL VALVULAS INDUSTRIAIS LTDA</t>
  </si>
  <si>
    <t>INC55228381</t>
  </si>
  <si>
    <t>Suporte para cadastro</t>
  </si>
  <si>
    <t>Chamado criado pelo área interna do Portal 
 Nome do Contato: VICTOR AIRES DINIZ FERREIRA 
 Usuário: ICONE_DES. 
 Telefone: 31990706721 
 E-mail: contato@iconeeng.com.br 
 CNPJ: 35833583000116 
 Razão Social  
 Bom dia, gostaria de preencher o campo Família que aparece no "pedido".
Código: 99.006.017</t>
  </si>
  <si>
    <t>VICTOR AIRES DINIZ FERREIRA</t>
  </si>
  <si>
    <t>ICONE_DES.</t>
  </si>
  <si>
    <t>contato@iconeeng.com.br</t>
  </si>
  <si>
    <t>35833583000116 -  ICONE DESENHOS INDUSTRIAIS LTDA</t>
  </si>
  <si>
    <t>INC55228378</t>
  </si>
  <si>
    <t xml:space="preserve">Chamado:  INC55228378
 Nome do Contato: COSME CABRAL
 Usuário: CFORNE.ADM
 Telefone: 22 99999-9257
E-mail: cfornecimentos.adm@gmail.com
CNPJ / Razão Social: 53731609000105   -  C.C FORNECIMENTOS MACAÉ
Oportunidade: 
Fornecedor(a) entrou em contato para informar que não esta conseguindo ter acesso ao portal, a mesma foi orientada aguardada pois o setor responsável já esta ciente. 
Atenciosamente,
Equipe Petronect
</t>
  </si>
  <si>
    <t>CIPC 01/2026</t>
  </si>
  <si>
    <t xml:space="preserve">COSME  CABRAL </t>
  </si>
  <si>
    <t xml:space="preserve">CFORNE.ADM </t>
  </si>
  <si>
    <t>cfornecimentos.adm@gmail.com</t>
  </si>
  <si>
    <t xml:space="preserve">53731609000105 -C.C FORNECIMENTOS MACAÉ </t>
  </si>
  <si>
    <t>INC55228290</t>
  </si>
  <si>
    <t xml:space="preserve">Chamado:  INC55228290
 Nome do Contato: LUCAS DINIZ PARAIZO
 Usuário: LD.COSTANOX 
 Telefone: (27) 3319-0305
E-mail: negocios02@costanox.com.br
CNPJ / Razão Social: 05455609000179  - COSTANOX ACOS INOXIDAVEIS LTDA
Fornecedor(a)  entrou em contato para informar que não esta conseguindo ter acesso ao portal, a mesma foi orientada aguardada pois o setor responsável já esta ciente. 
Atenciosamente,
Equipe Petronect
</t>
  </si>
  <si>
    <t>LUCAS DINIZ PARAIZO</t>
  </si>
  <si>
    <t>LD.COSTANOX</t>
  </si>
  <si>
    <t>negocios02@costanox.com.br</t>
  </si>
  <si>
    <t>05455609000179 - COSTANOX ACOS INOXIDAVEIS EIRELI</t>
  </si>
  <si>
    <t>INC55227976</t>
  </si>
  <si>
    <t xml:space="preserve">Chamado: INC55227976
 Nome do Contato: ALINE REGINA DA SILVA OLIVEIRA
 Usuário: USR0064019
 Telefone: (11) 4519-7006
E-mail: licitacao@plcom.com.br
CNPJ / Razão Social: 09446484000171 - PLCOM ELETROELETRONICA LTDA
Fornecedor(a) entrou em contato para informar que não esta conseguindo ter acesso ao portal, a mesma foi orientada aguardada pois o setor responsável já esta ciente. 
Atenciosamente,
Equipe Petronect
</t>
  </si>
  <si>
    <t xml:space="preserve">CIPC 01/2026  </t>
  </si>
  <si>
    <t>ALINE REGINA DA SILVA OLIVEIRA</t>
  </si>
  <si>
    <t>licitacao@plcom.com.br</t>
  </si>
  <si>
    <t>09446484000171 - LEANDRO DE OLIVEIRA INFORMÁTICA ME</t>
  </si>
  <si>
    <t>INC55227914</t>
  </si>
  <si>
    <t xml:space="preserve">Chamado:  INC55227914
 Nome do Contato: AMANDA ARAUJO DE OLIVEIRA BOARI CARVALHO
 Usuário: AMANDATBT
 Telefone: 01221238302
E-mail: acarvalho21@slb.com
CNPJ / Razão Social: 01505705000204 - ONESUBSEA DO BRASIL SERVICOS SUBMARINOS
Fornecedor(a) entrou em contato para informar que não esta conseguindo acessar no portal. Segue o print da tela da fornecedora em anexo 
</t>
  </si>
  <si>
    <t>AMANDA ARAUJO DE OLIVEIRA BOARI CARVALHO</t>
  </si>
  <si>
    <t>AMANDATBT</t>
  </si>
  <si>
    <t>acarvalho21@slb.com</t>
  </si>
  <si>
    <t>01505705000204 - ONESUBSEA DO BRASIL SERVICOS SUBMARINOS</t>
  </si>
  <si>
    <t>INC55227905</t>
  </si>
  <si>
    <t xml:space="preserve">INC55227905 +5522999933900
Nome do Contato: ALEXIA MENDES OLIVEIRA
CNPJ/Razão Social: 40582450000154
CPF: 13161503724
Telefone: 22999933900
E-mail: adao.piscinas@gmail.com
Usuário: ADAOPISCINAS
Oportunidade: 
CHAT BOT - Falhas de Navegação
</t>
  </si>
  <si>
    <t>'+5522999933900 / CIPC 01/2026</t>
  </si>
  <si>
    <t>ALEXIA MENDES OLIVEIRA</t>
  </si>
  <si>
    <t>ADAOPISCINAS</t>
  </si>
  <si>
    <t>adao.piscinas@gmail.com</t>
  </si>
  <si>
    <t xml:space="preserve">40582450000154 - </t>
  </si>
  <si>
    <t>INC55227806</t>
  </si>
  <si>
    <t>acesso ao portal</t>
  </si>
  <si>
    <t>INC55227797</t>
  </si>
  <si>
    <t xml:space="preserve">Chamado: INC55227797
 Nome do Contato: FERNANDO HENRIQUE IBANEZ
 Usuário: FERNANDORT1
 Telefone: 71996238950
E-mail: fernando@rt1sistemas.com.br
CNPJ / Razão Social: 42843923000155    - RT1 SISTEMAS INTEGRADOS LTDA
Fornecedor(a) entrou em contato para informar que não esta conseguindo entra no portal, o mesmo informou que tem 5 dias para responder o questionário  Segue o print da tela do fornecedor em anexo. 
</t>
  </si>
  <si>
    <t>FERNANDO  HENRIQUE IBANEZ</t>
  </si>
  <si>
    <t>FERNANDORT1</t>
  </si>
  <si>
    <t>fernando@rt1sistemas.com.br</t>
  </si>
  <si>
    <t xml:space="preserve"> 42843923000155    - RT1 SISTEMAS INTEGRADOS LTDA</t>
  </si>
  <si>
    <t>INC55227775</t>
  </si>
  <si>
    <t>INC55227767</t>
  </si>
  <si>
    <t>INC55227423</t>
  </si>
  <si>
    <t xml:space="preserve">Chamado: INC55227423
Fornecedor(a) entrou em contato para informar que esta dando acesso negado ao tentar entra no portal. A mesma foi orientada que o setor responsável já esta ciente a mesma foi orientada aguarda o retorno. 
Atenciosamente,
Equipe Petronect
</t>
  </si>
  <si>
    <t>INC55220144</t>
  </si>
  <si>
    <t>Preenchimento cadastro</t>
  </si>
  <si>
    <t>Chamado criado pelo área interna do Portal 
 Nome do Contato: VICTOR AIRES DINIZ FERREIRA 
 Usuário: ICONE_DES. 
 Telefone: 31990706721 
 E-mail: contato@iconeeng.com.br 
 CNPJ: 35833583000116 
 Razão Social  
 Boa noite.
Gostaria de preencher o campo "Família" que aparece no ""Fiscal do pedido".
Código: 99006017</t>
  </si>
  <si>
    <t>INC55218731</t>
  </si>
  <si>
    <t>Nome do Contato: Adelino Pitta
Usuário: TH.EXCELL
E-mail: vendas@excellbombas.com.br 
Telefone: 1143512792
CNPJ/Razão Social: 67744375000137 - EXCELL COMERCIO DE BOMBAS HIDRAULICAS LT
Fornecedor solicita desbloqueio do usuário TH.EXCELL</t>
  </si>
  <si>
    <t>Thiago Pita</t>
  </si>
  <si>
    <t>vendas@excellbombas.com.br</t>
  </si>
  <si>
    <t>67744375000137 - EXCELL COMERCIO DE BOMBAS HIDRAULICAS LT</t>
  </si>
  <si>
    <t>INC55218693</t>
  </si>
  <si>
    <t>Nome do Contato: SUELI MACHADO NETO
Usuário: 2023-VENDAS
E-mail: vendas@multiuniao.com.br 
Telefone: 19992093998
CNPJ/Razão Social: 58446162000138
Fornecedora solicita desbloqueio do usuário 2023-VENDAS
A mesma já solicitou o desbloqueio através do chamado INC55199969 e foi notificada do desbloqueio, porém o usuário continua bloqueado no sistema. Por favor, verifiquem</t>
  </si>
  <si>
    <t>INC55199969</t>
  </si>
  <si>
    <t>MULTI  UNIÃO</t>
  </si>
  <si>
    <t>vendas@multiuniao.com.br</t>
  </si>
  <si>
    <t>58446162000138</t>
  </si>
  <si>
    <t>INC55218534</t>
  </si>
  <si>
    <t>Nome do Contato: Nilmara Thaís Rodrigues Fernandes da Silva
Usuário: USR0064625
E-mail: nilmara@provestuniformes.com.br 
Telefone: 31994955810
CNPJ/Razão Social: 18922815000193 - PROTEÇÃO E VESTUÁRIO INDUSTRIA E COMÉRCIO LTDA
Fornecedor solicita desbloqueio do usuário USR0064625</t>
  </si>
  <si>
    <t>NILMARA THAIS RODRIGUES FERNANDES DA SILVA</t>
  </si>
  <si>
    <t>nilmara@provestuniformes.com.br</t>
  </si>
  <si>
    <t>18922815000193 - PROTEÇÃO E VESTUÁRIO INDUSTRIA E COMÉRCIO LTDA</t>
  </si>
  <si>
    <t>INC55218266</t>
  </si>
  <si>
    <t>Cadastro Petronect</t>
  </si>
  <si>
    <t>Chamado criado pelo área interna do Portal 
 Nome do Contato: ALEXANDRE DA SILVA LOREGA 
 Usuário: RDEC-ES 
 Telefone: 28999892421 
 E-mail: lorega@rdec.com.br 
 CNPJ: 54827971000139 
 Razão Social RESTART DESIGN E CONSULTING LTDA 
 Prezados(as), boa tarde.
Gostaríamos de informar que concluímos o preenchimento e o envio das informações no Portal do Cadastro da Petrobras, conforme orientações disponibilizadas na plataforma.
Dessa forma, solicitamos, por gentileza, a verificação do status do nosso cadastro, bem como a confirmação de que não há pendências documentais ou informações adicionais a serem ajustadas ou complementadas. Caso exista qualquer inconsistência ou necessidade de correção, pedimos a gentileza de nos informar para que possamos providenciar os ajustes com a maior brevidade possível.
Desde já, agradecemos a atenção e ficamos no aguardo de um retorno.</t>
  </si>
  <si>
    <t>ALEXANDRE DA SILVA LOREGA</t>
  </si>
  <si>
    <t>RDEC-ES</t>
  </si>
  <si>
    <t>lorega@rdec.com.br</t>
  </si>
  <si>
    <t>54827971000139 - RESTART DESIGN E CONSULTING LTDA</t>
  </si>
  <si>
    <t>INC55218230</t>
  </si>
  <si>
    <t>Questionários de avaliação</t>
  </si>
  <si>
    <t>Nome do Contato: Carlos Augusto Blasques Tooge
Usuário: CARLOSTOOGE
E-mail: carlos.tooge@redaenergy.com 
Telefone: 11996101019
CNPJ/Razão Social: 52181423000159 REDA ENERGY LTDA
Oportunidade: 7002815133 Processamento Primário de Petróleo Pré Qualificação Ativo Pré-Qualifi. Subjeti 16.10.2019 14:00:00 30.12.9999 23:59:59
Fornecedor não consegue enviar o questionário da pré-qualificação 7002815133
O mesmo preencheu todos os subitens do questionário e ao acessar o mesmo todos os itens aparecem marcador em verde (veja o print). Porém, ao tentar voltar ao painel de oportunidades para enviar o questionário o mesmo aparece com o X vermelho do lado e ao tentar enviá-lo aparece uma mensagem de erro conforme print anexado, sendo que o fornecedor preencher todos os critérios.
Por favor, verifiquem</t>
  </si>
  <si>
    <t xml:space="preserve">7002815133 </t>
  </si>
  <si>
    <t>CARLOS AUGUSTO  BLASQUES TOOGE</t>
  </si>
  <si>
    <t>CARLOSTOOGE</t>
  </si>
  <si>
    <t>carlos.tooge@redaenergy.com</t>
  </si>
  <si>
    <t>52181423000159 REDA ENERGY LTDA</t>
  </si>
  <si>
    <t>INC55217991</t>
  </si>
  <si>
    <t>Perda de Usuário de Senha</t>
  </si>
  <si>
    <t>Chamado criado pela área externa do Portal 
 Nome do Contato: Brisa Mar Piaskoski 
 Usuário:  
 Telefone: 41985292041 
 E-mail: brisapiaskoski@arco2.com.br 
 CNPJ: 55717249000104 
 Razão Social  
 Não estou conseguindo acessar o cadastro da empresa devido a perda de informações de usuário e senha.</t>
  </si>
  <si>
    <t>Brisa Piaskoski</t>
  </si>
  <si>
    <t>ARCO2SOLDAS</t>
  </si>
  <si>
    <t>brisapiaskoski@arco2.com.br</t>
  </si>
  <si>
    <t xml:space="preserve">55717249000104 - </t>
  </si>
  <si>
    <t>INC55217726</t>
  </si>
  <si>
    <t>Alteração do e-mail</t>
  </si>
  <si>
    <t>Nome do Contato: Janaina Gomes dos Santos
Usuário: RAPHASCHOU40
E-mail: raphael@viktoria.com.br
Telefone: 11940227762
CNPJ/Razão Social: 14187611000103 - VIKTORIA CARGAS E DESPACHOS LTDA
Fornecedora informa que o e-mail cadastrado está incorreto, solicita corrigir:
E-mail cadastrado: raphaei@viktoria.com.br 
E-mail correto: raphael@viktoria.com.br
Também solicita prorrogação da validade do usuário RAPHASCHOU40</t>
  </si>
  <si>
    <t>RAPHAEL  SCHOUB</t>
  </si>
  <si>
    <t>raphael@viktoria.com.br</t>
  </si>
  <si>
    <t>14187611000103 - VIKTORIA CARGAS E DESPACHOS LTDA</t>
  </si>
  <si>
    <t>INC55217669</t>
  </si>
  <si>
    <t>Resultado</t>
  </si>
  <si>
    <t xml:space="preserve">Nome do Contato: NAIARA
Usuário: ADM.BGFORT5
Telefone: 27997760873
E-mail:  comercial.bgfort@gmail.com
CNPJ / Razão Social: 51650490000102 ABFORT LTDA
Oportunidade:  7004544997
Descrição do problema: Segue o resumo do atendimento: SALA DE COLABORAÇÃO. 
Para ver as oportunidades vencedoras no Petronect, acesse "Cotações Eletrônicas" &gt; "Painel de Oportunidades", localize a licitação desejada (pode estar em "Concluídas" ou buscando por filtros) e, na tela de "Visualização de Propostas", clique em "Relatório de Propostas" para baixar o PDF com os resultados. 
Caso não visualize entrar com o numero da oportunidade na SALA DE COLABORAÇÃO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aba de "Minhas Participações", 
clicando em "Ocultar/Exibir parâmetros de busca" através do campo "Número" coloque o número da 
oportunidade desejada, clique em ``Buscar''.
• Clicando no ícone do lápis, logo acima tem o botão "Sala de colaboração", apertando irá aparecer 
"Novo assunto". Onde o fornecedor escolherá o critério do assunto e logo após "Enviar".
</t>
  </si>
  <si>
    <t>CARLOS  ANDRE BRAGATO DA GAMA</t>
  </si>
  <si>
    <t>51650490000102 ABFORT LTDA</t>
  </si>
  <si>
    <t>HANA</t>
  </si>
  <si>
    <t>INC55217546</t>
  </si>
  <si>
    <t>Nome de contato: ANDRE LUIZ DE OLIVEIRA
Usuário: CACOCASES
Telefone: 6236389968    
E-mail: caco@cacocases.com  
CNPJ/Razão social: 28232812000181 CACO CASES INDUSTRIA E COMERCIO DE ARTEF
Fornecedor solicita desbloqueio do usuário e a atribuição do perfil de admnistrador, o mesmo encontra-se expirado.
6236389968 16.09.2023 Bloqueado  caco@cacocases.com 
CACOCASES
Exibir  
ANDRE LUIZ DE OLIVEIRA</t>
  </si>
  <si>
    <t>ANDRE LUIZ DE OLIVEIRA</t>
  </si>
  <si>
    <t>CACOCASES</t>
  </si>
  <si>
    <t>caco@cacocases.com</t>
  </si>
  <si>
    <t>28232812000181 /CACO CASES INDUSTRIA E COMERCIO DE ARTEF</t>
  </si>
  <si>
    <t>INC55217494</t>
  </si>
  <si>
    <t>Solicitação de Desbloqueio - 23314594001778</t>
  </si>
  <si>
    <t>Prezados, bom dia!
Recebi um e-mail da empresa ALE COMBUSTIVEL S.A., CNPJ: 23314594001778, solicitando criação de usuário administrador, porém ao buscar aparece a informação que a empresa está com status "Bloqueado".
Peço apoio da Equipe.</t>
  </si>
  <si>
    <t>Frederico Jardim Nunes e Guedes</t>
  </si>
  <si>
    <t>G262</t>
  </si>
  <si>
    <t>INC55217480</t>
  </si>
  <si>
    <t xml:space="preserve">INC55217480 +5581996860130
Nome do Contato: ECOPAR COMERCO DE PARAFUSOS
CNPJ/Razão Social: 70180807000139
CPF: 25568710406
Telefone: 08135424064
E-mail: ecoparparafusos@terra.com.br
Usuário: ECOPARPF
Oportunidade: 
CHAT BOT - Acesso portal cadastro
ECOPARPF
EMANUELLE LUSIELI DE ARAUJO LEAL
8135424064 ecoparparafusos@terra.com.br 19.10.2025    Desbloqueado
</t>
  </si>
  <si>
    <t>'+5581996860130</t>
  </si>
  <si>
    <t>EMANUELLE LUSIELI DE ARAUJO LEAL</t>
  </si>
  <si>
    <t>ECOPARPF</t>
  </si>
  <si>
    <t>ecoparparafusos@terra.com.br</t>
  </si>
  <si>
    <t xml:space="preserve">70180807000139 - </t>
  </si>
  <si>
    <t>INC55217449</t>
  </si>
  <si>
    <t xml:space="preserve">Chamado: INC55217449
 Nome do Contato: ADRIANA CARVALHO
 Usuário: DRICA12.0
 Telefone: 21-9649-99965
E-mail: comercial2@lunalmf.com.br
CNPJ / Razão Social: 19767677000188 - PH CLIMA COMERCIO E SERVIÇO DE REFRIGERA
Fornecedor(a)  entrou em contato para informar que não esta conseguindo redefinir a senha, a mesma foi orientada pelo atendimento. 
As regras para a redefinição da senha são as seguintes:
1. A nova senha deve ser diferente das 10 (dez) últimas senhas utilizadas.
2. Deve ter entre 8 (oito) e 20 (vinte) caracteres.
3. Deve possuir, no mínimo, um dos caracteres de cada uma das categorias abaixo:
- Alfabético maiúsculo (ex.: A, Z)
- Alfabético minúsculo (ex.: a, z)
- Numérico (ex.: 0, 9)
4. O nome do Usuário não pode ser usado como parte da "Senha".
5. Os 3 (três) primeiros caracteres da "Senha" não podem ser iguais (ex.: 111, Aaa, etc).
6. Ela não deve conter espaços em branco.
7. Não deve conter caracteres especiais (ex: %, &amp;, #, @, etc).
Outras informações importantes:
- A mudança da senha será solicitada pelo sistema a cada 90 dias.
- A senha é pessoal, intransferível e mantê-la em sigilo é responsabilidade do usuário.
- Os campos de "Nova senha" aceitam o limite máximo de 20 caracteres. Ao atingir o limite, o campo é bloqueado, não permitindo que sejam informados mais caracteres.
- Como a senha contém caracteres alfanuméricos, é importante verificar se a tecla "Caps Lock" do teclado está ativa.
Dica: Caso tenha dificuldade em redefinir a senha nos campos "Nova Senha" e "Confirmar Nova Senha", é recomendado utilizar o Bloco de Notas e copiar e colar a nova senha nesses campos.
Atenciosamente,
Equipe Petronect
</t>
  </si>
  <si>
    <t>ADRIANA CARVALHO</t>
  </si>
  <si>
    <t>19767677000188 - PH CLIMA COMERCIO E SERVIÇO DE REFRIGERA</t>
  </si>
  <si>
    <t>INC55217318</t>
  </si>
  <si>
    <t>Nome do Contato: Felipe Loureiro
Usuário: P.MAISATIVO
E-mail: jacqueline@superbid.net 
Telefone: 11994622965
CNPJ/Razão Social: 03836739000126 - MAISATIVO INTERMEDIAÇAO DE ATIVOS LTDA
Fornecedor solicita desbloqueio do usuário P.MAISATIVO</t>
  </si>
  <si>
    <t>FABIO LUIZ LOBO MAZZA JUNIOR</t>
  </si>
  <si>
    <t>P.MAISATIVO</t>
  </si>
  <si>
    <t>jacqueline@superbid.net</t>
  </si>
  <si>
    <t>03836739000126 - MAISATIVO INTERMEDIAÇAO DE ATIVOS LTDA</t>
  </si>
  <si>
    <t>INC55217228</t>
  </si>
  <si>
    <t>INC55217228 +5512991811091
Nome do Contato: Oranian Kaligeris Rocha
CNPJ/Razão Social: 37083705000120
CPF: 35336147869
Telefone: 12991811091
E-mail: rocha@centrotreinamentos.com.br
Usuário: SIMONEROCHA
Oportunidade: 
CHAT BOT - Acesso portal cadastro
SIMONEROCHA
Simone Rocha
  simone@centrotreinamentos.com.br 02.02.2025    Desbloqueado
Prezados(a), fornecedor(a) solicita desbloqueio, atualização de validade e atribuições de perfis de seu usuário: SIMONEROCHA</t>
  </si>
  <si>
    <t>INC55217024</t>
  </si>
  <si>
    <t>Nome do Contato: Arthur Victor de Souza Lima
Usuário: GABRIPINH59
E-mail: gabrielly.pinheiro@guandalinibr.com 
Telefone: 11939426654
CNPJ/Razão Social: 43376723000100 - GUANDALINI LOCACAO DE EQUIPAMENTOS TOPOG
Fornecedor solicita desbloqueio do usuário GABRIPINH59</t>
  </si>
  <si>
    <t>INC55217017</t>
  </si>
  <si>
    <t>Nome do Contato: Arthur Victor de Souza Lima
Usuário: GUANDALINI
E-mail: licitacao@guandalinibr.com 
Telefone: 11939426654
CNPJ/Razão Social: 15739099000115 - GUANDALINI EQUIPAMENTOS TOPOGRÁFICOS EIR
Fornecedor solicita desbloqueio do usuário GUANDALINI</t>
  </si>
  <si>
    <t>INC55216946</t>
  </si>
  <si>
    <t xml:space="preserve">INC55216675 +5527988124035
Nome do Contato: Thiago veiga de Tasis
CNPJ/Razão Social: 26683988000124
CPF: 07315731709
Telefone: 27998969888
E-mail: thiagotassis@hotmail.com
Usuário: TVTASSIS
Oportunidade: 
CHAT BOT - Duplo Fator de Autenticação (MFA)
</t>
  </si>
  <si>
    <t>'+5527988124035</t>
  </si>
  <si>
    <t>THIAGO VEIGA DE TASSIS</t>
  </si>
  <si>
    <t>TVTASSIS</t>
  </si>
  <si>
    <t>thiagotassis@hotmail.com</t>
  </si>
  <si>
    <t>26683988000124 - T. V. DE TASSIS ME</t>
  </si>
  <si>
    <t>INC55216736</t>
  </si>
  <si>
    <t>Nome do Contato: Arlindo Sousa Costa
Usuário: ADM.ARSOCO
E-mail: manoteck@hotmail.com.br 
Telefone: 71982047963
CNPJ/Razão Social: 14586651000110 - MANOTECK LOCAÇÃO E SERVIÇOS LTDA - ME (M
Fornecedor solicita desbloqueio do usuário ADM.ARSOCO</t>
  </si>
  <si>
    <t>INC55216728</t>
  </si>
  <si>
    <t>pagamento da taxa de acesso</t>
  </si>
  <si>
    <t xml:space="preserve">
nome do Contato: Elaine   
Usuário:PROSHIP
Telefone:21995897200    
E-mail:adm@proshipbrasil.com.br        
CNPJ / Razão Social: 47170512000160 PROSHIP BRASIL SERVIÇOS OFFSHORE LTDA
7004504349 DFINRI-SUPRIMENTOS Fechado LP DFP Total 03.09.2025 17:00:00 07.10.2025 17:00:00
Fornecedor(a) entrou em contato solicitando auxilio para desbloquear seu acesso mediante a pagamento conforme anexos, para que possa acessar a sala de colaboração da oportunidade 7004504349 que é até hoje.</t>
  </si>
  <si>
    <t>7004504349</t>
  </si>
  <si>
    <t>ELAINE NICOLAU DE ABREU</t>
  </si>
  <si>
    <t>PROSHIP</t>
  </si>
  <si>
    <t>adm@proshipbrasil.com.br</t>
  </si>
  <si>
    <t>'+5515996507823</t>
  </si>
  <si>
    <t>VALDIRENE APARECIDA DE CAMPOS</t>
  </si>
  <si>
    <t>VALAGILE</t>
  </si>
  <si>
    <t>vendas@agilesolucoes.com.br</t>
  </si>
  <si>
    <t>08280479000179 - AGILE SOLUCOES EM PECAS</t>
  </si>
  <si>
    <t>INC55216675</t>
  </si>
  <si>
    <t>Chamado aberto pela URA
Usuário:TVTASSIS
CPF:07315731709
Taxnum:26683988000124
E-mail:thiagotassis@hotmail.com
Chat bot Consultar status do chamado</t>
  </si>
  <si>
    <t>MARCELO ROCHA DA SILVA</t>
  </si>
  <si>
    <t>INC55216613</t>
  </si>
  <si>
    <t xml:space="preserve">INC55216613 10d0a96b-71d0-dae9-a991-4fa8861742eb
Nome do Contato: MARCELO ROCHA DA SILVA
CNPJ/Razão Social: 11375069000116
CPF: 931.277.901-04
Telefone: 6237714837
E-mail: licitacao@bioscie.app.br
Usuário: USR0065946
Oportunidade: 
CHAT BOT - Redefinição de Senha
</t>
  </si>
  <si>
    <t>10d0a96b-71d0-dae9-a991-4fa8861742eb</t>
  </si>
  <si>
    <t>licitacao@bioscie.app.br</t>
  </si>
  <si>
    <t>11375069000116 - BIO SCIE COM. DE PROD. FARMACEUTICOS FAR</t>
  </si>
  <si>
    <t>INC55216584</t>
  </si>
  <si>
    <t>Suporte Técnico - Boleto Sócio Fornecedor</t>
  </si>
  <si>
    <t>Nome do Contato: FABIO BERTALOT / Aline
Usuário: PROVTECSTAM2
Telefone: 011 22197876
E-mail: comercial@crcc-online.com // vendas6@lurosan.com.br
CNPJ/Razão Social: 96655741000180  -  TEC-STAM FORJARIA E ESTAMPARIA LTDA
Descrição do problema: Prezados, favor verificar a solicitação do fornecedor, conforme manifestação 8001441086. 
Bom dia!
Estamos tentando gerar o Boleto de Sócio Fornecedor, porém, ao clicarmos no ícone PDF para emissão do boleto, o sistema apresenta erro e o documento não é gerado.
Anexamos os prints das telas, contendo:
a tela imediatamente anterior ao erro; e
a tela com a mensagem de erro apresentada pelo sistema.
Por gentileza, solicitamos que a demanda seja encaminhada à equipe de TI com prioridade, pois temos interesse em participar de uma Licitação Pública, e o pagamento deste boleto é condição necessária para a continuidade do processo.
Ficamos no aguardo e à disposição.
Atenciosamente,
TEC STAM</t>
  </si>
  <si>
    <t>8001441086</t>
  </si>
  <si>
    <t>FABIO BERTALOT</t>
  </si>
  <si>
    <t>PROVTECSTAM2</t>
  </si>
  <si>
    <t>comercial@crcc-online.com</t>
  </si>
  <si>
    <t>96655741000180  -  TEC-STAM FORJARIA E ESTAMPARIA LTDA</t>
  </si>
  <si>
    <t>INC55216290</t>
  </si>
  <si>
    <t>INC55216290 +5585999504511
Nome do Contato: Jonas Bessa Neto
CNPJ/Razão Social: 35502203000160
CPF: 00225816342
Telefone: 85999504511
E-mail: promtiequipamentos@gmail.com
Usuário: PROMPTI
Oportunidade: 
CHAT BOT - Acesso portal cadastro
PROMPTI
Osvaldo Teixeira
85996435701 / 85991481846 promptiequipamentos@gmail.com 06.12.2022    Bloqueado
Prezados(a), fornecedor(a) solicita desbloqueio, atualização de validade e atribuições de perfis de seu usuário: PROMPTI</t>
  </si>
  <si>
    <t>'+5585999504511</t>
  </si>
  <si>
    <t>Osvaldo Teixeira</t>
  </si>
  <si>
    <t>PROMPTI</t>
  </si>
  <si>
    <t>promptiequipamentos@gmail.com</t>
  </si>
  <si>
    <t xml:space="preserve">35502203000160 - </t>
  </si>
  <si>
    <t>INC55216280</t>
  </si>
  <si>
    <t>Renovação CRC Técnico</t>
  </si>
  <si>
    <t>Chamado criado pelo área interna do Portal 
 Nome do Contato: GIACOMO FERES STANISCIA 
 Usuário: ATECH2013 
 Telefone: 31034600 
 E-mail: cadastro@atech.com.br 
 CNPJ: 11262624000101 
 Razão Social ATECH - NEGÓCIOS EM TECNOLOGIAS S/A 
 Prezados, boa tarde!
Nosso CRC no critério Técnico vence em 27.01 e gostaríamos de saber se devemos solicitar abertura do critério para renovação.</t>
  </si>
  <si>
    <t>Giacomo Feres Staniscia</t>
  </si>
  <si>
    <t>cadastro@atech.com.br</t>
  </si>
  <si>
    <t>11262624000101 - ATECH - NEGÓCIOS EM TECNOLOGIAS S/A</t>
  </si>
  <si>
    <t>INC55215989</t>
  </si>
  <si>
    <t>Nome do Contato: Patrick Alcantara
Usuário: ARDUTOS
E-mail: atendimento@ardutos.com.br 
Telefone: 41998242817
CNPJ/Razão Social: 81223406000135 - Não informado
Fornecedor solicita desbloqueio do usuário ARDUTOS</t>
  </si>
  <si>
    <t>Alexsandro Gomes Dobre</t>
  </si>
  <si>
    <t>atendimento@ardutos.com.br</t>
  </si>
  <si>
    <t>81223406000135 - Não informado</t>
  </si>
  <si>
    <t>INC55215977</t>
  </si>
  <si>
    <t>Nome do Contato: Felipe Roberto Pinto Amorim
Usuário: USR0061198
E-mail: contato@buffetpaladare.com.br 
Telefone: 2139429900
CNPJ/Razão Social: 19613431000151 - FPA BUFFET E EVENTOS LTDA - ME
Fornecedor solicita desbloqueio do usuário USR0061198</t>
  </si>
  <si>
    <t>FELIPE ROBERTO PINTO AMORIM</t>
  </si>
  <si>
    <t>contato@buffetpaladare.com.br</t>
  </si>
  <si>
    <t>19613431000151 - FPA BUFFET E EVENTOS LTDA - ME</t>
  </si>
  <si>
    <t>INC55215963</t>
  </si>
  <si>
    <t>Nome do Contato: Guilherme Fernandes Silveira
Usuário: USR0066907
E-mail: contato@votopetro.com.br 
Telefone: 19971241930
CNPJ/Razão Social:  23378585000183 - VOTOPETRO INDUSTRIA E COMERCIO S.A.
Fornecedor solicita desbloqueio do usuário USR0066907</t>
  </si>
  <si>
    <t>LIVIA  SAVIOLI MANETTA</t>
  </si>
  <si>
    <t>contato@votopetro.com.br</t>
  </si>
  <si>
    <t>23378585000183 - VOTOPETRO INDUSTRIA E COMERCIO S.A.</t>
  </si>
  <si>
    <t>INC55215898</t>
  </si>
  <si>
    <t xml:space="preserve">Boa tarde, 
Fornecedor (a) solicita Desbloqueio de usuário VTP0010001
VTP0010001
KLEBER FERREIRA DA SILVA
11998988682 kleber@votopetro.com.br 26.05.2024    Bloq. (Senha Expirada)
Chamado/Prot: 8001441271 / INC55215898
Nome : KLEBER FERREIRA DA SILVA
Usuário:VTP0010001
Telefone: 11998988682
E-mail:  kleber@votopetro.com.br
CNPJ: 23378585000183
Razão Social: VOTOPETRO INDUSTRIA E COMERCIO S.A.
</t>
  </si>
  <si>
    <t>8001441271</t>
  </si>
  <si>
    <t>KLEBER FERREIRA DA SILVA</t>
  </si>
  <si>
    <t>kleber@votopetro.com.br</t>
  </si>
  <si>
    <t>INC55215880</t>
  </si>
  <si>
    <t>INC55215880 +5511939426654
Nome do Contato: Matheus Queiroz Melo da Cruz
CNPJ/Razão Social: 15739099000115 / 43376723000100
CPF: 46703042837
Telefone: 1138037070
E-mail: financeiro@guandalinibr.com
Usuário: GUANDALINI / 963GUANDA
Oportunidade: 
CHAT BOT - Acesso portal cadastro
GUANDALINI
MARCOS GUANDALINI
1138037070 licitacao@guandalinibr.com 16.09.2023    Bloqueado
963GUANDA
MARCOS GUANDALINI
(11)38037070 gposicionamento123@gmail.com 31.08.2025    Desbloqueado 
Prezados(a), fornecedor(a) solicita desbloqueio, atualização de validade e atribuições de perfis de seu usuário: 963GUANDA</t>
  </si>
  <si>
    <t>'+5511939426654</t>
  </si>
  <si>
    <t>963GUANDA</t>
  </si>
  <si>
    <t>gposicionamento123@gmail.com</t>
  </si>
  <si>
    <t>INC55215800</t>
  </si>
  <si>
    <t xml:space="preserve">INC55215800 +5512991811091
Nome do Contato: Oranian Kaligeris Rocha
CNPJ/Razão Social: 37083705000120
CPF: 35336147869
Telefone: 12991811091
E-mail: rocha@centrotreinamentos.com.br
Usuário: SIMONEROCHA
Oportunidade: 
CHAT BOT - Acesso portal cadastro
</t>
  </si>
  <si>
    <t>INC55215679</t>
  </si>
  <si>
    <t>ENC: BO Petronect - Problemas no acesso.</t>
  </si>
  <si>
    <t>Prezado Dino, bom dia. Estou tendo problemas para acessar o BO Petronect. O endereço http://bopetronect.petrobras.com.br:8080/BOE/BI está inoperante. O endereço http://bopetronect.petrobras.com.br/BOE/BI está operacional, todavia o acesso aos relatórios apresenta a seguinte tela de erro:
Peço verificar junto à Petronect. Obrigado.
Cordialmente, 
Jorge Luiz Gomes Rabello 
***************************************************
Governança e Conformidade
CONF / GRC / GRT</t>
  </si>
  <si>
    <t>#RITM2640197</t>
  </si>
  <si>
    <t>Incidentes//Cadastro na Petrobras//Suporte//HANA//HANA</t>
  </si>
  <si>
    <t>INC55215489</t>
  </si>
  <si>
    <t>Alateraçao de daddos da empresa</t>
  </si>
  <si>
    <t>Chamado criado pelo área interna do Portal 
 Nome do Contato: VANESSA DE SOUZA SAMPAIO RIBEIRO 
 Usuário: ARTEMISIA 
 Telefone: 21981729293 
 E-mail: vanessa@artemisiacapital.com 
 CNPJ: 22860520000107 
 Razão Social ATLANTIS SURVEY S.A. 
 Boa tarde! Tudo bem?
Verifiquei que o cadastro inicial da empresa está errado, fala que a empresa é optante pelo SIMPLES, mas está incorreto.
Outra coisa, preciso, por favor, que o email principal de comunicaçao seja o meu vanessa@artemisiacapital.com.
Agradeço.</t>
  </si>
  <si>
    <t>VANESSA DE SOUZA SAMPAIO RIBEIRO</t>
  </si>
  <si>
    <t>ARTEMISIA</t>
  </si>
  <si>
    <t>vanessa@artemisiacapital.com</t>
  </si>
  <si>
    <t>22860520000107 - ATLANTIS SURVEY S.A.</t>
  </si>
  <si>
    <t>INC55215429</t>
  </si>
  <si>
    <t>Atualização da Família 98011619</t>
  </si>
  <si>
    <t>Oportunidade NÃO HÁ 
 Chamado criado pelo área interna do Portal 
 Nome do Contato: BRUNA DE AGOSTINI DA SILVA 
 Usuário: BRUAGOSTINI 
 Telefone: (011)21708386 
 E-mail: marcio.machado@merckgroup.com 
 CNPJ: 33069212000850 
 Razão Social MERCK S/A 
 Prezados(as), boa tarde!
Espero que todos estejam bem.
Recentemente, recebi a solicitação para a atualização do nosso cadastro. Consegui enviar a documentação necessária; no entanto, não consegui realizar a atualização das informações que estão destacadas no print em anexo.
Poderiam, por gentileza, informar se essas alterações devem ser realizadas pelo portal? Caso afirmativo, ficaria muito grato se pudessem me encaminhar um passo a passo de como proceder.
Agradeço antecipadamente pela atenção e apoio.</t>
  </si>
  <si>
    <t xml:space="preserve">BRUNA  DE AGOSTINI DA SILVA </t>
  </si>
  <si>
    <t xml:space="preserve">BRUAGOSTINI </t>
  </si>
  <si>
    <t>bruna.agostinisilva@sial.com</t>
  </si>
  <si>
    <t>33069212000850 - MERCK S/A</t>
  </si>
  <si>
    <t>INC55215334</t>
  </si>
  <si>
    <t>Relacionamento com clientes</t>
  </si>
  <si>
    <t>Chamado criado pela área externa do Portal 
 Nome do Contato: Iasmim Gonçalves 
 Usuário:  
 Telefone: 21996826429 
 E-mail: bruno@lhrprojetos.com.br 
 CNPJ: 52489179000196 
 Razão Social  
 Não estamos com o acesso vinculado ao SAP Ariba para enviarmos as faturas</t>
  </si>
  <si>
    <t>IASMIM LUIZ GONCALVES</t>
  </si>
  <si>
    <t>igoncalves@lhrservices.com.br</t>
  </si>
  <si>
    <t>52489179000196  -  S3 SAFETY LTDA</t>
  </si>
  <si>
    <t>INC55215207</t>
  </si>
  <si>
    <t>Ligação de transferência muda 2 x seguidas</t>
  </si>
  <si>
    <t xml:space="preserve">Ligação de transferência muda 2 x seguidas
</t>
  </si>
  <si>
    <t>INC55214673</t>
  </si>
  <si>
    <t>Proativo</t>
  </si>
  <si>
    <t xml:space="preserve">CNPJ/RAZÃO SOCIAL: 24330439000140 - BRASGUAY SOLUÇÕES ANTICORROSIVAS LTDA.
NOME: LUIS EDUARDO URBAN LOPEZ
USUARIO: CHICHE1957
EMAIL:urban@zindnbrasil.com.br
Tel.:  011 966481441
TEL:21 97158-3291/ (11) 96648-1441
Proativo para orientar referente ao cadastro da empresa. </t>
  </si>
  <si>
    <t>LUIS EDUARDO URBAN LOPEZ</t>
  </si>
  <si>
    <t>CHICHE1957</t>
  </si>
  <si>
    <t>urban@zindnbrasil.com.br</t>
  </si>
  <si>
    <t>24330439000140 - BRASGUAY SOLUÇÕES ANTICORROSIVAS LTDA.</t>
  </si>
  <si>
    <t>INC55214379</t>
  </si>
  <si>
    <t>Senha de acesso</t>
  </si>
  <si>
    <t>Chamado criado pela área externa do Portal 
 Nome do Contato: Carlos Hamada 
 Usuário: USR0071131 
 Telefone: (11) 99932-6987 
 E-mail: carloshamada@grupopetrus.seg.br 
 CNPJ: 40.260.005/0001-78 
 Razão Social PETRUS SEGURANCA LTDA 
 Prezados.
Precisamos de ajuda,visto que já efetuamos todas as atualizações, com a validação do LOGIN MAS NÃO RECEBEMOS A SENHA MESMO COM A SOLICITAÇÃO "ESQUECI MINHA SENHA"  pela Petronect.
Os emails recebidos sempre são com a validação do Login mas a SENHA NUNCA VEM.
PRECISAMOS DE AJUDA URGENTE VISTO QUE GANHAMOS UM CERTAME E PRECISAMOS ACESSAR A PETRONECT.</t>
  </si>
  <si>
    <t>Carlos Hamada</t>
  </si>
  <si>
    <t>carloshamada@grupopetrus.seg.br</t>
  </si>
  <si>
    <t>40260005000178 - PETRUS SEGURANCA LTDA</t>
  </si>
  <si>
    <t>INC55214142</t>
  </si>
  <si>
    <t>Nome do Contato: Mayara
Usuário: LLMAXLOG
E-mail: talita@martin-ambiental.com.br 
Telefone: 11941438753
CNPJ/Razão Social: 56080455000119
Fornecedora solicita desbloqueio do usuário LLMAXLOG</t>
  </si>
  <si>
    <t>MAX  LOG</t>
  </si>
  <si>
    <t>LLMAXLOG</t>
  </si>
  <si>
    <t>talita@martin-ambiental.com.br</t>
  </si>
  <si>
    <t>56080455000119</t>
  </si>
  <si>
    <t>INC55214002</t>
  </si>
  <si>
    <t>Informação</t>
  </si>
  <si>
    <t xml:space="preserve">
Nome do Contato: JULIANA  JULIANA POMPIANI DE OLIVEIRA
Usuário: JPOMPIANI
Telefone: 1142403570
E-mail: contato@tubosabc.com.br
CNPJ / Razão Social: 05755311000184 TUBOS ABC COMERCIO DE TUBOS EIRELI
Oportunidade:
Descrição do problema: Segue o resumo do atendimento: Sra. Juliana deseja saber resposta de autitoria. Orientada entrar em contato com o fale conosco através de um chamado ou vídeo chamada agendada. Fornecedora finalizou a chamada antes de transferir para a pesquisa de satisfação.
</t>
  </si>
  <si>
    <t xml:space="preserve"> JULIANA  POMPIANI DE OLIVEIRA</t>
  </si>
  <si>
    <t>contato@tubosabc.com.br</t>
  </si>
  <si>
    <t xml:space="preserve"> 05755311000184 TUBOS ABC COMERCIO DE TUBOS EIRELI</t>
  </si>
  <si>
    <t>INC55213804</t>
  </si>
  <si>
    <t xml:space="preserve">Desbloqueio do seu usuário </t>
  </si>
  <si>
    <t xml:space="preserve">Nome do Contato: MARGARETH IONE PAZINI PONZETTO
Usuário: MARGO.2023
Telefone: 11992227651 
E-mail: margareth@sto.net.br 
CNPJ / Razão Social: 23851180000110
Bom Dia!
Fornecedora solicita o desbloqueio do seu usuário </t>
  </si>
  <si>
    <t>MARGARETH  IONE PAZINI PONZETTO</t>
  </si>
  <si>
    <t>margareth@sto.net.br</t>
  </si>
  <si>
    <t xml:space="preserve">23851180000110 - </t>
  </si>
  <si>
    <t>INC55213779</t>
  </si>
  <si>
    <t>Dificuldade para localizar agendamento de atendimento na plataforma Petronect</t>
  </si>
  <si>
    <t>Chamado criado pela área externa do Portal 
 Nome do Contato: Beatriz Araujo Llopis 
 Usuário: TELEBITBR 
 Telefone: 21972021521 
 E-mail: comercial@telebitbrasil.com 
 CNPJ: 14826280000104 
 Razão Social TELEBIT BRASIL TELECOMUNICACAO LTDA 
 Prezados, boa tarde.
Estou acessando a plataforma Petronect, porém não estou conseguindo localizar a opção ou o local específico para realizar o agendamento de atendimento presencial.
Poderiam, por gentileza, orientar sobre onde essa funcionalidade está disponível na plataforma ou informar como devo proceder para efetuar o agendamento? Aproveito para questionar se o atendimento também pode ser realizado de forma online, por meio do Microsoft Teams.
E-mail: comercial@telebitbrasil.com
Fico no aguardo das orientações.
Desde já, agradeço a atenção.
Atenciosamente,</t>
  </si>
  <si>
    <t>INC55213613</t>
  </si>
  <si>
    <t xml:space="preserve">Ligação muda. Feita a fraseologia de finalização da chamada.
</t>
  </si>
  <si>
    <t>INC55213556</t>
  </si>
  <si>
    <t>NOVA SENHA</t>
  </si>
  <si>
    <t>Chamado criado pela área externa do Portal 
 Nome do Contato: Isaias Wagner Miranda 
 Usuário: USR0068443 
 Telefone: 2135935975 
 E-mail: comercial@aucobre.com.br 
 CNPJ: 10418979000419 
 Razão Social AUCOBRE GESTÃO DE RESÍDUOS LTDA 
 Prezados, 
Não estamos conseguindo cadastrar uma nova senha, pois a pagina não esta carregando. Gostaríamos do vosso apoio tendo em vista que esta forma não estamos conseguindo acessar nossa conta.</t>
  </si>
  <si>
    <t>ISAIAS WAGNER MIRANDA</t>
  </si>
  <si>
    <t>comercial@aucobre.com.br</t>
  </si>
  <si>
    <t>10418979000419 - AUCOBRE GESTAO DE RESIDUOS LTDA</t>
  </si>
  <si>
    <t>INC55213444</t>
  </si>
  <si>
    <t>Atualização de dados cadastrais</t>
  </si>
  <si>
    <t>Chamado criado pela área externa do Portal 
 Nome do Contato: Carlos Guerreiro 
 Usuário: RWM7 
 Telefone: 223377-3010 
 E-mail: carlosguerreiro@petrobras.com.br 
 CNPJ:  
 Razão Social  
 Prezados,
Favor atualizar dados cadastrais do fornecedor Usinagem Paulista Ltda, CNPJ: 05.794.316/0001-16, o mesmo não é mais optante pelo Simples Nacional.</t>
  </si>
  <si>
    <t>CARLOS EDUARDO CORREA GUERREIRO</t>
  </si>
  <si>
    <t>RWM7</t>
  </si>
  <si>
    <t>carlosguerreiro@petrobras.com.br</t>
  </si>
  <si>
    <t>INC55212444</t>
  </si>
  <si>
    <t>INC55212444 +5511997356526
Nome do Contato: João Carlos Caraí
CNPJ/Razão Social: 26690127000173
CPF: 05949007867
Telefone: 11999111249
E-mail: joao@oguen.com
Usuário: OGUEN.COM
Oportunidade: 
CHAT BOT - Acesso portal cadastro
OGUEN.COM
JOAO CARLOS CARAI
1155210944 joao@oguen.com 05.01.2025    Desbloqueado
Prezados(a), fornecedor(a) solicita desbloqueio, atualização de validade e atribuições de perfis de seu usuário: OGUEN.COM</t>
  </si>
  <si>
    <t>INC55212436</t>
  </si>
  <si>
    <t>INC55212436 +5521992683255
Nome do Contato: Renata Rosa Ribeiro
CNPJ/Razão Social: 22534471000112
CPF: 07048359757
Telefone: 21992683255
E-mail: renata@agrrh.com.br
Usuário: AGR_RH_2020
Oportunidade: 
CHAT BOT - Acesso portal cadastro
AGR_RH_2020
RENATA ROSA RIBEIRO
(21) 22630303 renataribeiro@agrrh.com.br 16.09.2023    Bloqueado 
Prezados(a), fornecedor(a) solicita desbloqueio, atualização de validade e atribuições de perfis de seu usuário: AGR_RH_2020</t>
  </si>
  <si>
    <t>'+5521992683255</t>
  </si>
  <si>
    <t>RENATA ROSA RIBEIRO</t>
  </si>
  <si>
    <t>renataribeiro@agrrh.com.br</t>
  </si>
  <si>
    <t>22534471000112 - AGR GESTÃO DE SERVIÇOS LTDA</t>
  </si>
  <si>
    <t>INC55212398</t>
  </si>
  <si>
    <t xml:space="preserve">INC55212398 +5521998239289
Nome do Contato: Luana Menezes de Azevedo de Vasconcellos
CNPJ/Razão Social: 03388937000174
CPF: 11974870774
Telefone: 21998239289
E-mail: abraao@ghsengenharia.com.br
Usuário: GHSENGENHARI
Oportunidade: 
CHAT BOT - Acesso portal cadastro
GHSENGENHARI
ABRAAO DE SOUSA TAVARES
2133115446 abraao@ghsengenharia.com.br 06.12.2022    Bloqueado
</t>
  </si>
  <si>
    <t>'+5521998239289</t>
  </si>
  <si>
    <t>ABRAAO DE SOUSA TAVARES</t>
  </si>
  <si>
    <t>GHSENGENHARI</t>
  </si>
  <si>
    <t>abraao@ghsengenharia.com.br</t>
  </si>
  <si>
    <t>03388937000174 - GHS EMPREENDIMENTOS IMOBILIARIOS LTDA-EP</t>
  </si>
  <si>
    <t>INC55212247</t>
  </si>
  <si>
    <t>INC55212247 +5541996871719
Nome do Contato: Williney Otto de Oliveira
CNPJ/Razão Social: 13832863000258
CPF: 07918694902
Telefone: 48992049106
E-mail: williney.oliveira@pavei.com
Usuário: PAVEIBRASIL2
Oportunidade: 
CHAT BOT - Acesso portal cadastro
PAVEIBRASIL2
Juliane Pinheiro
  julianepinheiroadv@gmail.com 28.04.2024    Bloqueado</t>
  </si>
  <si>
    <t>'+5541996871719</t>
  </si>
  <si>
    <t>Juliane Pinheiro</t>
  </si>
  <si>
    <t>PAVEIBRASIL2</t>
  </si>
  <si>
    <t>julianepinheiroadv@gmail.com</t>
  </si>
  <si>
    <t xml:space="preserve">13832863000258 - </t>
  </si>
  <si>
    <t>INC55212012</t>
  </si>
  <si>
    <t>Nome de contato: ADRIANA CARVALHO
Usuário: DRICA12.0
Telefone: 21-9649-99965     
E-mail: comercial2@lunalmf.com.br 
CNPJ/Razão social: 19767677000188 PH CLIMA COMERCIO E SERVIÇO DE REFRIGERA
Fornecedor solicita desbloqueio do usuário, o mesmo encontra-se expirado.
21-9649-99965 18.01.2026 Desbloq. (Senha Expirada)  comercial2@lunalmf.com.br 
DRICA12.0
Exibir  
ADRIANA CARVALHO</t>
  </si>
  <si>
    <t>INC55211919</t>
  </si>
  <si>
    <t>Nome de contato: ADRIANA MARTINS DE CARVALHO
Usuário: 24815922
Telefone: 2133428830    
E-mail: comercial2@lunalmf.com.br  
CNPJ/Razão social: 32100972000144 AL CLIMA COMÉRCIOE SÉRVIÇOS DE REFRIGERA
Fornecedor solicita desbloqueio do usuário e a atribuição do perfil de admnistrador, o mesmo encontra-se expirado.
2133428830 27.10.2024 Bloqueado  comercial2@lunalmf.com.br 
24815922
Exibir  
ADRIANA MARTINS DE CA</t>
  </si>
  <si>
    <t>INC55211564</t>
  </si>
  <si>
    <t>INC55211564 +5579998594939
Nome do Contato: Almir oliveira cruz
CNPJ/Razão Social: 13350020000134
CPF: 00147682592
Telefone: 7932188383
E-mail: comercial@multserv.net
Usuário: USR0067538
Oportunidade: 
CHAT BOT - Acesso portal cadastro
USR0067538
ANDERSON SANTOS DE OLIVEIRA
79 32188364 comercial@multserv.net 28.09.2025    Bloqueado
Prezados(a), fornecedor(a) solicita desbloqueio, atualização de validade e atribuições de perfis de seu usuário: USR0067538</t>
  </si>
  <si>
    <t>'+5579998594939</t>
  </si>
  <si>
    <t>ANDERSON SANTOS DE OLIVEIRA</t>
  </si>
  <si>
    <t>comercial@multserv.net</t>
  </si>
  <si>
    <t>INC55211562</t>
  </si>
  <si>
    <t>treinamentos</t>
  </si>
  <si>
    <t>nome do Contato:Tabita    
Usuário:   
Telefone:   
E-mail:       
CNPJ / Razão Social:05671199000101 HQUIMICA EQUIPAMENTOS E PRODUTOS QUIMICOS LTDA - EPP
Fornecedora desligou ao final do atendimento, orientada a retornar com os dados de usuário para a confirmação de dados.</t>
  </si>
  <si>
    <t>INC55194620</t>
  </si>
  <si>
    <t>INC55200740</t>
  </si>
  <si>
    <t>Nome do Contato: Katia Kely Tavares Bezerra
Usuário: KATIAKELYBFS
E-mail: katiakely@bfsassessoria.com.br 
Telefone: 11962180722 
CNPJ/Razão Social: 18650102000118
Fornecedora solicita desbloqueio do usuário KATIAKELYBFS</t>
  </si>
  <si>
    <t>KATIA  KELY</t>
  </si>
  <si>
    <t>KATIAKELYBFS</t>
  </si>
  <si>
    <t>katiakely@bfsassessoria.com.br</t>
  </si>
  <si>
    <t>18650102000118</t>
  </si>
  <si>
    <t>INC55200436</t>
  </si>
  <si>
    <t>cadastro</t>
  </si>
  <si>
    <t>Chamado criado pelo área interna do Portal 
 Nome do Contato: ELLEN RODRIGUES DA SILVA NUNES 
 Usuário: ELLEN.NUNES 
 Telefone: 21991889066 
 E-mail: isfex.comercio@yahoo.com 
 CNPJ: 63987594000196 
 Razão Social ISFEX COMERCIO LTDA 
 Gostaria de abrir um chamado ,pois coloquei o meu cnpj na familia dos fornecedores , eu sou revendedora. 
Eu gostaria de colocar o certo.</t>
  </si>
  <si>
    <t>ELLEN RODRIGUES DA SILVA NUNES</t>
  </si>
  <si>
    <t>ELLEN.NUNES</t>
  </si>
  <si>
    <t>isfex.comercio@yahoo.com</t>
  </si>
  <si>
    <t>63987594000196 -  ISFEX COMERCIO LTDA</t>
  </si>
  <si>
    <t>Nome do Contato: SUELI MACHADO NETO
Usuário: 2023-VENDAS
E-mail: vendas@multiuniao.com.br 
Telefone: 19992093998
CNPJ/Razão Social: 58446162000138
Fornecedora solicita desbloqueio do usuário 2023-VENDAS</t>
  </si>
  <si>
    <t>INC55199728</t>
  </si>
  <si>
    <t>Ligação com problemas no audio</t>
  </si>
  <si>
    <t xml:space="preserve">Fornecedor não estava ouvindo. Orientado a retornar a chamada.
</t>
  </si>
  <si>
    <t>INC55199686</t>
  </si>
  <si>
    <t>Nome do Contato: ANTONIO CARLOS CORREIA
Usuário: NOVAVALLE
Telefone: 11973863569
E-mail: ac466329@gmail.com 
CNPJ / Razão Social: 51058020000154
Boa tarde !
Fornecedora solicita o desbloqueio de seu usuário,  Para atualizar os dados cadastrais 
Obrigado.</t>
  </si>
  <si>
    <t>ANTONIO  CARLOS CORREIA</t>
  </si>
  <si>
    <t>NOVAVALLE</t>
  </si>
  <si>
    <t>ac466329@gmail.com</t>
  </si>
  <si>
    <t xml:space="preserve">51058020000154 - </t>
  </si>
  <si>
    <t>INC55199185</t>
  </si>
  <si>
    <t xml:space="preserve">INC55199185 +5579998594939
Nome do Contato: multserv manutenção predial ltda
CNPJ/Razão Social: 13350020000134
CPF: 001.476.825-92
Telefone: 7932188383
E-mail: comeercial@multserv.net
Usuário: 1370025
Status do chamado: INC55196439
CHAT BOT - Visualização de chamados
</t>
  </si>
  <si>
    <t>ALMIR OLIVEIRA CRUZ</t>
  </si>
  <si>
    <t>comercial@multserv.com</t>
  </si>
  <si>
    <t>INC55199183</t>
  </si>
  <si>
    <t xml:space="preserve">Nome do Contato: CASSIO
Usuário: 
Telefone:
E-mail:
CNPJ / Razão Social: 69039154000193 AMA SERVÇOS LTDA
Oportunidade:
Descrição do problema: Segue o resumo do atendimento: 
FORNECEDOR  NÃO TEM ACESSO A USUÁRIO E SENHA, POIS QUEM CADASTROU FOI UM FUNCIONÁRIO QUE JA SAIU. ORIENTADO A REALIZAR A CARTA MODELO.
Novo usuário junto a carta modelo.
Foi orientado a seguir o procedimento abaixo:
Área externa – Portal  Petronect;
Cadastro na Petrobras;
Perguntas Frequentes;
&gt; Tópico 3. O Administrador do Cadastro não faz mais parte da empresa. O que deve ser feito para ter acesso?
&gt; Seguir as orientações descritas e em seguid30a encaminhar a documentação solicitada para o e-mail: atendi.fornecedores@petrobras.com.br
</t>
  </si>
  <si>
    <t>INC55198964</t>
  </si>
  <si>
    <t>Nome do Contato: LUCIANO BARCELOS BOCCANERA
Usuário: RCC2LUCIANO
E-mail: diretoria@rccsucatas.com.br 
Telefone: 21985180300
CNPJ/Razão Social: 02055354000169 - RCC 2 SUCATAS EM GERAL LTDA
Fornecedor solicita desbloqueio do usuário RCC2LUCIANO</t>
  </si>
  <si>
    <t>Luciano Boccanera</t>
  </si>
  <si>
    <t>diretoria@rccsucatas.com.br</t>
  </si>
  <si>
    <t>02055354000169 - RCC 2 SUCATAS EM GERAL LTDA</t>
  </si>
  <si>
    <t>INC55198961</t>
  </si>
  <si>
    <t>INC55198961 +5511988057581
Nome do Contato: Paulo leite
CNPJ/Razão Social: 54373423000186
CPF: 17611061801
Telefone: 11963032197
E-mail: comercial@solucoespsl.com.br
Usuário: PSLSOLUCOES
Oportunidade: 
CHAT BOT - Acesso portal cadastro
PSLSOLUCOES
PAULO DE SOUZA LEITE
11-55559388 comercial@solucoespsl.com.br 19.10.2025    Desbloq. (Senha Expirada)
Prezados(a), fornecedor(a) solicita desbloqueio, atualização de validade e atribuições de perfis de seu usuário: PSLSOLUCOES</t>
  </si>
  <si>
    <t>'+5511988057581</t>
  </si>
  <si>
    <t>PAULO DE SOUZA LEITE</t>
  </si>
  <si>
    <t>PSLSOLUCOES</t>
  </si>
  <si>
    <t>comercial@solucoespsl.com.br</t>
  </si>
  <si>
    <t>54373423000186 - PSL SOLUCOES E E COMMERCE LTDA</t>
  </si>
  <si>
    <t>INC55198811</t>
  </si>
  <si>
    <t xml:space="preserve">INC55198811 +5584981780547
Nome do Contato: Francisco Moisés Freitas Da Costa
CNPJ/Razão Social: 34094070000178
CPF: 06061741413
Telefone: 84999908831
E-mail: moises@ismengineering.com.br
Usuário: ISMENGEMEC
Oportunidade: 
CHAT BOT - Redefinição de Senha
</t>
  </si>
  <si>
    <t>'+5584981780547</t>
  </si>
  <si>
    <t>FRANCISCO MOISES FREITAS DA COSTA</t>
  </si>
  <si>
    <t>ISMENGEMEC</t>
  </si>
  <si>
    <t>moises@ismengineering.com.br</t>
  </si>
  <si>
    <t xml:space="preserve">34094070000178 - </t>
  </si>
  <si>
    <t>INC55198738</t>
  </si>
  <si>
    <t>Como Gerar Cadastro</t>
  </si>
  <si>
    <t xml:space="preserve">Nome do Contato: Mario Lucio Riberio 
Usuário: SABEMI2026
Telefone: 5561984121000
E-mail: 5561984121000
CNPJ / Razão Social: 87163234000138
Fornecedor solicita auxilio para gerar cadastro de sua empresa e confirmar informações de oportunidade.
Foi orientado a gerar se cadastro no portal e "login", Ainda não tenha cadastro, e preencher as informações solicitadas. </t>
  </si>
  <si>
    <t>INC55198520</t>
  </si>
  <si>
    <t xml:space="preserve">INC55197543 2ff1d5bb-ee75-d64a-43ef-7fc989e37a6e
Nome do Contato: Patricia Paula dos Santos Magalhaes
CNPJ/Razão Social: 08762696000103
CPF: 07780307689
Telefone: 31999727453
E-mail: comercial2@h2oambiental.ind.br
Usuário: H2OAMBIENTAL
Oportunidade: 
CHAT BOT - Acesso portal cadastro
H2OAMBIENTAL
TAMARA RAFAELA LIMA BORBA
(31) 3424-7132 comercial2@h2oambiental.ind.br 28.04.2024    Bloqueado </t>
  </si>
  <si>
    <t>2ff1d5bb-ee75-d64a-43ef-7fc989e37a6e</t>
  </si>
  <si>
    <t>TAMARA RAFAELA LIMA BORBA</t>
  </si>
  <si>
    <t>H2OAMBIENTAL</t>
  </si>
  <si>
    <t>comercial2@h2oambiental.ind.br</t>
  </si>
  <si>
    <t>08762696000103 - H2O AMBIENTAL INDUSTRIA QUIMICA COMERCIO</t>
  </si>
  <si>
    <t>INC55198014</t>
  </si>
  <si>
    <t>Nome do Contato: ANDERSON SOARES SILVA
Usuário: ANDERSONUP
E-mail: anderson@updraw.eng.br 
Telefone: 13996553018
CNPJ/Razão Social: 38211862000136 - UP DRAW SERVIÇOS TECNICOS LTDA
Fornecedor solicita desbloqueio do usuário ANDERSONUP</t>
  </si>
  <si>
    <t>ANDERSON  SOARES SILVA</t>
  </si>
  <si>
    <t>ANDERSONUP</t>
  </si>
  <si>
    <t>anderson@updraw.eng.br</t>
  </si>
  <si>
    <t>38211862000136 - UP DRAW SERVIÇOS TECNICOS LTDA</t>
  </si>
  <si>
    <t>13536459000156 - FLEXWAYS SOLUÇÕES INDUSTRIAIS LTDA</t>
  </si>
  <si>
    <t>INC55197904</t>
  </si>
  <si>
    <t>Nome do Contato: Thiago veiga de Tasis
Usuário: TVTASSIS
E-mail: thiagotassis@hotmail.com 
Telefone: 27988124035
CNPJ/Razão Social: 26683988000124 - T. V. DE TASSIS ME
Fornecedor não consegue acesso ao usuário TVTASSIS. Ao acessar com a senha provisória recebida no e-mail cadastrado o sistema solicita Preencher o código de verificação MFA, porém o código não chega no e-mail.
Foi orientado a cadastrar notificacao@petronect.com.br como remetente confiável, verificar se há alguma regra de bloqueio para caracteres especiais no e-mail da empresa, aguardar o prazo de 15 minutos durante o qual o código é válido e verificar a pasta spam e o lixo, porém continua sem recebr o e-mail.
Por favor, verifiquem se há alguma falha no envio do token para o e-mail thiagotassis@hotmail.com .</t>
  </si>
  <si>
    <t>INC55197840</t>
  </si>
  <si>
    <t>Nome do Contato: LUCIANO PINHO RAMOS GARCES
Usuário: GLAUBER08
E-mail: glaubergarcez@hotmail.com 
Telefone: 92995206370
CNPJ/Razão Social: 40461441000105 
Fornecedor solicita desbloqueio do usuário GLAUBER08</t>
  </si>
  <si>
    <t>GLAUBER CAMPOS</t>
  </si>
  <si>
    <t>glaubergarcez@hotmail.com</t>
  </si>
  <si>
    <t xml:space="preserve">40461441000105 - </t>
  </si>
  <si>
    <t>INC55197740</t>
  </si>
  <si>
    <t>Recuperación fallida credenciales</t>
  </si>
  <si>
    <t>Chamado criado pela área externa do Portal 
 Nome do Contato: Andrea Duarte 
 Usuário: NEL.ENERCOM 
 Telefone: 3177943530 
 E-mail: asistente.cl@enercom.com.co 
 CNPJ:  8605315522 
 Razão Social ENERCOM SAS 
 Buen día, hemos tratado de recuperar el acceso con las credenciales de los usuarios anteriormente creados y no ha sido posible, nos indica que el usuario o correo son incorrectos y requerimos recuperar las credenciales del usuario NEL.ENERCOM de la compañía Enercom SAS con NIT 860531552-2. Gracias.</t>
  </si>
  <si>
    <t>Nelson  Roa</t>
  </si>
  <si>
    <t>NEL.ENERCOM</t>
  </si>
  <si>
    <t>nelsonrm@enercom.com.co</t>
  </si>
  <si>
    <t>8605315522 ENERCOM LTDA</t>
  </si>
  <si>
    <t>INC55197185</t>
  </si>
  <si>
    <t xml:space="preserve">INC55197185 +5511976894634
Nome do Contato: Bruno Almeida
CNPJ/Razão Social: 24390855000134
CPF: 41268254878
Telefone: 11976894634
E-mail: licitacao@revinox.com.br
Usuário: LICIREVINOX
Oportunidade: 
CHAT BOT - Acesso portal cadastro
LICIREVINOX
VIVIANE DIAS AMARAL
1123061017 licitacao@revinox.com.br 16.09.2023    Desbloqueado 
Prezados(a), fornecedor(a) solicita desbloqueio, atualização de validade e atribuições de perfis de seu usuário: LICIREVINOX
</t>
  </si>
  <si>
    <t>'+5511976894634</t>
  </si>
  <si>
    <t>VIVIANE DIAS AMARAL</t>
  </si>
  <si>
    <t>LICIREVINOX</t>
  </si>
  <si>
    <t>licitacao@revinox.com.br</t>
  </si>
  <si>
    <t xml:space="preserve">24390855000134 - REVINOX COMERCIO E INSTALAÇÃO EIRELI </t>
  </si>
  <si>
    <t>INC55196439</t>
  </si>
  <si>
    <t>Nome do Contato: multserv manutenção predial ltda
Usuário: 1370025
E-mail: comercial@multserv.com
Telefone: 79998594939
CNPJ/Razão Social: 13350020000134 - MULTSERV MANUTENCAO PREDIAL LTDA
Fornecedor solicita desbloqueio do usuário 1370025</t>
  </si>
  <si>
    <t>34127832000195 - SAAS SERVICOS ADMINISTRATIVOS LTDA</t>
  </si>
  <si>
    <t>INC55196290</t>
  </si>
  <si>
    <t>Nome do Contato: Bianca de Andrade Cardoso
Usuário: TARCISIONASC
E-mail: metaltec.oficial@gmail.com 
Telefone: 71992963366
CNPJ/Razão Social: 34579020000180 - GBL SERVICOS DE ENGENHARIA &amp; ARQUITETURA
Fornecedor solicita desbloqueio do usuário TARCISIONASC</t>
  </si>
  <si>
    <t>INC55196175</t>
  </si>
  <si>
    <t>Cadastramento</t>
  </si>
  <si>
    <t>Sr. Ronald deseja saber como se cadastrar na Petronect. Orientado em linha. e o mesmo deseja saber mais informações sobre produtos. orientado a entrar em contato com Petrobrás: 0800 728 9001</t>
  </si>
  <si>
    <t>Incidentes//Cadastro na Petrobras</t>
  </si>
  <si>
    <t>INC55195911</t>
  </si>
  <si>
    <t xml:space="preserve">Nome do Contato: Karina Nemésio
Usuário: PETROETANOL 
E-mail: petroetanol@outlook.com 
Telefone: 19974137779
CNPJ/Razão Social: 23433087000196 - 
Fornecedora solicita desbloqueio do usuário PETROETANOL </t>
  </si>
  <si>
    <t>APARECIDO RODOLFO LIMA DUARTE FERRACINI</t>
  </si>
  <si>
    <t>PETROETANOL</t>
  </si>
  <si>
    <t>petroetanol@outlook.com</t>
  </si>
  <si>
    <t xml:space="preserve">23433087000196 - </t>
  </si>
  <si>
    <t>INC55195714</t>
  </si>
  <si>
    <t>Nome do Contato: Jet Cargo Logistica e Transportes Ltda
Usuário: JETCARGO
E-mail: mauro.braga@jetcargotransportes.com.br 
Telefone: 12992447288
CNPJ/Razão Social: 28857769000140 - JET CARGO LOGISTICA E TRANSPORTES EIRELL
Fornecedor solicita desbloqueio do usuário JETCARGO</t>
  </si>
  <si>
    <t>INC55195621</t>
  </si>
  <si>
    <t xml:space="preserve">Chamado: INC55195621
Fornecedor(a) Seu chamado foi registrado, porém não foi possível dar continuidade ao atendimento devido à interrupção da ligação.   
Atenciosamente,
Equipe Petronect
</t>
  </si>
  <si>
    <t>INC55195540</t>
  </si>
  <si>
    <t>nome do Contato: Silvio 
Usuário:   
Telefone:   
E-mail:       
CNPJ / Razão Social:239964450000108
Fornecedor(a) entrou em contato solicitando auxilio para verificar informações de compra e venda direta, orientado(a):
Canal Fornecedor (https://canalfornecedor.petrobras.com.br)</t>
  </si>
  <si>
    <t>INC55195386</t>
  </si>
  <si>
    <t>Nome do Contato: Tatiana de Toledo Huerta
Usuário: TOTHENG
E-mail: toth@totheng.com.br 
Telefone: 11998912520
CNPJ/Razão Social: 32536835000157
Fornecedora solicita desbloqueio do usuário TOTHENG</t>
  </si>
  <si>
    <t>TATIANA  DE TOLEDO HUERTA</t>
  </si>
  <si>
    <t>TOTHENG</t>
  </si>
  <si>
    <t>toth@totheng.com.br</t>
  </si>
  <si>
    <t>32536835000157</t>
  </si>
  <si>
    <t>INC55195296</t>
  </si>
  <si>
    <t xml:space="preserve">INC55195296 +5585999504511
Nome do Contato: Jonas Bessa Neto
CNPJ/Razão Social: 35502203000160
CPF: 00225816342
Telefone: 85999504511
E-mail: promptiequipamentos@gmail.com
Usuário: PROMPTI
Oportunidade: 
CHAT BOT - Acesso portal cadastro
</t>
  </si>
  <si>
    <t>INC55195040</t>
  </si>
  <si>
    <t>Nome de contato: PATRICIA CANDIDO DE MEDEIROS
Usuário: NEWCOMWORLD2
Telefone: 7132729777    
E-mail: comercial@newcomw.com.br   
CNPJ/Razão social: 10247452000126 NEWCOM WORLD COMERCIO E SERVICOS LTDA -
Fornecedor solicita desbloqueio do usuário 
7132729777 31.12.9999 Bloq. (Senha Expirada)  comercial@newcomw.com.br 
NEWCOMWORLD2
Exibir  
LUCIANO DA SILVA SOUZA</t>
  </si>
  <si>
    <t>Luciano Souza</t>
  </si>
  <si>
    <t>NEWCOMWORLD2</t>
  </si>
  <si>
    <t>comercial@newcomw.com.br</t>
  </si>
  <si>
    <t>10247452000126 - NEWCOM WORLD COMERCIO E SERVICOS LTDA -</t>
  </si>
  <si>
    <t>MARCOS ROBERTO  FATOBENE</t>
  </si>
  <si>
    <t>comercialsp@grupoguacu.com.br</t>
  </si>
  <si>
    <t>52742277000193 - PRODUTOS QUIMICOS GUACU INDUSTRIA E COME</t>
  </si>
  <si>
    <t>Nome de contato: EVANCLEY SANTOS DE MELO
Usuário: EVANCLEY
Telefone:(92) 981960692      
E-mail: dmelodedetizacao@gmail.com  
CNPJ/Razão social: 26738897000149 EVANCLEY S. DE MELO-ME
Fornecedor solicita desbloqueio do usuário 
92) 981960692 31.12.9999 Bloq. (Senha Expirada)  dmelodedetizacao@gmail.com 
EVANCLEY
Exibir  
EVANCLEY SANTOS DE M</t>
  </si>
  <si>
    <t>INC55177476</t>
  </si>
  <si>
    <t>INC55194610</t>
  </si>
  <si>
    <t xml:space="preserve">INC55194610 +5511930764600
Nome do Contato: Joao Henrique Calderan Quintino
CNPJ/Razão Social: 60218443000185
CPF: 07722927874
Telefone: 11995606004
E-mail: joao.quintino@sathel.com.br
Usuário: USR0056805-1
Oportunidade: 
CHAT BOT - Acesso portal cadastro
</t>
  </si>
  <si>
    <t>'+5511930764600</t>
  </si>
  <si>
    <t>DAYSI CALDERAN QUINTINO MARCONDES</t>
  </si>
  <si>
    <t>daysi.quintino@sathel.com.br</t>
  </si>
  <si>
    <t>60218443000185 - SATHEL ENERGIA S/A</t>
  </si>
  <si>
    <t>ALEX RODRIGUES  rodrigues</t>
  </si>
  <si>
    <t>eletroforte@terra.com.br</t>
  </si>
  <si>
    <t>05507225000152 - ELETROFORTE MATERIAIS ELETRICOS LTDA - M</t>
  </si>
  <si>
    <t>INC55194437</t>
  </si>
  <si>
    <t xml:space="preserve">INC55194437 +5519998911996
Nome do Contato: Caio Luiz Gelain
CNPJ/Razão Social: 27882215000130
CPF: 44691504877
Telefone: 19998911996
E-mail: caio.gelain@eletricaup.com.br
Usuário: USR0067876
Oportunidade: 
CHAT BOT - Acesso portal cadastro
</t>
  </si>
  <si>
    <t>'+5519998911996</t>
  </si>
  <si>
    <t>MARCUS VINICIUS MARCELINO DOMINGUES</t>
  </si>
  <si>
    <t>marcus.domingues@eletricaarea.com.br</t>
  </si>
  <si>
    <t>27882215000130 - ELETRO AREA DISTRIBUIDORA DE MOTORES BOM</t>
  </si>
  <si>
    <t>INC55194436</t>
  </si>
  <si>
    <t>Portal bloqueado</t>
  </si>
  <si>
    <t>Chamado criado pela área externa do Portal 
 Nome do Contato: Paulo 
 Usuário:  
 Telefone: 11995991100 
 E-mail: licitacoes@madis.com.br 
 CNPJ: 61092565002265 
 Razão Social  
 Quando tento acessar o portal aparece mensagem de portal bloqueado, como faz para recuperar o acesso?</t>
  </si>
  <si>
    <t>INC55194370</t>
  </si>
  <si>
    <t xml:space="preserve">Chamado: INC55194370
 Nome do Contato: RICARDO NIEDERAUER DA CUNDA
 Usuário: RICARDOCUNDA
 Telefone: 5199725-5920
E-mail: gestorpontoobras@gmail.com
CNPJ / Razão Social: 36073134000180  -  PONTO OBRAS PAVIMENTADORA LTDA
Fornecedor(a) solicitou auxilio para o desbloqueio de seu usuário que expirou no dia 14/04/2024  e aderi ao perfil de administrador. 
RICARDOCUNDA
RICARDO NIEDERAUER DA CUNDA
5199725-5920 14.04.2024    Bloqueado Exibir  gestorpontoobras@gmail.com
</t>
  </si>
  <si>
    <t>INC55194363</t>
  </si>
  <si>
    <t>INC55194363 +5511994622965
Nome do Contato: Felipe Loureiro
CNPJ/Razão Social: 03836739000126
CPF: 09441720836
Telefone: 11985785954
E-mail: jacqueline@superbid.net
Usuário: P.MAISATIVO
Oportunidade: 
CHAT BOT - Acesso portal cadastro
P.MAISATIVO
FABIO LUIZ LOBO MAZZA JUNIOR
11 98578-5954 jacqueline@superbid.net 31.08.2025    Desbloqueado
Prezados(a), fornecedor(a) solicita desbloqueio, atualização de validade e atribuições de perfis de seu usuário: P.MAISATIVO</t>
  </si>
  <si>
    <t>'+5511994622965</t>
  </si>
  <si>
    <t>INC55194281</t>
  </si>
  <si>
    <t>INC55194281 +5564999655877
Nome do Contato: Rodrigo Borges Tonaco
CNPJ/Razão Social: 21419761000152
CPF: 89015126100
Telefone: 64999730456
E-mail: rodrigo@sammaservicos.com.br
Usuário: R.TONACO
Oportunidade: 
CHAT BOT - Acesso portal cadastro
R.TONACO
Rodrigo BorgesTonaco
  rodrigo@sammaservicos.com.br 04.01.2026    Desbloqueado 
Prezados(a), fornecedor(a) solicita desbloqueio, atualização de validade e atribuições de perfis de seu usuário: R.TONACO</t>
  </si>
  <si>
    <t>'+5564999655877</t>
  </si>
  <si>
    <t>Rodrigo BorgesTonaco</t>
  </si>
  <si>
    <t>R.TONACO</t>
  </si>
  <si>
    <t>rodrigo@sammaservicos.com.br</t>
  </si>
  <si>
    <t xml:space="preserve">21419761000152 - </t>
  </si>
  <si>
    <t>INC55194167</t>
  </si>
  <si>
    <t>falha no acesso do portal</t>
  </si>
  <si>
    <t>Chamado criado pela área externa do Portal 
 Nome do Contato: nincia wiezel 
 Usuário: SEIKO_3424. 
 Telefone: 43999535707 
 E-mail: comercial@seikoquimica.com.br 
 CNPJ: 30015450000119 
 Razão Social SEIKO DISTRIBUIDORA DE PRODUTOS QUIMICOS 
 fiz o cadastro e nao estou conseguindo acessar esta dando senha e usuario incorreto</t>
  </si>
  <si>
    <t>03019757000115 - LOC TUDO LOCACAO E ASSISTENCIA TECNICA L</t>
  </si>
  <si>
    <t>CSERV/Fiscalização Contratos</t>
  </si>
  <si>
    <t>INC55193341</t>
  </si>
  <si>
    <t>SAP / BO - Erro ao gerar relatório, '(Error: RWI 00200) (Error: INF ) - PBINC3869064</t>
  </si>
  <si>
    <t>Usuário entrou em contato relatando erro durante tentativa de emissão de relatório em http://bopetronect.petrobras.com.br/BOE/BI. Ao tentar extrar o mesmo recebe erro: 
'(Error: RWI 00200) (Error: INF )'</t>
  </si>
  <si>
    <t>PBINC3869064</t>
  </si>
  <si>
    <t>Maria Luiza Magalhaes Viana de Almeida</t>
  </si>
  <si>
    <t>CHMD</t>
  </si>
  <si>
    <t>INC55193245</t>
  </si>
  <si>
    <t>INC55193245 +5519974137779
Nome do Contato: Aparecido Rodolfo lima Duarte
CNPJ/Razão Social: 23433087000196
CPF: 30781131839
Telefone: 19974137779
E-mail: petroetanol@outlook.com
Usuário: PETROETANOL
Oportunidade: 
CHAT BOT - Acesso portal cadastro
PETROETANOL
APARECIDO RODOLFO LIMA DUARTE FERRACINI
19974139055 petroetanol@outlook.com 16.09.2023    Bloqueado</t>
  </si>
  <si>
    <t>'+5519974137779</t>
  </si>
  <si>
    <t>INC55188279</t>
  </si>
  <si>
    <t>ALTERAÇÃO E-MAIL</t>
  </si>
  <si>
    <t>Chamado criado pela área externa do Portal 
 Nome do Contato: BEATRIZ NEVES 
 Usuário: BEATRIZNEVES 
 Telefone: 71999798669 
 E-mail: beatriz.neves@pecomenergia.com.br 
 CNPJ: 30537792104CR 
 Razão Social BOLLAND Y CIA S.A. 
 Prezados, bom dia!
Em razão da alteração da razão social, de Bolland para Pecom Energia, o e-mail associado ao usuário BeatrizNeves também foi atualizado.
Dessa forma, solicito, por gentileza, a alteração do e-mail cadastral de financeiro@bollandsa.com.br para beatriz.neves@pecomenergia.com.br, a fim de que eu possa acessar o cadastro da empresa e realizar as atualizações necessárias.
Fico no aguardo da confirmação e à disposição para quaisquer esclarecimentos adicionais.
Atenciosamente,
Beatriz das Neves Domingos</t>
  </si>
  <si>
    <t>INC55184494</t>
  </si>
  <si>
    <t>CADASTRO EMPRESA</t>
  </si>
  <si>
    <t>Chamado criado pelo área interna do Portal 
 Nome do Contato: ANDERSON NERES FONSECA 
 Usuário: ANDERSONGET 
 Telefone: 11941005150 
 E-mail: anderson@get-br.com 
 CNPJ: 13185813000145 
 Razão Social GET SERVIÇOS DE GESTÃO, TECNOLOGIA E PAR 
 Boa tarde, tudo bem ?
Estou tentando cadastrar nossa empresa e não estou conseguindo.
Podem me ajudar ?
Segue CNPJ : 13.185.813/0001-45
Fico no aguardo.
Obrigado</t>
  </si>
  <si>
    <t>ANDERSON NERES FONSECA</t>
  </si>
  <si>
    <t>ANDERSONGET</t>
  </si>
  <si>
    <t>anderson@get-br.com</t>
  </si>
  <si>
    <t>MARTHA LILIANA  RAMIREZ OROZCO</t>
  </si>
  <si>
    <t>MAR.ERNSTY</t>
  </si>
  <si>
    <t>contactoey@co.ey.com</t>
  </si>
  <si>
    <t>8600088905 ERNST AND YOUNG AUDIT LTDA</t>
  </si>
  <si>
    <t>TAXA DE ACESSO</t>
  </si>
  <si>
    <t>INC55183960</t>
  </si>
  <si>
    <t>Chamado criado pela área externa do Portal 
 Nome do Contato: Andre Macharet 
 Usuário: ITCL-AM 
 Telefone: 5521976317087 
 E-mail: andre.macharet@siemens-energy.com 
 CNPJ: GB479985260 
 Razão Social INDUSTRIAL TURBINE Company (UK) LIMITED 
 Desbloqueio de usuario e configuração de usuario administrador.</t>
  </si>
  <si>
    <t>ANDRE MACHARET</t>
  </si>
  <si>
    <t>ITCL-AM</t>
  </si>
  <si>
    <t>andre.macharet@siemens-energy.com</t>
  </si>
  <si>
    <t>GB479985260 - INDUSTRIAL TURBINE COMPANY (UK) LIMITED</t>
  </si>
  <si>
    <t>INC55183722</t>
  </si>
  <si>
    <t>Nome do Contato: Jackson Medeiros Cruz Silva
Usuário: REDALMUS
E-mail: contato@redalmus.com.br 
Telefone: 27999721289
CNPJ/Razão Social: 27347244000100
Fornecedor solicita desbloqueio do usuário REDALMUS</t>
  </si>
  <si>
    <t>JACKSON  MEDEIROS CRUZ SILVA</t>
  </si>
  <si>
    <t>REDALMUS</t>
  </si>
  <si>
    <t>contato@redalmus.com.br</t>
  </si>
  <si>
    <t>27347244000100</t>
  </si>
  <si>
    <t>INC55183601</t>
  </si>
  <si>
    <t>Progredir</t>
  </si>
  <si>
    <t xml:space="preserve">Nome do Contato: DOUGLAS LEAO NORBIM
Usuário: FIN.OMNI
E-mail: financeiro_ota@omnibrasil.com.br 
Telefone: (21) 3478-1420 
CNPJ/Razão Social: 03670763000138 OMNI TAXI AEREO S/A
Fornecedora entrou em contato solicitando suporte referente ao Portal Progredir. Foi informada:
O Programa Progredir foi reestruturado e o suporte não é mais realizado pela Petronect.
Os fornecedores que tiverem interesse em antecipar suas faturas, financiar seus contratos ou tenham qualquer dúvida sobre o Progredir, deverão acessar o link www.progredir.petrobras.com.br, para verificar os canais de comunicação para esclarecer suas dúvidas."
SAC Petrobras 0800 728 9001 </t>
  </si>
  <si>
    <t>Douglas Norbim</t>
  </si>
  <si>
    <t>fin.omni</t>
  </si>
  <si>
    <t>financeiro_OTA@omnibrasil.com.br</t>
  </si>
  <si>
    <t>03670763000138 - OMNI TAXI AEREO S/A</t>
  </si>
  <si>
    <t>INC55183345</t>
  </si>
  <si>
    <t xml:space="preserve">INC55183345 +5511978450776
Nome do Contato: Ricardo Augusto Assumpção Marks
CNPJ/Razão Social: 44202232000106
CPF: 21454811846
Telefone: 11978450776
E-mail: ricardo.marks@donaldson.com
Usuário: VL.DONALDSON
Oportunidade: 
CHAT BOT - Dados de Acesso
</t>
  </si>
  <si>
    <t>'+5511978450776</t>
  </si>
  <si>
    <t>VALNYR CANDIDO DE LIMA</t>
  </si>
  <si>
    <t>VL.DONALDSON</t>
  </si>
  <si>
    <t>valnyr.lima@donaldson.com</t>
  </si>
  <si>
    <t>44202232000106 - DONALDSON DO BRASIL EQUIPAMENTOS INDUSTR</t>
  </si>
  <si>
    <t>INC55183164</t>
  </si>
  <si>
    <t>Erro de preenchimento</t>
  </si>
  <si>
    <t>Chamado criado pelo área interna do Portal 
 Nome do Contato: MARISA HARUE ETO 
 Usuário: MARISAETO 
 Telefone: 11982979513 
 E-mail: marisaharue.eto@hoganlovells.com 
 CNPJ: 14049680000142 
 Razão Social HOGAN LOVELLS CONSULTORES EM DIREITO EST 
 Boa tarde, precisamos tirar uma dúvida referente o preenchimento do formulário econômico, porque recebemos o email anexo.
Preciso de atendimento humanizado. O telefone 4020-9876 tem atendimento somente de máquina.
Poderiam ligar no telefone que mencionei, e falar com Miriam ou Marisa?
Obrigada,</t>
  </si>
  <si>
    <t xml:space="preserve">MARISA  HARUE ETO </t>
  </si>
  <si>
    <t>MARISAETO</t>
  </si>
  <si>
    <t>marisaharue.eto@hoganlovells.com</t>
  </si>
  <si>
    <t xml:space="preserve">14049680000142  HOGAN LOVELLS CONSULTORES EM DIREITO EST </t>
  </si>
  <si>
    <t>INC55183147</t>
  </si>
  <si>
    <t xml:space="preserve">INC55183147 e940abb5-912b-1680-4dc9-278fd59b0e7d
Nome do Contato: Wislaine Pires
CNPJ/Razão Social: 11708685000141
CPF: 16524728785
Telefone: 24974036265
E-mail: atendimento@safetyworld.com.br
Usuário: USR0071009
Oportunidade: 
CHAT BOT - Redefinição de Senha
</t>
  </si>
  <si>
    <t>e940abb5-912b-1680-4dc9-278fd59b0e7d</t>
  </si>
  <si>
    <t>7004526249</t>
  </si>
  <si>
    <t>INC55183103</t>
  </si>
  <si>
    <t xml:space="preserve">Recebimento da senha </t>
  </si>
  <si>
    <t>Nome do Contato: André Ferraz da Silva
Usuário: ANDRE-FERRAZ
E-mail: comercial@delurbambiental.com.br 
Telefone: 21995833355
CNPJ/Razão Social: 24219106000149-DELURB AMBIENTAL LTDA
Fornecedor não recebe a senha provisória no e-mail comercial@delurbambiental.com.br 
Já foi orientado a  cadastrar petronect@petronect.com.br como remetente confiável, verificar se há alguma regra de bloqueio para caracteres especiais no e-mail da empresa, aguardar o prazo de 2 horas e verificar a pasta spam e o lixo eletrônico do e-mail, porém continua sem receber a senha. 
Favor verificar se há alguma falha no envio e anexar o log</t>
  </si>
  <si>
    <t>ANDRE  FERRAZ DA SILVA</t>
  </si>
  <si>
    <t>ANDRE-FERRAZ</t>
  </si>
  <si>
    <t>licitacao@delurbambiental.com.br</t>
  </si>
  <si>
    <t>24219106000149-DELURB AMBIENTAL LTDA</t>
  </si>
  <si>
    <t>INC55183017</t>
  </si>
  <si>
    <t>eCNPJ - Assinatura Digital com Erro</t>
  </si>
  <si>
    <t>Chamado criado pelo área interna do Portal 
 Nome do Contato: ANGELICA NEVES GOMES REBELLO 
 Usuário: USR0070726 
 Telefone: 22 999447443 
 E-mail: angelicarebello@triaengenharia.com.br 
 CNPJ: 26079757000106 
 Razão Social MIRA ENGENHARIA LTDA - ME 
 Prezados.
Ao tentar assinar as duas assinaturas para o e-CNPJ, um deles apresenta erro ao final da tentativa (que leva horas) - a mensagem é falha na conexão dos servidores. Uma das assinaturas correu tudo bem.
Busco a ajuda do suporte para resolver o problema.
Obrigada.
Angélica</t>
  </si>
  <si>
    <t>ANGELICA NEVES GOMES REBELLO</t>
  </si>
  <si>
    <t>angelicarebello@triaengenharia.com.br</t>
  </si>
  <si>
    <t>26079757000106 - MIRA ENGENHARIA LTDA - ME</t>
  </si>
  <si>
    <t>INC55182980</t>
  </si>
  <si>
    <t>Nome do Contato: Alessandro Leonardo de Souza
Usuário: USR0066927
E-mail: comercial@ga.eng.br 
Telefone: 31997884550
CNPJ/Razão Social: 04364015000190 - GA ENGENHARIA ELETRICA LTDA - EPP
Fornecedor solicita desbloqueio do usuário USR0066927</t>
  </si>
  <si>
    <t>VANESSA DA SILVA BARCELOS</t>
  </si>
  <si>
    <t>comercial@ga.eng.br</t>
  </si>
  <si>
    <t>04364015000190 - GA ENGENHARIA ELETRICA LTDA - EPP</t>
  </si>
  <si>
    <t>INC55182918</t>
  </si>
  <si>
    <t>Nome do Contato: Ileine Ribeiro dos Santos
Usuário: EPOWERBAY
E-mail: fernando@epowerbay.com 
Telefone: 11930349445
CNPJ/Razão Social: 34127832000195-SAAS SERVICOS ADMINISTRATIVOS LTDA
Fornecedor solicita desbloqueio do usuário EPOWERBAY</t>
  </si>
  <si>
    <t>FERNANDO  GUARANY HENRIQUE WITZEL</t>
  </si>
  <si>
    <t>EPOWERBAY</t>
  </si>
  <si>
    <t>fernando@epowerbay.com</t>
  </si>
  <si>
    <t>FILIPE SOUSA CONCEICAO</t>
  </si>
  <si>
    <t>FSOUSA323</t>
  </si>
  <si>
    <t>contato@smartsolucoesbr.com</t>
  </si>
  <si>
    <t>31285346000107 - SMART SOLUCOES MADRE LTDA</t>
  </si>
  <si>
    <t>INC55182855</t>
  </si>
  <si>
    <t>INC55182855 +5521996572339
Nome do Contato: celio antonio dias andrade
CNPJ/Razão Social: 01791701000159
CPF: 58461400763
Telefone: 21999766477
E-mail: celio@grupomistermix.com.br
Usuário: MIST.ADM0004
Oportunidade: 
CHAT BOT - Acesso portal cadastro
MIST.ADM0004
Administrador da empresa MISTERMIX DISTRIBUIDORA DE PRODUTOS
21 38698923 celio@grupomistermix.com.br 18.01.2026    Desbloq. (Senha Expirada) 
Prezados(a), fornecedor(a) solicita desbloqueio, atualização de validade e atribuições de perfis de seu usuário: MIST.ADM0004
Prezados, fornecedor solicitou contato telefônico após o desbloqueio para conseguir acessar o portal, pois já vem solicitando o desbloqueio a vários chamados.</t>
  </si>
  <si>
    <t>'+5521996572339</t>
  </si>
  <si>
    <t>Administrador da empresa MISTERMIX DISTRIBUIDORA D</t>
  </si>
  <si>
    <t>celio@grupomistermix.com.br</t>
  </si>
  <si>
    <t>01791701000159 - MISTERMIX DISTRIBUIDORA DE PRODUTOS</t>
  </si>
  <si>
    <t>INC55182571</t>
  </si>
  <si>
    <t>Chamado aberto pela URA
Usuário:URS0067445
CPF:32892861420
Taxnum:06865312000144
E-mail:hiperides.pinheiro@mgo-servicos.com
Seu chamado foi registrado. Estamos lhe transferindo para o atendimento especializado.</t>
  </si>
  <si>
    <t>HIPERIDES PINHEIRO DE ANDRADE</t>
  </si>
  <si>
    <t>hiperides.pinheiro@mgo-servicos.com</t>
  </si>
  <si>
    <t>06865312000144 - M.G.O DE FREITAS EPP</t>
  </si>
  <si>
    <t>INC55182549</t>
  </si>
  <si>
    <t>Nome de contato: Ramuel 
Usuário: RHVENDAS3
Telefone:5551984259848     
E-mail: vendas3@rhmateriaiseletricos.com.br  
CNPJ/Razão social: 05929836000199 
Fornecedor solicita desbloqueio do usuário, o mesmo encontra-se expirado.
11.01.2026 Desbloqueado  vendas3@rhmateriaiseletricos.com.br 
RHVENDAS3
Exibir  
Pedro Henrique</t>
  </si>
  <si>
    <t>Pedro  Henrique</t>
  </si>
  <si>
    <t>RHVENDAS3</t>
  </si>
  <si>
    <t>vendas3@rhmateriaiseletricos.com.br</t>
  </si>
  <si>
    <t>05929836000199</t>
  </si>
  <si>
    <t>INC55182481</t>
  </si>
  <si>
    <t xml:space="preserve">HANA BO: mensagem de erro. </t>
  </si>
  <si>
    <t>Boa tarde!
              Informo que ao acessar o Hana Bo e tentar carregar uma query gravada ou criar uma nova, aparece a mensagem mostrada na figura abaixo:
              Solicito a correção do problema com brevidade, visto que impacta no atendimento de demandas a outras gerências. 
Roberval Ernesto Schiffler Filho
Profissional Petrobras de Nível Superior Master
SUPRIMENTOS/RMF/RFDQ/RM</t>
  </si>
  <si>
    <t>Roberval Ernesto Schiffler Filho</t>
  </si>
  <si>
    <t>ENHF</t>
  </si>
  <si>
    <t>INC55182408</t>
  </si>
  <si>
    <t>Chamado: INC55182408
 Nome do Contato: EVA CAROLYNE GOMES DA SILVA MARTINS
 Usuário: EVAMARTINS23
 Telefone: 22999203131
E-mail: relacionamento@reefertech.com.br
CNPJ / Razão Social: 09529248000119  - REEFERTECH LOCACAO E MANUTENCAO LTDA - E
Fornecedor(a) solicitou auxilio para o desbloqueio de seu usuário que expirou no dia 10/11/2024 e aderi ao perfil de administrador. 
EVAMARTINS23
EVA CAROLYNE GOMES DA SILVA MARTINS
22999203131 10.11.2024    Desbloqueado Exibir  relacionamento@reefertech.com.br</t>
  </si>
  <si>
    <t>EVA CAROLYNE  GOMES DA SILVA MARTINS</t>
  </si>
  <si>
    <t>EVAMARTINS23</t>
  </si>
  <si>
    <t>relacionamento@reefertech.com.br</t>
  </si>
  <si>
    <t>09529248000119  - REEFERTECH LOCACAO E MANUTENCAO LTDA - E</t>
  </si>
  <si>
    <t>INC55182235</t>
  </si>
  <si>
    <t>Nome do Contato: Ana Paula
Usuário: ADMIN.EEW
E-mail: vinicius.lopes@eewbrasil.com.br / chris.legrand@eewbrasil.com.br
Telefone: 21986350092 
CNPJ/Razão Social: 10353184000127 EEW DO BRASIL IMPORTACAO E
Fornecedor solicita desbloqueio do usuário ADMIN.EEW</t>
  </si>
  <si>
    <t>Vinicius Lopes</t>
  </si>
  <si>
    <t>ADMIN.EEW</t>
  </si>
  <si>
    <t>chris.legrand@eewbrasil.com.br</t>
  </si>
  <si>
    <t>10353184000127 EEW DO BRASIL IMPORTACAO E</t>
  </si>
  <si>
    <t>INC55182016</t>
  </si>
  <si>
    <t>Nome do Contato: Ana Paula
Usuário: STELLAMA
E-mail: chris.legrand@lonsal.com 
Telefone: 21986350092 
CNPJ/Razão Social: 05454712000102 LONSAL CONSULTORIA EM VENDAS E MARKETING
Fornecedor solicita desbloqueio do usuário STELLAMA</t>
  </si>
  <si>
    <t>Christopher Ernest Legrand</t>
  </si>
  <si>
    <t>chris.legrand@lonsal.com</t>
  </si>
  <si>
    <t>05454712000102 - LONSAL CONSULTORIA EM VENDAS E MARKETING</t>
  </si>
  <si>
    <t>INC55181809</t>
  </si>
  <si>
    <t xml:space="preserve">INC55181809 +5561994243500
Nome do Contato: Letícia Salgado Bastos Alcantara
CNPJ/Razão Social: 31974592000176
CPF: 02871128103
Telefone: 02871128103
E-mail: assessorialeticiabastos@gmail.com
Usuário: INVITEC
Oportunidade: 
CHAT BOT - Acesso portal cadastro
</t>
  </si>
  <si>
    <t>'+5561994243500</t>
  </si>
  <si>
    <t>Victor LUIZ NEGREIROS DE ALMEIDA</t>
  </si>
  <si>
    <t>INVITEC</t>
  </si>
  <si>
    <t>licitacao@invitec.com.br</t>
  </si>
  <si>
    <t xml:space="preserve">31974592000176 - </t>
  </si>
  <si>
    <t>INC55181405</t>
  </si>
  <si>
    <t>nome de usuario</t>
  </si>
  <si>
    <t>Chamado criado pela área externa do Portal 
 Nome do Contato: EDNILSON CONCEIÇÃO DOS SANTOS 
 Usuário:  
 Telefone: 44999985445 
 E-mail: ecmanutencao@yahoo.com 
 CNPJ: 31687607000115 
 Razão Social  
 boa tarde !!!
Estou a algum tempo sem usar o petronect e nao lembro nome de usuario , gostaria se podem me informar 
                                grato 
                       sem mais</t>
  </si>
  <si>
    <t>Ednilson Santos</t>
  </si>
  <si>
    <t>EDNILSONCS</t>
  </si>
  <si>
    <t>ecsmanutencao@yahoo.com</t>
  </si>
  <si>
    <t>31687607000115 - E C DOS SANTOS MONTAGEM E MANUTENCAO</t>
  </si>
  <si>
    <t>INC55180953</t>
  </si>
  <si>
    <t xml:space="preserve">INC55180953 +5571994080040
Nome do Contato: Manoel Roque Santos Patricio
CNPJ/Razão Social: 03019757000115
CPF: 396.663.445-72
Telefone: 7121046211
E-mail: orgaopubllico@aluguetudo.com
Usuário: TPINELLI
Oportunidade: 
CHAT BOT - Acesso portal cadastro
</t>
  </si>
  <si>
    <t>'+5571994080040</t>
  </si>
  <si>
    <t>THAIS MARA PINELLI DE OLIVEIRA</t>
  </si>
  <si>
    <t>TPINELLI</t>
  </si>
  <si>
    <t>orgaopublico@aluguetudo.com</t>
  </si>
  <si>
    <t>INC55180745</t>
  </si>
  <si>
    <t>Edição de fornecimento de bens e serviços</t>
  </si>
  <si>
    <t>Chamado criado pelo área interna do Portal 
 Nome do Contato: GUSTAVO FERREIRA CARVALHO 
 Usuário: GUCARVALHO 
 Telefone: 19991950985 
 E-mail: gustavo.carvalho@ul.com 
 CNPJ: 02839483000148 
 Razão Social UL DO BRASIL LTDA 
 O cadastro dessa empresa estava inativo por mais de 5 anos e agora estou reativando a lista de serviços fornecidos para a Petrobras. Como muitos dos serviços já não realizamos mais, preciso que todos os serviços que estão cadastrados neste CNPJ 02.839.483/0001-48 sejam apagados e incluindo outros serviços. 
Os serviços/familias a serem incluídos são:
Inspeção de fabricação ( 99006313)
Inspeção de fabricação no exterior ( 99008710 ) [OPER]
Inspeção e manutenção de sistema de proteção contra descargas atmosféricas (SPDA) ( 99007561 ) [OPER]
Treinamento em gestão de pessoas ( 99006082 ) [OPER]
Treinamento em SMS Segurança ( 99006410 ) [CRIT]</t>
  </si>
  <si>
    <t>GUSTAVO FERREIRA CARVALHO</t>
  </si>
  <si>
    <t>GUCARVALHO</t>
  </si>
  <si>
    <t>gustavo.carvalho@ul.com</t>
  </si>
  <si>
    <t>02839483000148 - UL DO BRASIL LTDA</t>
  </si>
  <si>
    <t>INC55180092</t>
  </si>
  <si>
    <t xml:space="preserve">INC55180092 a8549083-de44-6831-836e-8cb09114fbeb
Nome do Contato: Diego Paulino da Silva
CNPJ/Razão Social: 42763751000100
CPF: 09947581977
Telefone: 67998548507
E-mail: eng.agrogeoambiental@gmail.comn
Usuário: DIEGO099
Oportunidade: 
CHAT BOT - Redefinição de Senha
</t>
  </si>
  <si>
    <t>a8549083-de44-6831-836e-8cb09114fbeb</t>
  </si>
  <si>
    <t>DIEGO PAULINO DA SILVA LIMA</t>
  </si>
  <si>
    <t>eng.agrogeoambiental@gmail.com</t>
  </si>
  <si>
    <t xml:space="preserve">42763751000100 - </t>
  </si>
  <si>
    <t>INC55179700</t>
  </si>
  <si>
    <t xml:space="preserve">Criação de usuário </t>
  </si>
  <si>
    <t xml:space="preserve">Nome do Contato: Jose Oliveira de Sá
Usuário: 
Telefone: 21996770938 / 61992311403
E-mail: danielleathyde@yahoo.com.br
CNPJ / Razão Social: 06118979000183
Fornecedor solicita auxilio para acessar portal.
Ao verificar o cadastro encontrasse sem usuário criado, portanto fui orientado a supervisão para solicitar a criação de usuário.
Segue planilha em anexo.
</t>
  </si>
  <si>
    <t>43213776000100 - EMERSON PROCESS MANAGEMENT LTDA</t>
  </si>
  <si>
    <t>INC55179564</t>
  </si>
  <si>
    <t xml:space="preserve">Excluir usuário </t>
  </si>
  <si>
    <t xml:space="preserve">Chamado:  INC55179564
 Nome do Contato: JOSE DE SOUSA
 Usuário: JOSEDESO16
 Telefone: 11 58540195
E-mail: comercial@spatconsult.com.br
CNPJ / Razão Social: 17155715000116  - SPAT CONSULTORIA, TREINAMENTOS &amp; SERVIÇO
Fornecedor(a) solicita auxilio para excluir o usuário SPATCONSULT  ao tentar acessar o portal  com usuário JOSEDESO16 está  dando conflito, por existir dois usuários com o mesmo cpf. Segue o print da tela da fornecedora em anexo.
SPATCONSULT
José de Sousa Silva
1158510868 06.12.2022    Bloq. (Senha Expirada) Exibir  comercial@spatconsult.com.br  
</t>
  </si>
  <si>
    <t>8001440799</t>
  </si>
  <si>
    <t>JOSE  DE SOUSA</t>
  </si>
  <si>
    <t>JOSEDESO16</t>
  </si>
  <si>
    <t>comercial@spatconsult.com.br</t>
  </si>
  <si>
    <t>17155715000116  - SPAT CONSULTORIA, TREINAMENTOS &amp; SERVIÇO</t>
  </si>
  <si>
    <t>INC55179524</t>
  </si>
  <si>
    <t>Não recebimento de código para conclusão de cadastro de fornecedor</t>
  </si>
  <si>
    <t>Chamado criado pela área externa do Portal 
 Nome do Contato: viviane 
 Usuário:  
 Telefone: 11937162901 
 E-mail: ASSESSORIAJURIDICAECONTABILRMJ@GMAIL.COM 
 CNPJ: 41374437000172 
 Razão Social CONSTRITUROA LIMA BASTOS 
 Bom dia,
Realizei meu cadastro no site de fornecedores, porém até o presente momento não consegui concluir a habilitação, uma vez que não recebi o código necessário para a devida finalização do processo.
Desde já, agradeço a atenção e aguardo retorno.
Atenciosamente,
Viviane</t>
  </si>
  <si>
    <t>Viviane Nascimento</t>
  </si>
  <si>
    <t>LIMABASTOS</t>
  </si>
  <si>
    <t>construtoralimabastos@gmail.com</t>
  </si>
  <si>
    <t xml:space="preserve">41374437000172 - </t>
  </si>
  <si>
    <t>INC55179511</t>
  </si>
  <si>
    <t>Nome do Contato: FABRICIO ORLANDI CALMON
Usuário: ADMIN.HF
Telefone: 27- 3228 7969 
E-mail: compras@hfvedacoes.com.br 
CNPJ / Razão Social: 06907527000180
Boa tarde !
Fornecedora solicita o desbloqueio de seu usuário,  para finalizar a identificação de sua empresa. 
Obrigado.</t>
  </si>
  <si>
    <t>Fabrício Calmon</t>
  </si>
  <si>
    <t>compras@hfvedacoes.com.br</t>
  </si>
  <si>
    <t>06907527000180 - HF COMERCIO DE VEDACOES LTDA</t>
  </si>
  <si>
    <t>INC55179362</t>
  </si>
  <si>
    <t>Telefone com atendimento humanizado</t>
  </si>
  <si>
    <t>Chamado criado pelo área interna do Portal 
 Nome do Contato: MARISA HARUE ETO 
 Usuário: MARISAETO 
 Telefone: 11934022194
 E-mail: marisaharue.eto@hoganlovells.com 
 CNPJ: 14049680000142 
 Razão Social HOGAN LOVELLS CONSULTORES EM DIREITO EST 
 Estou tentando falar com alguém da Petrobrás para atendimento humanizado, que não sejá automatizado, mas nesse telefone (4020-9876: Capitais e regiões metropolitanas) não é possível.
Existe outro telefone que eu consiga falar com atendente para tirar dúvidas sobre os emails em anexo?</t>
  </si>
  <si>
    <t>INC55179277</t>
  </si>
  <si>
    <t xml:space="preserve">INC55179277 +5522981460467
Nome do Contato: Jorge Luiz de Jesus
CNPJ/Razão Social: 32607692000127
CPF: 40805905553
Telefone: 71987905032
E-mail: jbinventarioconsultoria@outlook.com
Usuário: JBINVENTARIO
Oportunidade: 
CHAT BOT - Redefinição de Senha
</t>
  </si>
  <si>
    <t>'+5522981460467</t>
  </si>
  <si>
    <t>JORGE LUIZ DE JESUS</t>
  </si>
  <si>
    <t>JBINVENTARIO</t>
  </si>
  <si>
    <t>jbinventarioconsultoria@outlook.com</t>
  </si>
  <si>
    <t>32607692000127 - JB SERVICOS DE INVENTARIO E CONSULTORIA</t>
  </si>
  <si>
    <t>INC55179272</t>
  </si>
  <si>
    <t>Erro Preenchimento</t>
  </si>
  <si>
    <t>Chamado criado pelo área interna do Portal 
 Nome do Contato: MARISA HARUE ETO 
 Usuário: MARISAETO 
 Telefone: 119934022194 
 E-mail: marisaharue.eto@hoganlovells.com 
 CNPJ: 14049680000142 
 Razão Social HOGAN LOVELLS CONSULTORES EM DIREITO EST 
 Recebemos o email anexo indicando erro de preenchimento no questionário econômico. Porém não conseguimos "editar"esse formulário.
Vimos qual foi o erro e queremos revisar e enviar novamente antes do término da análise de vocês. Poderiam abrir o formulário para edição por favor.
Obrigada,</t>
  </si>
  <si>
    <t>INC55178631</t>
  </si>
  <si>
    <t>Nome do Contato: Jemoel Assis de Oliveira
Usuário: JULIOHUNTERS
E-mail: julio.cesar@hunters.com.br 
Telefone: 21997476398
CNPJ/Razão Social: 20400428000139 - CLIM ENGENHARIA LTDA
Fornecedor solicita desbloqueio do usuário JULIOHUNTERS</t>
  </si>
  <si>
    <t>JulioCesar  Bastos</t>
  </si>
  <si>
    <t>JULIOHUNTERS</t>
  </si>
  <si>
    <t>julio.cesar@hunters.com.br</t>
  </si>
  <si>
    <t>20400428000139 - CLIM ENGENHARIA LTDA</t>
  </si>
  <si>
    <t>INC55178557</t>
  </si>
  <si>
    <t>Remoção de pessoa de confiança</t>
  </si>
  <si>
    <t>Oportunidade 7004554844 
 Chamado criado pelo área interna do Portal 
 Nome do Contato: EDUARDA SANTOS DE ALMEIDA 
 Usuário: FAZVENDAS 
 Telefone: (21) 997796625 
 E-mail: fazvenda@gmail.com 
 CNPJ: 46983819000117 
 Razão Social FAZ VENDAS LTDA 
 Consta como ‘detentor de função de confiança’ a pessoa Milton Pinto de Sant Ana, porém essa pessoa nunca integrou o quadro societário, não é nem nunca foi administradora, representante legal ou usuária com poderes da empresa. Solicitamos a remoção/correção do vínculo, pois se trata de erro cadastral no BENs.</t>
  </si>
  <si>
    <t xml:space="preserve">7004554844 </t>
  </si>
  <si>
    <t>EDUARDA  SANTOS DE ALMEIDA</t>
  </si>
  <si>
    <t>FAZVENDAS</t>
  </si>
  <si>
    <t>fazvenda@gmail.com</t>
  </si>
  <si>
    <t>46983819000117 - FAZ VENDAS LTDA</t>
  </si>
  <si>
    <t>EVELYN  ARAGAO CUSTODIO</t>
  </si>
  <si>
    <t>ALPHAOFFS</t>
  </si>
  <si>
    <t>alphacomercios@gmail.com</t>
  </si>
  <si>
    <t>51164617000183 - ALPHA COMERCIO E SERVICOS COMBINADOS LTDA</t>
  </si>
  <si>
    <t>INC55178340</t>
  </si>
  <si>
    <t>SAP / BO - Erro ao tentar gerar relatório, '(Error: RWI 00200) (Error: INF )' - PBINC3867890</t>
  </si>
  <si>
    <t>Usuário entrou em contato relatando erro ao tentar gerar relatório em 'http://bopetronect.petrobras.com.br/BOE/BI'. Mensagem de erro: 
'(Error: RWI 00200) (Error: INF )'
Usuário orientado à acessar as preferências no site e selecionar a opção "HTML" no quadro Visualizar e também no Modificar. O mesmo relata que já está selecionado desta forma.
Chave: EP5I</t>
  </si>
  <si>
    <t>PBINC3867890 | #RITM2640197</t>
  </si>
  <si>
    <t>Paulo Sérgio Higa</t>
  </si>
  <si>
    <t>EP5I</t>
  </si>
  <si>
    <t>INC55178330</t>
  </si>
  <si>
    <t>Chamado aberto pela URA
Usuário:PEREIRASILVA
CPF:04714379801
Taxnum:54800768000179
E-mail:edson.pereira@shockmetais.com.br
Seu chamado foi registrado. Estamos lhe transferindo para o atendimento especializado.</t>
  </si>
  <si>
    <t>EDSON PEREIRA</t>
  </si>
  <si>
    <t>pereirasilva</t>
  </si>
  <si>
    <t>edson.pereira@shockmetais.com.br</t>
  </si>
  <si>
    <t>54800768000179 - SHOCK METAIS NAO FERROSOS LTDA</t>
  </si>
  <si>
    <t>INC55178197</t>
  </si>
  <si>
    <t>cnpj : 03081894000180
empresa: TERRAVIVA CONSULTORIA EM MEIO AMBIENTE E
nome : ADRIAN UMPIERREZ ROMANO
telefone : 079  3249 1006
e-mail : adrian@tviva.com.br
usuario : JDARLANTERRA
expirado desde : 06.12.2022
INC55178197</t>
  </si>
  <si>
    <t>ADRIAN UMPIERREZ ROMANO</t>
  </si>
  <si>
    <t>adrian@tviva.com.br</t>
  </si>
  <si>
    <t>03081894000180 - TERRAVIVA CONSULTORIA EM MEIO AMBIENTE E</t>
  </si>
  <si>
    <t>INC55178061</t>
  </si>
  <si>
    <t>Inclusão do número SAP em fornecedor.</t>
  </si>
  <si>
    <t>Bom dia!!!
Favor incluir o número SAP 10250701 e número BP 3319174 no registro do fornecedor GENERAL LAB SOLUTIONS DO BRASIL LTDA, CNPJ 58636420000149 na Petronect. 
Roberval Ernesto Schiffler Filho
Profissional Petrobras de Nível Superior Master
SUPRIMENTOS/RMF/RFDQ/RM</t>
  </si>
  <si>
    <t>Serviços//Cadastro na Petrobras//Registro//Registro de Usuário//Cadastro de código R3 (P4)</t>
  </si>
  <si>
    <t>INC55177809</t>
  </si>
  <si>
    <t>CADASTRO FAMILIA 99006105</t>
  </si>
  <si>
    <t>Chamado criado pelo área interna do Portal 
 Nome do Contato: JOAO PEDRO TONON PATROCINIO 
 Usuário: JOAO.ACE 
 Telefone: 15991276402 
 E-mail: jtpatrocinio@schmersal.com.br 
 CNPJ: 61854147000133 
 Razão Social ACE SCHMERSAL ELETROELETRONICA INDUSTRIA 
 ESTAMOS DESDE DEZEMBRO AGUARDANDO A VERIFICAÇÃO DOS FORMULARIOS PELA PETROBRÁS E ATÉ HOJE NÃO TIVEMOS UM RETORNO. SEGUE EM ANEXO A SITUAÇÃO DO CADASTRO</t>
  </si>
  <si>
    <t>JOAO PEDRO TONON PATROCINIO</t>
  </si>
  <si>
    <t>JOAO.ACE</t>
  </si>
  <si>
    <t>jtpatrocinio@schmersal.com.br</t>
  </si>
  <si>
    <t>61854147000133 - ACE SCHMERSAL ELETROELETRONICA INDUSTRIA</t>
  </si>
  <si>
    <t>INC55177736</t>
  </si>
  <si>
    <t>Erro 500 na tentativa de cadastro na Petronect</t>
  </si>
  <si>
    <t>Chamado criado pela área externa do Portal 
 Nome do Contato: Noel Ferreira 
 Usuário:  
 Telefone: 21 98445
 E-mail: noel.ferreira.com 
 CNPJ: 
 Razão Social  
 Exibe erro abaixo  a tela em anexo:
"  Olá!
There was an unexpected system exception that has stopped us to finish the action. Soon we will be back.
We ask you to update your webpage, clean the cache and the cookies of your browser, or access another link on the system screen so that we may return on our activities. 
We recommend that your work is periodically saved, even though you have some time to be connected.
In case of questions, we are available into our service channels.
Best regards,
Petronect Team.
Erro 500 Erro interno do servidor (Internal Server Error)"</t>
  </si>
  <si>
    <t>INC55177600</t>
  </si>
  <si>
    <t>Erro no preenchimento do formulário econômico</t>
  </si>
  <si>
    <t>Chamado criado pelo área interna do Portal 
 Nome do Contato: MARISA HARUE ETO 
 Usuário: MARISAETO 
 Telefone: 119934022194 
 E-mail: marisaharue.eto@hoganlovells.com 
 CNPJ: 14049680000142 
 Razão Social HOGAN LOVELLS CONSULTORES EM DIREITO EST 
 Recebi o email anexo.
Mas não consigo editar o formulário mais, quando faço login.
Outra dúvida, o formulário aceita número negativo (-)?</t>
  </si>
  <si>
    <t>Nome do Contato: EVANCLEY SANTOS DE MELO
Usuário: EVANCLEY
E-mail: dmelodedetizacao@gmail.com 
Telefone: 97981277885 / (92) 981960692 
CNPJ/Razão Social: 26738897000149 EVANCLEY S. DE MELO-ME
Fornecedor solicita desbloqueio do usuário EVANCLEY</t>
  </si>
  <si>
    <t>INC55177421</t>
  </si>
  <si>
    <t xml:space="preserve">Verificação de Usuario </t>
  </si>
  <si>
    <t xml:space="preserve">Nome do Contato: PATRICK FREITAS FONTOURA
Usuário: PAT.PACK
Telefone: 71 98868-1316 
E-mail: patrick@packengenharia.com.br 
CNPJ / Razão Social: 09507753000162
Fornecedor solicita auxilio para atualizar seus dados cadastrais, pois ao acessar contra a seguinte notificação "Bloqueio de Acesso", onde esta indisponível o acesso a outras aba de navegação.
Porem ao verificar no sistema não contas bloqueio de usuário mas o mesmo esta saem as funções atribuídas.
 </t>
  </si>
  <si>
    <t>PATRICK  FREITAS FONTOURA</t>
  </si>
  <si>
    <t>PAT.PACK</t>
  </si>
  <si>
    <t>patrick@packengenharia.com.br</t>
  </si>
  <si>
    <t>09507753000162 - PACK EMPREENDIMENTOS LTDA</t>
  </si>
  <si>
    <t>INC55177396</t>
  </si>
  <si>
    <t>Validação de ecnpj e preenchimento de cadastro</t>
  </si>
  <si>
    <t>CHAMADO:INC55177396
CNPJ/RAZÃO SOCIAL: 24330439000140 - BRASGUAY SOLUÇÕES ANTICORROSIVAS LTDA.
NOME: LUIS EDUARDO URBAN LOPEZ
USUARIO: CHICHE1957
EMAIL:urban@zindnbrasil.com.br
Tel.:  011 966481441
TEL:21 97158-3291/ (11) 96648-1441
OPORTUNIDADE:
Sr(a) Xâna Braz solicita auxilio para validação de ecnpj e preenchimento de cadastro.</t>
  </si>
  <si>
    <t>INC55177307</t>
  </si>
  <si>
    <t xml:space="preserve">Evento </t>
  </si>
  <si>
    <t xml:space="preserve">Chamado: INC55177307
 Nome do Contato: REINALDO MARTINS DELGADO
 Usuário: A.TLLSULT
 Telefone: 011 2106-5120 
E-mail: apoio.comercial@makeone.com.br
CNPJ / Razão Social: 57229601000198  - TELESUL TELECOMUNICACOES LTDA
Fornecedor(a) entrou em contato para informar que não chegou o link do evento agendado, a mesma foi orientada aguarda, se não chegar a mesma foi orientada a realizar um novo agendamento.
Atenciosamente,
Equipe Petronect
</t>
  </si>
  <si>
    <t>REINALDO MARTINS DELGADO</t>
  </si>
  <si>
    <t>A.TLLSULT</t>
  </si>
  <si>
    <t>apoio.comercial@makeone.com.br</t>
  </si>
  <si>
    <t>57229601000198 - TELESUL TELECOMUNICACOES LTDA</t>
  </si>
  <si>
    <t>INC55177221</t>
  </si>
  <si>
    <t>INC55177221 +5584981780547
Nome do Contato: Francisco Moises Freitas da costa
CNPJ/Razão Social: 34094070000178
CPF: 06061741413
Telefone: 84999908831
E-mail: moises@ismengineering.com.br
Usuário: ISMENGEMEC
Oportunidade: 
CHAT BOT - Acesso portal cadastro
ISMENGEMEC
FRANCISCO MOISES FREITAS DA COSTA
84999908831 moises@ismengineering.com.br 08.06.2025    Desbloq. (Senha Expirada)
Prezados(a), fornecedor(a) solicita desbloqueio, atualização de validade e atribuições de perfis de seu usuário: ISMENGEMEC</t>
  </si>
  <si>
    <t xml:space="preserve"> MARESTELA  LOSS</t>
  </si>
  <si>
    <t>THAIS12</t>
  </si>
  <si>
    <t>comercial@gruposei.com.br</t>
  </si>
  <si>
    <t>10392232000196 - SEI VIGILANCIA E SEGURANCA LTDA</t>
  </si>
  <si>
    <t>INC55177174</t>
  </si>
  <si>
    <t>Cadastro Bloqueado</t>
  </si>
  <si>
    <t>Chamado criado pela área externa do Portal 
 Nome do Contato: Eder Barbosa 
 Usuário: LUITEXMG 
 Telefone: 19 38119090 
 E-mail: eder@luitex.com.br 
 CNPJ: 51051811000403 
 Razão Social LUITEX MAQUINAS E FERRAMENTAS 
 Bom dia, meu cadastro esta bloqueado, como faço para desbloquear?</t>
  </si>
  <si>
    <t>EDER CESAR LEME BARBOSA</t>
  </si>
  <si>
    <t>LUITEXMG</t>
  </si>
  <si>
    <t>eder@luitex.com.br</t>
  </si>
  <si>
    <t>51051811000403 - LUITEX MAQUINAS E FERRAMENTAS LTDA</t>
  </si>
  <si>
    <t>INC55177103</t>
  </si>
  <si>
    <t>Reset de senha</t>
  </si>
  <si>
    <t>Chamado criado pela área externa do Portal 
 Nome do Contato: Marcelo Martins Gomes 
 Usuário:  
 Telefone: 21993196249 
 E-mail: marcelo.mgomes@petrobras.com.br 
 CNPJ:  
 Razão Social  
 Não recebo o e-mail de reset de senha do e-Form 2.0 mo meu e-mail "marcelo.mgomes@petrobras.com.br"</t>
  </si>
  <si>
    <t>INC55176806</t>
  </si>
  <si>
    <t>Erro preenchimento</t>
  </si>
  <si>
    <t>Chamado criado pelo área interna do Portal 
 Nome do Contato: MARISA HARUE ETO 
 Usuário: MARISAETO 
 Telefone: 11934022194 
 E-mail: marisaharue.eto@hoganlovells.com 
 CNPJ: 14049680000142 
 Razão Social HOGAN LOVELLS CONSULTORES EM DIREITO EST 
 Recebemos a mensagem automática anexa, confirmando erro no preenchimento do formulário. Mas eu entrei no cadastro e não consigo "Editar" mais o formulário.
Outra questão, o formulário aceita número negativo (-)?
Porque o "Passivo" é negativo, e o ativo é positivo.</t>
  </si>
  <si>
    <t>Serviços//Cadastro na Petrobras//Sugestão e Elogio//Portal Petronect//Questionários</t>
  </si>
  <si>
    <t>INC55176613</t>
  </si>
  <si>
    <t>CHAT BOT - Relatório de Notas e Comentários</t>
  </si>
  <si>
    <t xml:space="preserve">INC55176613 +5521983290354
Nome do Contato: Altair Jose de Oliveira Terra
CNPJ/Razão Social: 74187840000141
CPF: 88910881704
Telefone: 2126562674
E-mail: altairterra@edengases.com.br
Usuário: ALTAIRT
Oportunidade: 
CHAT BOT - Relatório de Notas e Comentários
</t>
  </si>
  <si>
    <t>'+5521983290354</t>
  </si>
  <si>
    <t>Incidentes//Cadastro na Petrobras//Suporte//Resultados//Relatório de Notas e Comentários</t>
  </si>
  <si>
    <t>Relatório de Notas e Comentários</t>
  </si>
  <si>
    <t>ALTAIR JOSE DE OLIVEIRA TERRA</t>
  </si>
  <si>
    <t>ALTAIRT</t>
  </si>
  <si>
    <t>altairterra@edengases.com.br</t>
  </si>
  <si>
    <t>74187840000141 - EDEN GASES E SOLDAS LTDA - EPP</t>
  </si>
  <si>
    <t>INC55176473</t>
  </si>
  <si>
    <t>validação com e-cnpj</t>
  </si>
  <si>
    <t xml:space="preserve">nome do Contato:Geoavana    
Usuário: BERGAMO  
Telefone:41 3045-2292    
E-mail:vendas1@gminfo.com.br        
CNPJ / Razão Social:11195926000104 BERGAMO &amp; CAVALCANTE INFORMATICA LTDA
Aquisição de Microcomputadores. 7004550167 DFINRI-SUPRIMENTOS Ativo Licitação Púb. Item 08.01.2026 17:00:00 19.01.2026 17:00:00
Prezados, sua solicitação será encerrada e o tratamento será redirecionado, conforme manifestação 8001440745 </t>
  </si>
  <si>
    <t>7004550167</t>
  </si>
  <si>
    <t>BRUMA HOPPE</t>
  </si>
  <si>
    <t>vendas1@gminfo.com.br</t>
  </si>
  <si>
    <t>11195926000104 - BERGAMO &amp; CAVALCANTE INFORMATICA LTDA</t>
  </si>
  <si>
    <t>INC55176423</t>
  </si>
  <si>
    <t>Contato do avaliador do critério economico - ENTENDIMENTO DO CALCULO NCG</t>
  </si>
  <si>
    <t>Oportunidade 7004488812 
 Chamado criado pelo área interna do Portal 
 Nome do Contato: MARESTELA LOSS 
 Usuário: THAIS12 
 Telefone: (27) 99989-1976 
 E-mail: comercial@gruposei.com.br 
 CNPJ: 10392232000196 
 Razão Social SEI VIGILANCIA E SEGURANCA LTDA 
 Prezados, bom dia.
Considerando o prazo de resposta da oportunidade nº 7004488812, até o dia 20/01/2026, referente à habilitação do Lote 02, solicitamos com a máxima urgência o contato do avaliador/área contábil responsável pelo critério econômico, para entendimento do cálculo do NCG.
Para facilitar a comunicação, seguem os contatos:
• Marestela Loss – Representante – Tel.: 27 99989-1976
• Gilson Campos – Contador – Tel.: 27 99817-3357
Permanecemos à disposição para quaisquer esclarecimentos necessários.</t>
  </si>
  <si>
    <t>INC55176231</t>
  </si>
  <si>
    <t>Como atualizar o CRC?</t>
  </si>
  <si>
    <t>Oportunidade CRC 
 Chamado criado pelo área interna do Portal 
 Nome do Contato: ADRIANA SILVA DE ALMEIDA NOVAIS 
 Usuário: ADRINOVAIS 
 Telefone: 11995649186 
 E-mail: qualidade@starkengroup.com.br 
 CNPJ: 30478942000140 
 Razão Social STARKEN INDUSTRIA COMÉRCIO, IMPORTAÇÃO E 
 Bom dia,
Nosso Certificado de Registro Cadastral vence em 10/02/2026, poderia me ajudar com o procedimento de como atualizar esse documento?
Grata</t>
  </si>
  <si>
    <t>RAFAEL FERREIRA VERGA</t>
  </si>
  <si>
    <t>qualidade@starkengroup.com.br</t>
  </si>
  <si>
    <t>30478942000140 STARKEN INDUSTRIA COMÉRCIO, IMPORTAÇÃO E</t>
  </si>
  <si>
    <t>santanaesilvaengenharia@gmail.com</t>
  </si>
  <si>
    <t>57964417000191 - SANTANA E SILVA PROJETO E CONSTRUCAO LTD</t>
  </si>
  <si>
    <t>INC55176155</t>
  </si>
  <si>
    <t>nome do Contato: Rayane  
Usuário:DISPEX005372
Telefone: 18 21025500   
E-mail: licitacao@liderbalancas.com.br       
CNPJ / Razão Social:46686119000160 MARCOS RIBEIRO E CIA LTDA
7004515693 DFINRI-SUPRIMENTOS Fechado Licitação Púb. Total 06.10.2025 10:00:00 27.10.2025 12:00:00
Fornecedor(a) entrou em contato solicitando auxilio para pagar taxa de acesso,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t>
  </si>
  <si>
    <t>7004515693</t>
  </si>
  <si>
    <t>MARCOS  RIBEIRO</t>
  </si>
  <si>
    <t>licitacao@liderbalancas.com.br</t>
  </si>
  <si>
    <t>46686119000160 MARCOS RIBEIRO E CIA LTDA</t>
  </si>
  <si>
    <t>INC55167105</t>
  </si>
  <si>
    <t>SOLICITAÇÃO DE CRC</t>
  </si>
  <si>
    <t>Oportunidade CRC 
 Chamado criado pelo área interna do Portal 
 Nome do Contato: JOAO PEDRO BEZERRA DANTAS DE FARIAS 
 Usuário: USR0070873 
 Telefone: 82 9 9633-2180 
 E-mail: marecconstrucoes@gmail.com 
 CNPJ: 13873535000119 
 Razão Social MAREC CONSTRUCOES, INCORPORACOES E EMPRE 
 SOLICITO CRC DA EMPRESA CADASTRADA, NÃO ESTOU CONSEGUINDO ATRAVES DO PORTAL, COMO PROCEDER?</t>
  </si>
  <si>
    <t>INC55167095</t>
  </si>
  <si>
    <t>Bloqueio por inatividade</t>
  </si>
  <si>
    <t>Chamado criado pela área externa do Portal 
 Nome do Contato: Evelyn 
 Usuário: ALPHAOFFS 
 Telefone: 21979882952 
 E-mail: alphacomercios@gmail.com 
 CNPJ: 51164617000183 
 Razão Social ALPHA COMERCIO E SERVIÇOS COMBINADOS 
 Prezados,
Solicito desbloqueio do meu usuário, acredito que tenha ocorrido o bloqueio por inatividade.
Atenciosamente,
Alpha Comercios</t>
  </si>
  <si>
    <t>INC55144144</t>
  </si>
  <si>
    <t>Inclusão de Familia no Cadastro</t>
  </si>
  <si>
    <t>Chamado criado pelo área interna do Portal 
 Nome do Contato: FILIPE SOUSA CONCEICAO 
 Usuário: FSOUSA323 
 Telefone: 71 993373211 
 E-mail: contato@smartsolucoesbr.com 
 CNPJ: 31285346000107 
 Razão Social SMART SOLUCOES MADRE LTDA 
 Prezados, gostaria de solicitar a inclusão da familia 99006311 no meu CRC, visto que é uma atividade que nossa empresa já pratica.
Agradecemos desde já.</t>
  </si>
  <si>
    <t>INC55133352</t>
  </si>
  <si>
    <t>Minha conta foi gerada automaticamente</t>
  </si>
  <si>
    <t>Chamado criado pelo área interna do Portal 
 Nome do Contato: JOAO RUBENS COSTA FONSECA 
 Usuário: JOAORUBEN11 
 Telefone: 35984384070 
 E-mail: joao@hacktown.com.br 
 CNPJ: 28197862000175 
 Razão Social HACKERS PRODUTORA DE EVENTOS LTDA 
 Olá pessoal, espero que estejam bem. 
REcebi um email automatico sobre a geração da minha conta, porém não identifico se foi por alguma contratção aprovada e não sei onde encontrar mais informações. 
Se puderem me ajudar, eu agradeço. : )</t>
  </si>
  <si>
    <t xml:space="preserve"> JOAO  RUBENS COSTA FONSECA </t>
  </si>
  <si>
    <t xml:space="preserve"> JOAORUBEN11 </t>
  </si>
  <si>
    <t>joao@hacktown.com.br</t>
  </si>
  <si>
    <t xml:space="preserve">28197862000175 HACKERS PRODUTORA DE EVENTOS LTDA </t>
  </si>
  <si>
    <t>INC55132702</t>
  </si>
  <si>
    <t>Nome de contato: Lucas Almeida
Usuário:PLACESOLU placesolucoes@placesolucoes.ind.br 12991797119 
CPF:02304213006
Telefone:12991797119
E-mail:placesolucoes@placesolucoes.ind.br
CNPJ/Razão social:57297263000121 PLACE SOLUCOES INDUSTRIAIS E ENGENHARIA LTDA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Por falta de interação o atendimento está sendo finalizado.</t>
  </si>
  <si>
    <t>da80dfd7-9228-4b8f-bb63-d11eedca5f68</t>
  </si>
  <si>
    <t>INC55132611</t>
  </si>
  <si>
    <t xml:space="preserve">Boa tarde, 
Fornecedor (a) solicita Desbloqueio de usuário NATALIAT
NATALIAT
Natalia Martins Tavares
  natalia@shoppingescritorio.com.br 15.09.2023    Bloqueado
Chamado/Prot: INC55132611
Nome : Natalia Martins Tavares
Usuário: NATALIAT
Telefone: 041991889393
E-mail: natalia@shoppingescritorio.com.br
CNPJ: 14423827000112
Razão Social:
</t>
  </si>
  <si>
    <t>Natalia Martins Tavares</t>
  </si>
  <si>
    <t>natalia@shoppingescritorio.com.br</t>
  </si>
  <si>
    <t xml:space="preserve">14423827000112 - </t>
  </si>
  <si>
    <t>INC55132428</t>
  </si>
  <si>
    <t>Nome de contato:Aloma Sant Anna Miranda
Usuário:LUIZMOMBAK luiz@mombak.com +5548996375682 
CPF:12457190762
Telefone:11970912516
E-mail:Aloma@mombak.com
CNPJ/Razão social:42.886.319/0001-06 MOMBAK GESTORA DE RECURSOS LTDA
7004526249 DFINRI-SUPRIMENTOS Fechado LP DFP Não-Int Lote 10.11.2025 15:15:00 09.01.2026 17:00:00
Fornecedor(a) entrou em contato solicitando auxilio para Verificar o resultado da Oportunidade 7004526249 , orientado(a):
Informamos que somente terá acesso ao resultado de divulgação através da área interna fornecedores que apresentaram suas propostas.
Em casos de dúvidas e/ou não disponibilização, orientamos o contato diretamente com o comprador da oportunidade, através da sala de colaboração.
Segue passo a passo para visualização dos relatórios :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Também é possível localizar a oportunidade através da área externa, basta inserir sua numeração no campo "pesquisar", após localizar, clicar em seu respectivo número, após no botão "histórico".
Informamos que oportunidades do tipo dispensa não geram relatórios de classificação/divulgação.
Neste caso, apenas quando o pedido é criado e encaminhado para a Petronect
Por falta de interação o atendimento está sendo finalizado.</t>
  </si>
  <si>
    <t>LUIZ JOSE DA SILVA BARROS FILHO</t>
  </si>
  <si>
    <t>LUIZMOMBAK</t>
  </si>
  <si>
    <t>luiz@mombak.com</t>
  </si>
  <si>
    <t xml:space="preserve">42886319000106 - </t>
  </si>
  <si>
    <t>INC55132287</t>
  </si>
  <si>
    <t>Reativação / Desistência de Cadastro</t>
  </si>
  <si>
    <t xml:space="preserve">
Sua solicitação será encerrada e o tratamento será redirecionado para área responsável através do protocolo 8001440712.</t>
  </si>
  <si>
    <t>HILDA  VICTORIA DERNYS CARRASCO CHIARETTO</t>
  </si>
  <si>
    <t>hilda.victoria@zenite.com.br</t>
  </si>
  <si>
    <t>08598186000134 - EDITORA CASA 10 LTDA</t>
  </si>
  <si>
    <t>INC55132283</t>
  </si>
  <si>
    <t xml:space="preserve"> Solicitação de Desbloqueio: 15600000000108</t>
  </si>
  <si>
    <t>Prezados, boa Tarde!
Recebi um e-mail da empresa DISBATE DIST SERGIPANA DE BATERIAS , CNPJ:15600000000108 , solicitando criação de usuário administrador, porém ao buscar aparece a informação que a empresa está com status "Bloqueado".
Peço apoio da Equipe!
Atenciosamente,
Rogerio Mayer.</t>
  </si>
  <si>
    <t>Rogério Machado Mayer</t>
  </si>
  <si>
    <t>BE6Y</t>
  </si>
  <si>
    <t>INC55132058</t>
  </si>
  <si>
    <t>ENC: Erro senha de acesso</t>
  </si>
  <si>
    <t>Razão Social: OT Brazil Ltda. 
CNPJ: 61680511000196
Nome do contato: Artur Barbosa.
Telefone: (21) 98340-2971 
E-mail: artb@odfjelltechnology.com
Usuário: OTBRASIL2
Ontem, em reunião presencial no EDISEN, tratei do desbloqueio do meu usuário OTBRASIL2. A redefinição de senha foi concluída com sucesso, porém sigo sem conseguir acessar o sistema. Testei em diferentes navegadores e realizei várias tentativas, sem êxito.
Poderiam, por gentileza, verificar o status do meu usuário e apoiar na regularização do acesso?</t>
  </si>
  <si>
    <t>ARTUR  DOS SANTOS BARBOSA</t>
  </si>
  <si>
    <t>OTBRAZIL2</t>
  </si>
  <si>
    <t>artb@odfjelltechnology.com</t>
  </si>
  <si>
    <t xml:space="preserve"> 61680511000196-OT BRAZIL LTDA</t>
  </si>
  <si>
    <t>INC55131978</t>
  </si>
  <si>
    <t>Boa tarde @relacionamento.cadastro,
Segue para correção o caso abaixo referente a um erro na senha de acesso do fornecedor OT Brazil Ltda. (CNPJ: 61.680.511/0001-96) 
Letícia Linhares
Gestão de Cadastro de Fornecedores 
Suprimentos 
________________________________________________________________________________________________________________
Bom dia, equipe de atendimento,
Ontem, em reunião presencial no EDISEN, tratei do desbloqueio do meu usuário OTBRASIL2. A redefinição de senha foi concluída com sucesso, porém sigo sem conseguir acessar o sistema.Testei em diferentes navegadores e realizei várias tentativas, sem êxito.
Poderiam, por gentileza, verificar o status do meu usuário e apoiar na regularização do acesso? 
Kind regards,
Artur Barbosa
Sales &amp; Tender Manager - Brazil | Odfjell Technology
+55 21 98340-2971 | artb@odfjelltechnology.com</t>
  </si>
  <si>
    <t>INC55131845</t>
  </si>
  <si>
    <t>Revalidação de Usuario</t>
  </si>
  <si>
    <t>Nome do Contato: EDILSON FERREIRADASILVA
Usuário: 14253678
Telefone: 556235678755
E-mail: edilsoncombate@hotmail.com 
CNPJ / Razão Social: 05278470000135
Boa tarde !
Fornecedora solicita o desbloqueio de seu usuário,  para atualizar os dados cadastrais 
Obrigado.</t>
  </si>
  <si>
    <t>INC55131771</t>
  </si>
  <si>
    <t>Acesso ao Portal Petronect</t>
  </si>
  <si>
    <t xml:space="preserve">Nome do Contato: MARCELO
Usuário:  JNDE.ADM
Telefone:27-997640483
E-mail:contato@jndedetizacao.com.br
CNPJ / Razão Social: 06209700000177 JN DEDETIZACAO LTDA
Oportunidade:
Descrição do problema: Segue o resumo do atendimento: 
Fornecedor solicita ajuda para trocar a senha. Orientado em linha o passo a passo: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t>
  </si>
  <si>
    <t>MARCELO HENRIQUE  RABELLO QUEIROZ</t>
  </si>
  <si>
    <t>JNDE.ADM</t>
  </si>
  <si>
    <t>contato@jndedetizacao.com.br</t>
  </si>
  <si>
    <t>06209700000177 - JN DEDETIZACAO LTDA - ME</t>
  </si>
  <si>
    <t>INC55131712</t>
  </si>
  <si>
    <t>taca de acesso</t>
  </si>
  <si>
    <t>Nome de contato: Adriana
Usuário: USR0070136 salesadminmpbrazil@valid.com 11 93391-5330 
CPF:295.513.538-03
Telefone:11998663853
E-mail:salesadminmpbrazil@valid.com
CNPJ/Razão social:33.113.309-0001-47 VALID SOLUCOES S A
CPSI Contratação de serviços técnicos... 7004544492 DFINRI-SUPRIMENTOS Ativo LP DFP Total 29.12.2025 17:00:00 26.01.2026 17:00:00
Fornecedor(a) entrou em contato solicitando auxilio para gerar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t>
  </si>
  <si>
    <t>71f98d15-6427-4caa-810c-6d55fce211c2</t>
  </si>
  <si>
    <t>FERNANDO  GIROTO DE LIMA</t>
  </si>
  <si>
    <t>salesadminmpbrazil@valid.com</t>
  </si>
  <si>
    <t>33.113.309-0001-47 VALID SOLUCOES S A</t>
  </si>
  <si>
    <t>INC55131529</t>
  </si>
  <si>
    <t>Nome do Contato: Rafael Fróes Fernandes
Usuário: ANDREAZZEFS
E-mail: andreazzeferreira@gmail.com 
Telefone: 27999066025
CNPJ/Razão Social: 36426981000180
Fornecedor solicita desbloqueio do usuário ANDREAZZEFS</t>
  </si>
  <si>
    <t>ANDREAZZE FERREIRA DA SILVA</t>
  </si>
  <si>
    <t>ANDREAZZEFS</t>
  </si>
  <si>
    <t>andreazzeferreira@gmail.com</t>
  </si>
  <si>
    <t>36426981000180</t>
  </si>
  <si>
    <t>INC55131407</t>
  </si>
  <si>
    <t xml:space="preserve">INC55131138 / INC55131407 +5521996414349
Nome do Contato: José Júnior Loio Alves
CNPJ/Razão Social: 14633752000102
CPF: 09675943750
Telefone: 21996414349
E-mail: vendas.juniorloio@gmail.com
Usuário: 0967594375
Oportunidade: 
CHAT BOT - Quer se cadastrar na Petrobras
</t>
  </si>
  <si>
    <t>INC55131138 / +5521996414349</t>
  </si>
  <si>
    <t>José Júnior Loio Alves</t>
  </si>
  <si>
    <t>vendas.juniorloio@gmail.com</t>
  </si>
  <si>
    <t xml:space="preserve">14633752000102 - </t>
  </si>
  <si>
    <t>INC55131185</t>
  </si>
  <si>
    <t>validar o E-CNPJ</t>
  </si>
  <si>
    <t>7004551150</t>
  </si>
  <si>
    <t>INC55131129</t>
  </si>
  <si>
    <t xml:space="preserve">Questionário </t>
  </si>
  <si>
    <t xml:space="preserve">Chamado: INC55131129
 Nome do Contato: IURI ANDRADE FERRAZ PENA
 Usuário: IURIFERRAZ
 Telefone: 71 30261440
E-mail: iuri.ferraz@gpce.com.br
CNPJ / Razão Social: 05081756000126  - GP CONSULTORIA E ENGENHARIA LTDA
Fornecedor(a) entrou em contato para obter informações do questionário, foi feita a confirmação de segurança. O mesmo foi informado que o critério econômico  encontra-se em analise. Prazo da Petrobrás é de 30 dias podendo antecipar ou prolongar dependendo da demanda. 
Atenciosamente,
Equipe Petronect
</t>
  </si>
  <si>
    <t>IURI ANDRADE FERRAZ PENA</t>
  </si>
  <si>
    <t>IURIFERRAZ</t>
  </si>
  <si>
    <t>iuri.ferraz@gpce.com.br</t>
  </si>
  <si>
    <t>05081756000126 - GP CONSULTORIA E ENGENHARIA LTDA</t>
  </si>
  <si>
    <t>INC55130945</t>
  </si>
  <si>
    <t>INC55130910 +5521988760870
Nome do Contato: Felipe Roberto Pinto Amorim
CNPJ/Razão Social: 19613431000151
CPF: 05640255773
Telefone: 21988760870
E-mail: contato@buffetpaladare.com.br
Usuário: USR0061198
Oportunidade: 
CHAT BOT - Acesso portal cadastro
USR0061198
FELIPE ROBERTO PINTO AMORIM
21-40424017 contato@buffetpaladare.com.br 12.10.2025    Desbloq. (Senha Expirada)
Prezados(a), fornecedor(a) solicita desbloqueio, atualização de validade e atribuições de perfis de seu usuário: USR0061198</t>
  </si>
  <si>
    <t>'+5521988760870</t>
  </si>
  <si>
    <t>INC55130106</t>
  </si>
  <si>
    <t>INC55130106 +5548991178004
Nome do Contato: Richard Costa
CNPJ/Razão Social: 06317181000160 / 79890224000176
CPF: 04957081948
Telefone: 48991178004
E-mail: licitacoesecoplastik@gmail.com
Usuário: BRUN.EMPLASU
Oportunidade: 7004550169
CHAT BOT - Acesso portal cadastro
Aquisição de Dispositivos para armaze... 7004550169 Petróleo Brasileiro S. A. DFINRI-SUPRIMENTOS Ativo Pregão Integ ITEM 09.01.2026 17:00:00 23.01.2026 12:00:00 Sim</t>
  </si>
  <si>
    <t>'+5548991178004 / 7004550169</t>
  </si>
  <si>
    <t>INC55129638</t>
  </si>
  <si>
    <t>INC55129638 +5571988503347
Nome do Contato: mardem moura
CNPJ/Razão Social: 07188943000139 / 17878280000138
CPF: 02194693505
Telefone: 71988503347
E-mail: financeirodepau@terra.com.br
Usuário: DEPAUMAD
Oportunidade: 
CHAT BOT - Acesso portal cadastro
DEPAUMAD
DENISE DE JESUS SILVA
71 34917101 financeirodepau@terra.com.br 16.09.2023    Bloqueado
ARILEIDE
ARILEIDE DA SILVA
75991465134 depau_madeireira@hotmail.com 15.09.2023    Bloqueado 
CNPJ: 17878280000138
PRISMASERV
ROSIMEIRE DOS SANTOS
71 34822674 / 986716470 prisma.serv.construcoes@gmail.com 16.09.2023    Bloqueado</t>
  </si>
  <si>
    <t>'+5571988503347</t>
  </si>
  <si>
    <t>DENISE DE JESUS SILVA</t>
  </si>
  <si>
    <t>DEPAUMAD</t>
  </si>
  <si>
    <t>financeirodepau@terra.com.br</t>
  </si>
  <si>
    <t xml:space="preserve">07188943000139 - </t>
  </si>
  <si>
    <t>INC55129583</t>
  </si>
  <si>
    <t>Nome do Contato: Patricia rodrigues
Usuário: USR0059566
Telefone: 41 2109-8606 
E-mail: hilda.victoria@zenite.com.br 
CNPJ / Razão Social: 08598186000134
Fornecedor entrou em contato pedindo os desbloqueio do usuário USR0059566
USR0059566
HILDA VICTORIA DERNYS CARRASCO CHIARETTO
41 2109-8606 hilda.victoria@zenite.com.br</t>
  </si>
  <si>
    <t>Incidentes//SAP Ariba Sourcing//Petronect//Acesso e usuários//Desbloqueio</t>
  </si>
  <si>
    <t>INC55129401</t>
  </si>
  <si>
    <t xml:space="preserve">INC55129401 +5527999455021
Nome do Contato: Fabio Caiado Costa dos Santos
CNPJ/Razão Social: 37456410000151
CPF: 07558760755
Telefone: 27999227441
E-mail: pabra38@gmail.com
Usuário: FABIO241217
Oportunidade: 
CHAT BOT - Dados Básicos
</t>
  </si>
  <si>
    <t>'+5527999455021</t>
  </si>
  <si>
    <t>FABIO CAIADO COSTA DOS SANTOS</t>
  </si>
  <si>
    <t>FABIO241217</t>
  </si>
  <si>
    <t>pabra38@gmail.com</t>
  </si>
  <si>
    <t>37456410000151 - ALL SERV COMÉRCIO E SERVIÇOS LTDA</t>
  </si>
  <si>
    <t>INC55129345</t>
  </si>
  <si>
    <t>E-CNPJ</t>
  </si>
  <si>
    <t xml:space="preserve">Chamado: INC55129345
Fornecedor(a) entrou em contato querendo realizar a validação do e-cnpj, porém o mesmo não tem cadastro no portal, o mesmo foi orientado pelo atendimento. 
Atenciosamente,
Equipe Petronect
</t>
  </si>
  <si>
    <t>INC55129342</t>
  </si>
  <si>
    <t xml:space="preserve">ORIENTAÇÃO CHAMADO 8001440244 // 62.584.757/0001-27 // ERGON DISTRIBUICAO E SOLUCOES COMERCIAIS </t>
  </si>
  <si>
    <t>CNPJ:62.584.757/0001-27 
Razão Social: ERGON DISTRIBUICAO E SOLUCOES COMERCIAIS 
____________________________________________________
Bom dia!
Conforme relato e evidências abaixo, solicito análise e correção do caso.
Obrigada!´
Atenciosamente, 
Leticia Juvêncio dos Santos Alexandre
Tel. Corporativo: 061 99326-5200
_______________________________________________________________________
Letícia, 
Solicito orientação para o chamado  8001440244 
Fornecedor entra em contato pelo 0800 informando que não consegue visualizar seu Resultado de Avaliação no portal, aparece mensagem "DADOS INEXISTENTES".  
Realizando pesquisas de sua família no Relatórios e notas, as famílias não aparecem ,  porém ele possui famílias cadastradas  (Conforme Prints abaixo)
Não há famílias no relatórios e notas
Há um processo  aberto AMPLIAÇÃO  na etapa 2 feita por vídeo atendimento  critério revenda  contendo mais que 5 famílias  (fora do padrão).
Att. Rogerio Mayer</t>
  </si>
  <si>
    <t>Incidentes//Cadastro na Petrobras//Suporte//Processos, Avaliação e Resultados//Relatório de Notas</t>
  </si>
  <si>
    <t>Relatório de Notas</t>
  </si>
  <si>
    <t>Letícia Juvencio dos Santos Alexandre</t>
  </si>
  <si>
    <t>AFNV</t>
  </si>
  <si>
    <t>INC55129309</t>
  </si>
  <si>
    <t>cnpj : 86781069000115
empresa : ZENITE INFORMACAO E CONSULTORIA S/A
nome: ALEXANDRA MELEK LORENZETTI
telefone : (41)21098660
e-mail: alexandra.melek@zenite.com.br
usuario : USR0059567AL
expirado desde : 08.10.2023 
INC55129309</t>
  </si>
  <si>
    <t>alexandra melek</t>
  </si>
  <si>
    <t>alexandra.melek@zenite.com.br</t>
  </si>
  <si>
    <t>INC55129293</t>
  </si>
  <si>
    <t xml:space="preserve">INC55129293 +5527999995066
Nome do Contato: Gabriela Zotteli Bittencourt Macena
CNPJ/Razão Social: 22089653000121
CPF: 05813154728
Telefone: 27999995066
E-mail: gabriela@aguadecoco4estacoes.com.br
Usuário: 4ESTACOES
Oportunidade: 
CHAT BOT - Redefinição de Senha
</t>
  </si>
  <si>
    <t>'+5527999995066</t>
  </si>
  <si>
    <t>GABRIELA ZOTTELI BITTENCOURT MACENA</t>
  </si>
  <si>
    <t>4ESTACOES</t>
  </si>
  <si>
    <t>gabriela@aguadecoco4estacoes.com.br</t>
  </si>
  <si>
    <t>22089653000121 - AGUA DE COCO MACENA LTDA - ME</t>
  </si>
  <si>
    <t>INC55129046</t>
  </si>
  <si>
    <t xml:space="preserve">Ampliação de fornecimento </t>
  </si>
  <si>
    <t xml:space="preserve">Chamado: INC55129046
 Nome do Contato: JOSE POLANSKI RODRIGUES
 Usuário: POLANSKI
 Telefone: -
E-mail: jose.polanski@jomaga.com.br
CNPJ / Razão Social: 04606250000120  - JOMAGA PARTICIPACOES LTDA
Oportunidade: 7004535185
Serviços de sondagem para perfuração... 7004535185 DFINRI-SUPRIMENTOS Ativo LP DFP Não-Int Total 27.11.2025 11:00:00 06.02.2026 12:00:00
Fornecedor(a) entrou em contato para informar que quer participar de uma oportunidade , porém a família que solicita não consta no crc dele. O mesmo foi orientado a verificar na linha de fornecimento. Porém não tem a família desejada, o mesmo foi orientada a realizar a ampliação da família no passo a passo pelo atendimento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Atenciosamente,
Equipe Petronect
</t>
  </si>
  <si>
    <t>7004535185</t>
  </si>
  <si>
    <t>Incidentes//Cadastro na Petrobras//Suporte//Identificação//Fornecimento de Serviços</t>
  </si>
  <si>
    <t>Fornecimento de Serviços</t>
  </si>
  <si>
    <t>JOSE  POLANSKI RODRIGUES</t>
  </si>
  <si>
    <t>POLANSKI</t>
  </si>
  <si>
    <t>jose.polanski@jomaga.com.br</t>
  </si>
  <si>
    <t xml:space="preserve"> 04606250000120  - JOMAGA PARTICIPACOES LTDA</t>
  </si>
  <si>
    <t>INC55129034</t>
  </si>
  <si>
    <t xml:space="preserve">Fornecedor entrou em contato informando não ter acesso ao usuário, senha
Foi orientado para solicitar a criação de usuário através de carta:
&gt; O procedimento deve ser realizado pela área externa do portal (sem estar logado)
&gt;Cadastro na Petrobras
&gt;Perguntas Frequentes
&gt;Acesso
&gt;3- O Administrador do Cadastro não faz mais parte da empresa. O que deve ser feito para ter acesso? 
Em seguida encaminhar a solicitação para o e-mail juntamente com a documentação solicitada no portal:
atendi.fornecedores@petrobras.com.br </t>
  </si>
  <si>
    <t>INC55129033</t>
  </si>
  <si>
    <t>CADASTRO</t>
  </si>
  <si>
    <t>Chamado criado pelo área interna do Portal 
 Nome do Contato: MARIO AMERICO BARBOSA 
 Usuário: MARIOAMERICO 
 Telefone: 11994983720 
 E-mail: mario.americo@scsserviceng.com.br 
 CNPJ: 22902932000162 
 Razão Social SCS SERVICENG MANUTENÇÃO E MONTAGENS IND 
 O sistema para cadastro de minha empresa diz que o numero e digitos da agencia e conta bancária são inválidos. O que fazer?</t>
  </si>
  <si>
    <t>MARIO AMERICO BARBOSA</t>
  </si>
  <si>
    <t>MARIOAMERICO</t>
  </si>
  <si>
    <t>mario.americo@scsserviceng.com.br</t>
  </si>
  <si>
    <t>22902932000162 - SCS SERVICENG MANUTENÇÃO E MONTAGENS INDUSTRIAIS LTDA.</t>
  </si>
  <si>
    <t>INC55128961</t>
  </si>
  <si>
    <t xml:space="preserve">Nome do Contato: DANIEL FLECK
Usuário: FLSHELF
Telefone: 
E-mail: licitashelf@gmail.com 
CNPJ / Razão Social: 42043318000108
Boa tarde !
Fornecedora solicita o desbloqueio de seu usuário,  para atualizar informações cadastrais 
Obrigado. </t>
  </si>
  <si>
    <t>DANIEL  FLECK</t>
  </si>
  <si>
    <t>FLSHELF</t>
  </si>
  <si>
    <t>licitashelf@gmail.com</t>
  </si>
  <si>
    <t xml:space="preserve">42043318000108 - </t>
  </si>
  <si>
    <t>INC55128931</t>
  </si>
  <si>
    <t>nome do Contato: Everton  
Usuário: EVERTON2707
Telefone: 22998153709 
E-mail: vendas@smtferramentas.com.br 
CNPJ / Razão Social:47313954000118 SMART TOOLS COMERCIO DE FERRAMENTAS E SERVICOS LTDA
7004535368 DFINRI-SUPRIMENTOS Fechado Licitação Púb. Item 24.11.2025 10:10:00 15.12.2025 17:00:00
Fornecedor(a) entrou em contato solicitando auxilio para verificar o resultado da oportunidade 7004535368 , orientado(a):
Informamos que somente terá acesso ao resultado de divulgação através da área interna fornecedores que apresentaram suas propostas.
Em casos de dúvidas e/ou não disponibilização, orientamos o contato diretamente com o comprador da oportunidade, através da sala de colaboração.
Segue passo a passo para visualização dos relatórios :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Também é possível localizar a oportunidade através da área externa, basta inserir sua numeração no campo "pesquisar", após localizar, clicar em seu respectivo número, após no botão "histórico".
Informamos que oportunidades do tipo dispensa não geram relatórios de classificação/divulgação.
Neste caso, apenas quando o pedido é criado e encaminhado para a Petronect</t>
  </si>
  <si>
    <t>INC55128725</t>
  </si>
  <si>
    <t>Chamado aberto pela URA
Usuário:SETUP4LABS
CPF:00536977151
Taxnum:23613402000167
E-mail:licitacao@setup4labs.com
Seu chamado foi registrado. Estamos lhe transferindo para o atendimento especializado.</t>
  </si>
  <si>
    <t>7004495761</t>
  </si>
  <si>
    <t>MILRIAN  DA SILVA MENDES</t>
  </si>
  <si>
    <t>SETUP4LABS</t>
  </si>
  <si>
    <t>licitacao@setup4labs.com</t>
  </si>
  <si>
    <t>23613402000167 SETUP INSTRUMENTS E SERVICOS CIENTIFICOS</t>
  </si>
  <si>
    <t>INC55128713</t>
  </si>
  <si>
    <t>Ligação sem som/áudio</t>
  </si>
  <si>
    <t xml:space="preserve">Ligação sem som/áudio. Feita a fraseologia de finalização da chamada.
</t>
  </si>
  <si>
    <t>INC55128130</t>
  </si>
  <si>
    <t xml:space="preserve">INC55128130 +5591981300828
Nome do Contato: Sanevias Consultoria e Projetos
CNPJ/Razão Social: 08610914000186
CPF: 00117869813
Telefone: 91991007350
E-mail: gaf@sanevias.com.br
Usuário: SANEVIAS
Oportunidade: 
CHAT BOT - Acesso portal cadastro
</t>
  </si>
  <si>
    <t>'+5591981300828</t>
  </si>
  <si>
    <t>INC55127822</t>
  </si>
  <si>
    <t>Chamado aberto pela URA
Usuário:USR0070990
CPF:72377518168
Taxnum:72377518168
E-mail:lfarias@amperi.com.br
Seu chamado foi registrado. Estamos lhe transferindo para o atendimento especializado.</t>
  </si>
  <si>
    <t>7003656679</t>
  </si>
  <si>
    <t>INC55127695</t>
  </si>
  <si>
    <t>Nome do Contato: Ana Celia Melo Brazão
Usuário: C.NUANCE
E-mail: contato@nuanceeventos.com 
Telefone: 96981110132
CNPJ/Razão Social: 13054535000197 NUANCE EVENTOS E PRODUCOES LTDA - ME
Fornecedora solicita desbloqueio do usuário C.NUANCE</t>
  </si>
  <si>
    <t>CÉLIA  BRAZÃO DO NASCIMENTO</t>
  </si>
  <si>
    <t>C.NUANCE</t>
  </si>
  <si>
    <t>contato@nuanceeventos.com</t>
  </si>
  <si>
    <t>13054535000197 NUANCE EVENTOS E PRODUCOES LTDA - ME</t>
  </si>
  <si>
    <t>RUBIA FRAGA ALVES</t>
  </si>
  <si>
    <t>RUBIAFRAGA</t>
  </si>
  <si>
    <t>RUBIAFRAGAALVES@GMAIL.COM</t>
  </si>
  <si>
    <t>05399163000102 -   E.K. DE SOUZA &amp; CIA LTDA</t>
  </si>
  <si>
    <t>INC55127113</t>
  </si>
  <si>
    <t xml:space="preserve">Informações de Bloqueio </t>
  </si>
  <si>
    <t xml:space="preserve">Nome do Contato: ANTONIO AUGUSTO RIERA MACHADO
Usuário: AUGUSTORJ
Telefone: 22981057069 
E-mail: augusto.machado@adelco.com.br 
CNPJ / Razão Social: 61693461000181
Fornecedor gostaria de saber o motivo do bloqueio e se possível o desbloqueio do usuário para o acesso ao portal. </t>
  </si>
  <si>
    <t>AUGUSTO MACHADO</t>
  </si>
  <si>
    <t>augusto.machado@adelco.com.br</t>
  </si>
  <si>
    <t>61693461000181 - ADELCO SISTEMAS DE ENERGIA LTDA EM RECUP</t>
  </si>
  <si>
    <t>INC55126851</t>
  </si>
  <si>
    <t xml:space="preserve">INC55126851 +5521983290354
Nome do Contato: Altair Jose de Oliveira Terra
CNPJ/Razão Social: 74187840000141
CPF: 88910881704
Telefone: 2126562674
E-mail: altairterra@edengases.com.br
Usuário: ALTAIRT
Oportunidade: 
CHAT BOT - 
</t>
  </si>
  <si>
    <t>INC55126541</t>
  </si>
  <si>
    <t xml:space="preserve">INC55126541 +5585999209678
Nome do Contato: Marcela de matos Moreira soares
CNPJ/Razão Social: 04643991000181
CPF: 061.248.673-70
Telefone: 85999209678
E-mail: rh@mako.ind.br
Usuário: USR0013308
Oportunidade: 
CHAT BOT - Acesso portal cadastro
</t>
  </si>
  <si>
    <t>'+5585999209678</t>
  </si>
  <si>
    <t>HENRIQUE DANIEL DE CAVALCANTE CARVALHO</t>
  </si>
  <si>
    <t>henrique@mako.ind.br</t>
  </si>
  <si>
    <t>04643991000181 - MAKO CONSTRUCOES E MONTAGENS INDUSTRIAIS</t>
  </si>
  <si>
    <t>GEORGE RICARDO DE ASSIS</t>
  </si>
  <si>
    <t>GEORGE_A</t>
  </si>
  <si>
    <t>georgeassis@gmail.com</t>
  </si>
  <si>
    <t>03771834000199 - RESITEC SERVICOS INDUSTRIAIS LTDA</t>
  </si>
  <si>
    <t>INC55126305</t>
  </si>
  <si>
    <t>Ariba</t>
  </si>
  <si>
    <t>CHAMADO:INC55126305
CNPJ/RAZÃO SOCIAL:04963936000179 ESCOLA VILA SUL LTDA
NOME:Marcele 
USUARIO:
EMAIL:contato@escolavilasu.com.br
TEL:5521964279832
OPORTUNIDADE:
Sr(a) Marcele solicita suporte para se cadastrar no Portal.
Para se cadastrar na Petrobras, você pode seguir duas opções:
Opção 1:
1. Acesse o site petronect.com.br;
2. Vá no menu "Cadastro na Petrobras" e selecione "Quer se cadastrar";
3. Preencha as informações solicitadas, como país de origem, CNPJ, nome, sobrenome, usuário, correio eletrônico 1 e confirme o e-mail;
4. Uma senha provisória será gerada e enviada para o e-mail informado. Ao acessar o Portal Petronect pela primeira vez, será necessário criar uma nova senha.</t>
  </si>
  <si>
    <t>INC55126202</t>
  </si>
  <si>
    <t xml:space="preserve">Bom dia,
Fornecedor solicita Desbloqueio de usuário GUSTAVOSCOP
GUSTAVOSCOP
Gustavo Scopel
  gustavo.scopel@onroadeventos.com.br 21.09.2025    Desbloqueado
Chamado/Prot: INC55126202
Nome : Gustavo Scopel
Usuário: GUSTAVOSCOP
E-mail: gustavo.scopel@onroadeventos.com.br
CNPJ: 49842749000175
Razão Social:
</t>
  </si>
  <si>
    <t>INC55125878</t>
  </si>
  <si>
    <t>Gustavo Scopel</t>
  </si>
  <si>
    <t>gustavo.scopel@onroadeventos.com.br</t>
  </si>
  <si>
    <t xml:space="preserve">49842749000175 - </t>
  </si>
  <si>
    <t>INC55126134</t>
  </si>
  <si>
    <t>USUARIO BLOQUEADO</t>
  </si>
  <si>
    <t>Chamado criado pela área externa do Portal 
 Nome do Contato: GEORGE ASSIS 
 Usuário: GEORGE_A 
 Telefone: 12 99188-5088 
 E-mail: georgeassis@gmail.com 
 CNPJ: 03771834000199 
 Razão Social RESITEC SERVIÇOS INDUSTRIAIS LTDA 
 USUÁRIO BLOQUEADO E NÃO RESOLVE COM REDEFINIÇÃO DE SENHA.</t>
  </si>
  <si>
    <t>INC55125968</t>
  </si>
  <si>
    <t xml:space="preserve">
Nome de contato: ITAMAR CAETANO PRATES
Usuário: VIC-IND
Telefone: 41996545543     
E-mail: itamar@vic-industrial.com.br  
CNPJ/Razão social: 36423328000168 VIC SOLUÇÕES INDUSTRIAIS LTDA
Fornecedor solicita desbloqueio do usuário e a atribuição do perfil de admnistrador, o mesmo encontra-se expirado.
41996545543 14.12.2025 Desbloq. (Senha Expirada)  itamar@vic-industrial.com.br 
VIC-IND
Exibir  
ITAMAR CAETANO PRATES
</t>
  </si>
  <si>
    <t>ITAMAR CAETANO PRATES</t>
  </si>
  <si>
    <t>VIC-IND</t>
  </si>
  <si>
    <t>itamar@vic-industrial.com.br</t>
  </si>
  <si>
    <t>36.423.328/0001-68 - VIC SOLUÇÕES INDUSTRIAIS LTDA</t>
  </si>
  <si>
    <t>INC55122612</t>
  </si>
  <si>
    <t>pendencia de doctos</t>
  </si>
  <si>
    <t>Chamado criado pelo área interna do Portal 
 Nome do Contato: CARLOS ALBERTO DE SA 
 Usuário: CARLOSSAVIRC 
 Telefone: 1998425-7000 
 E-mail: carlossa.alberto123@gmail.com 
 CNPJ: 03423466000198 
 Razão Social VIRC TRANSPORTES LTDA 
 Bom dia Srs.,
Gostaria de questionar sobre documentos pendentes solicitados e posteriormente anexados conforme protocolo 8001435817 datado de 10/12/2025, atraves de chamado.
Recebi email informando da não entrega, peço verificar e nos informar se devemos anexar os mesmos em outra janela no site do parceiro;
Estamos ansiosos de encerrar esta etapa para podermos pleitear negócios com a Petrobras atrav[es do sistema Petronect.
Aguardo breve retorno.
sds</t>
  </si>
  <si>
    <t>CARLOS ALBERTO DE SA</t>
  </si>
  <si>
    <t>CARLOSSAVIRC</t>
  </si>
  <si>
    <t>carlossa.alberto123@gmail.com</t>
  </si>
  <si>
    <t>03423466000198  -  VIRC TRANSPORTES LTDA</t>
  </si>
  <si>
    <t>INC55113351</t>
  </si>
  <si>
    <t>desbloqueio de usuraio</t>
  </si>
  <si>
    <t>Chamado criado pela área externa do Portal 
 Nome do Contato: FLAVIO VIANA 
 Usuário: FV.FLAVIO 
 Telefone: 71 98847-3380 
 E-mail: flavioviana@totalplacas.com.br 
 CNPJ: 38199318000116 
 Razão Social TOTAL PLACAS COM E SERVIÇOS LTDA 
 Caros, ja faz um certo tempo que tento o desbloqueio por inatividade, preciso reativar meu acesso com o desbloqueo de usuario, qual procedimento necessário?</t>
  </si>
  <si>
    <t>FLAVIO DE ABREU VIANA</t>
  </si>
  <si>
    <t xml:space="preserve">TPLACAS </t>
  </si>
  <si>
    <t>contato@totalplacas.com.br</t>
  </si>
  <si>
    <t xml:space="preserve">38199318000116  - TOTAL PLACAS COMERCIO E SERVIÇOS LTDA </t>
  </si>
  <si>
    <t>INC55112898</t>
  </si>
  <si>
    <t>Bloqueio em vigencia</t>
  </si>
  <si>
    <t>Chamado criado pelo área interna do Portal 
 Nome do Contato: NERMIN MOHAMED ALY ABDEL REHIEM HEIDMANN 
 Usuário: NMA997920 
 Telefone: 61996345151 
 E-mail: nermin.aly@holluseng.com.br 
 CNPJ: 06267018000130 
 Razão Social HOLLUS SERVIÇOS TÉCNICOS ESPECIALIZADOS 
 Prezados,
Ao acessar o Sistema Petroconect identificamos uma mensagem de "Bloqueio de acesso", print em anexo, a qual informa reatriçoes de acesso e funcionalidade.
Ocorre que não identifiquei o motivo do bloqueio de acesso, ja que a vigencia da assinatura é de 23 de julho de 2025 a 23 de janeiro de 2026, restando 8 dias para o encerramento.
Aproveito para informar que o boleto de renovação de assinatura ja foi gerado e será pago em breve.
Sendo assim, solicito esclarecimentos e liberação do acesso as oportunidades, editais e anexos.
Atenciosamente,
Nermin Aly</t>
  </si>
  <si>
    <t xml:space="preserve">8001440503 </t>
  </si>
  <si>
    <t>NERMIN MOHAMED ALY ABDEL REHIEM HEIDMANN</t>
  </si>
  <si>
    <t>nermin.aly@holluseng.com.br</t>
  </si>
  <si>
    <t>06267018000130 - HOLLUS SERVIÇOS TÉCNICOS ESPECIALIZADOS</t>
  </si>
  <si>
    <t>INC55112727</t>
  </si>
  <si>
    <t>Nome do Contato: Lincoln Lima de Andrade
Usuário: AFS2021
E-mail: afsmechanical@gmail.com  
Telefone: 22999386308
CNPJ/Razão Social: 44173496000170 - AF&amp;S SOLUTIONS LTDA
Fornecedor solicita desbloqueio do usuário AFS2021</t>
  </si>
  <si>
    <t>INC55112460</t>
  </si>
  <si>
    <t>Nome de contato:Aline Pereira de Sousa
Usuário:ALINEAUDSP alinesousa@kpmg.com.br (21) 2207-9767 
CPF:10641131763
Telefone:2122079767
E-mail:alinesousa@kpmg.com.br
CNPJ/Razão social:57755217000129 KPMG AUDITORES INDEPENDENTES LTDA
Fornecedor(a) entrou em contato solicitando auxilio para gerar boleto da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t>
  </si>
  <si>
    <t>a0819716-c67a-46bf-862c-874cccfbf278</t>
  </si>
  <si>
    <t>Aline Sousa</t>
  </si>
  <si>
    <t>ALINEAUDSP</t>
  </si>
  <si>
    <t>alinesousa@kpmg.com.br</t>
  </si>
  <si>
    <t>57755217000129 - KPMG AUDITORES INDEPENDENTES.</t>
  </si>
  <si>
    <t>INC55111949</t>
  </si>
  <si>
    <t>INCLUSÃO DE FAMILIA</t>
  </si>
  <si>
    <t>Chamado criado pelo área interna do Portal 
 Nome do Contato: SELMA GONCALVES PESSOA 
 Usuário: SELMA2609. 
 Telefone: 11971708889 
 E-mail: comercial1@soaresmangueiras.com.br 
 CNPJ: 31677199000110 
 Razão Social SOARES COMERCIO VAREJISTA DE MANGUEIRAS 
 Boa tarde, 
Nossa empresa é fabricante de mangueira composta, e gostaria de incluir essa familia em nosso cadastro. Por favor, poderia me ajudar nisso?</t>
  </si>
  <si>
    <t>SELMA GONCALVES PESSOA</t>
  </si>
  <si>
    <t>comercial1@soaresmangueiras.com.br</t>
  </si>
  <si>
    <t>31677199000110 - SOARES COMERCIO VAREJISTA DE MANGUEIRAS</t>
  </si>
  <si>
    <t>INC55111804</t>
  </si>
  <si>
    <t>incluir familias</t>
  </si>
  <si>
    <t>Nome de contato:Selma Gonçalves
Usuário:SELMA2609 comercial1@soaresmangueiras.com.br 11971708889 
CPF:44887632860
Telefone:11971708889
E-mail:comercial1@soaresmangueiras.com.br
CNPJ/Razão social:31677199000110 SOARES COMERCIO VAREJISTA DE MANGUEIRAS E CONEXÕES LTDA
Prezados, sua solicitação será encerrada e o tratamento será redirecionado, conforme manifestação 8001440399</t>
  </si>
  <si>
    <t>2a809ca4-ea55-41bf-a39d-d38b58952dbe</t>
  </si>
  <si>
    <t>INC55111682</t>
  </si>
  <si>
    <t>Nome do Contato: Carlos Roberto cordeiro barros
Usuário: R.ENGEAR
E-mail: licitacao@engearpb.com.br 
Telefone: 83999510807
CNPJ/Razão Social: 00976914000192 - ENGEAR ENGENHARIA DE AQUECIMENTO E REFRI
Fornecedor solicita desbloqueio do usuário R.ENGEAR</t>
  </si>
  <si>
    <t>CARLOS ROBERTO CORDEIRO BARROS</t>
  </si>
  <si>
    <t>R.ENGEAR</t>
  </si>
  <si>
    <t>licitacao@engearpb.com.br</t>
  </si>
  <si>
    <t>00976914000192 - ENGEAR ENGENHARIA DE AQUECIMENTO E REFRI</t>
  </si>
  <si>
    <t>INC55111678</t>
  </si>
  <si>
    <t xml:space="preserve">Nome de contato:Zilanda Vidal Montarroyos
Usuário:VIM2008 27999863979 
CPF:075.100.777-37
Telefone:2733382222
E-mail:venda10@vimetal.com.br
CNPJ/Razão social: 00.741.491/0001-21 VIMETAL COMERCIAL LTDA
Fornecedor(a) entrou em contato solicitando auxilio para verificar as notas fiscais a pagar e receber ,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t>
  </si>
  <si>
    <t>9b808dfb-e0cd-42a7-b315-15edd41e8ecf</t>
  </si>
  <si>
    <t>LEONARDO CARVALHO PEIXOTO</t>
  </si>
  <si>
    <t>00741491000121 VIMETAL COMERCIAL LTDA</t>
  </si>
  <si>
    <t>venda10@vimetal.com.br</t>
  </si>
  <si>
    <t>INC55111672</t>
  </si>
  <si>
    <t>Fornecedora sem cadastro no portal informa que deseja se tornar fornecedora. Foi orientada a acessar www.petronect.com.br &gt; Compras e contratações &gt; Licitações Públicas &gt; Abertas para propostas para pesquisar pelas oportunidades em aberto e fazer o cadastro acessando: www.petronect.com.br &gt; Login &gt; Ainda não tenho cadastro &gt; preencha o pais e o CNPJ (só os números sem ponto, barra ou traço) &gt; Enviar &gt; crie o novo usuário e aguarde o recebimento da senha provisória no e-mail</t>
  </si>
  <si>
    <t>INC55111146</t>
  </si>
  <si>
    <t>REVISÃO QUESTIONÁRIO PARA FORNECEDORES</t>
  </si>
  <si>
    <t>Chamado criado pelo área interna do Portal 
 Nome do Contato: DORMEVILLY NOBREGA TERTIUS 
 Usuário: USR0070525 
 Telefone: 11 98558-7030 
 E-mail: jbrandani@ttrends.com.br 
 CNPJ: 13480093000140 
 Razão Social E DO BRASIL TECNOLOGIA LTDA 
 Olá, após a avaliação do questionário foi solicitado que alterássemos algumas informações, porém o questionário não se encontra disponível no portal. Ao clicar em cadastro na petrobras nao aparece nenhum item referente ao questionário. Gostaria de saber o caminho para encontrar o questionário e alterar as informações solicitadas. Obrigado!</t>
  </si>
  <si>
    <t>DORMEVILLY NOBREGA TERTIUS</t>
  </si>
  <si>
    <t>dtertius@embarcadero.com.br</t>
  </si>
  <si>
    <t>13480093000140 - E DO BRASIL TECNOLOGIA LTDA</t>
  </si>
  <si>
    <t>INC55111120</t>
  </si>
  <si>
    <t xml:space="preserve">INC55111120 e450d90e-7508-3394-95ef-e7647a690874
Nome do Contato: felipe santana dos santos
CNPJ/Razão Social: 57964417000191
CPF: 12592574794
Telefone: 21989810401
E-mail: santanaesilvaengenharia@gmail.com
Usuário: FELIPETEC606
Oportunidade: 
CHAT BOT - Redefinição de Senha
</t>
  </si>
  <si>
    <t>e450d90e-7508-3394-95ef-e7647a690874</t>
  </si>
  <si>
    <t>FELIPE SANTANA DOS SANTOS</t>
  </si>
  <si>
    <t>INC55111106</t>
  </si>
  <si>
    <t>Solicitação de Orientações sobre Atualização de Conta e Cadastro de Famílias</t>
  </si>
  <si>
    <t>Oportunidade DÚVIDAS 
 Chamado criado pelo área interna do Portal 
 Nome do Contato: ROGERIO REGIS BAZAN 
 Usuário: BAUMIER-RB 
 Telefone: +5511993376447 
 E-mail: portal@baumier.com.br 
 CNPJ: 07376456000108 
 Razão Social BAUMIER AUTOMATION LTDA 
 Á PETROBRAS,
São Bernardo do Campo, janeiro de 2025. 
Solicitamos, por gentileza, orientações referentes aos pontos abaixo:
1. Alteração de dados da conta:
Informações sobre o procedimento necessário para atualização dos dados, tendo em vista que um novo responsável legal irá assumir a conta.
2. Ampliação de cadastro de famílias:
- Como realizar a ampliação na família de referência nº 98010645, para a qual estamos a ser requisitados?
- Disponibilizar a relação das famílias atualmente cadastradas em nosso nome.
- Orientações sobre o processo para ampliação e inclusão de novas famílias no cadastro.
Ficamos no aguardo das devidas orientações para que possamos dar continuidade aos procedimentos necessários.
Desde já, agradecemos a atenção e aguardamos retorno.
Atenciosamente, 
BAUMIER AUTOMATION</t>
  </si>
  <si>
    <t>ROGERIO  REGIS BAZAN</t>
  </si>
  <si>
    <t>BAUMIER-RB</t>
  </si>
  <si>
    <t>portal@baumier.com.br</t>
  </si>
  <si>
    <t>07376456000108 - BAUMIER AUTOMATION LTDA</t>
  </si>
  <si>
    <t>INC55110877</t>
  </si>
  <si>
    <t>Nome do Contato: Beatriz Alves  
Usuário: TELEBITBR
Telefone: 
E-mail: comercial@telebitbrasil.com 
CNPJ / Razão Social: 14826280000104
Boa tarde !
Fornecedora solicita o desbloqueio e atribuição das funções de seu usuário,  para atualizar as informações cadastrais
Obrigado.</t>
  </si>
  <si>
    <t>INC55110720</t>
  </si>
  <si>
    <t>Código Banco Inter</t>
  </si>
  <si>
    <t>Chamado criado pelo área interna do Portal 
 Nome do Contato: MARCUS VINICIUS JESUS DA SILVA 
 Usuário: MJDASILVA 
 Telefone: 71999428431 
 E-mail: comercial@globalfixtech.com.br 
 CNPJ: 40769106000179 
 Razão Social GLOBAL FIXTECH COMÉRCIO E SERVIÇOS DE IN 
 Boa Tarde!
Gostaria de cadastrar a conta do banco inter, mas na relação não existe o código do banco 077, conforme anexo do próprio site.</t>
  </si>
  <si>
    <t>INC55110511</t>
  </si>
  <si>
    <t>Nome do Contato: Amanda de Oliveira Maia
Usuário: PC.TECSAN
E-mail: tecsan@tecsan.com.br 
Telefone: 71992151703
CNPJ/Razão Social: 34186585000106 - TECSAN TECNOLOGIA DE SANEAMENTO
Fornecedor solicita desbloqueio do usuário PC.TECSAN</t>
  </si>
  <si>
    <t>INC55110509</t>
  </si>
  <si>
    <t>usuario e senha</t>
  </si>
  <si>
    <t>Chamado criado pela área externa do Portal 
 Nome do Contato: sergio lepski 
 Usuário: SERGIO 
 Telefone: 1939139306 
 E-mail: sergio@qualitas.ind.br 
 CNPJ: 61486346000136 - QUALITAS INDUSTRIA ELETROMECANICA
 Razão Social QUALITAS INDUSTRIA ELETROMECANICA LTDA 
 a Qualitas esta cadastrada na Petrobras, porem nao tenho mais a senha o e-mail e usuario para entrar no portal quem pode me ajudar a reabrir meu cadastro</t>
  </si>
  <si>
    <t>FELIPE NEIRA STIVALLI</t>
  </si>
  <si>
    <t>SE.QUALITAS</t>
  </si>
  <si>
    <t>comercial@qualitas.ind.br</t>
  </si>
  <si>
    <t>61486346000136 - QUALITAS INDUSTRIA ELETROMECANICA</t>
  </si>
  <si>
    <t>INC55110499</t>
  </si>
  <si>
    <t>INC55110499 9e21020d-83dd-af78-c4ac-8822c829a6a3
Nome do Contato: Millena vitoria Santana Martins
CNPJ/Razão Social: 67869602000150
CPF: 08522425817
Telefone: 34998756952
E-mail: lunametais@licitatriangulo.com.br
Usuário: L.LLUNNAM
Oportunidade: 
CHAT BOT - Acesso portal cadastro
L.LLUNNAM
Daniel Zolino
11 5514-0060 daniel.vendas@lunametais.com.br 17.05.2022    Desbloqueado 
Prezados(a), fornecedor(a) solicita desbloqueio, atualização de validade e atribuições de perfis de seu usuário: L.LLUNNAM</t>
  </si>
  <si>
    <t>9e21020d-83dd-af78-c4ac-8822c829a6a3</t>
  </si>
  <si>
    <t>Daniel Zolino</t>
  </si>
  <si>
    <t>L.LLUNNAM</t>
  </si>
  <si>
    <t>daniel.vendas@lunametais.com.br</t>
  </si>
  <si>
    <t>67869602000150 - LUNAMETAIS - COMERCIO E ACOS E METAIS LT</t>
  </si>
  <si>
    <t>INC55110417</t>
  </si>
  <si>
    <t>Nome do Contato: Mateus
Usuário: L.LLUNNAM
E-mail: daniel.vendas@lunametais.com.br / mateus.vendas@lunametais.com.br
Telefone: 551155140060
CNPJ/Razão Social: 67869602000150 LUNAMETAIS - COMERCIO E ACOS E METAIS LT
Fornecedor solicita suporte para recuperar os dados de acesso ao portal. Foi identificado que o e-mail cadastrado é daniel.vendas@lunametais.com.br porém o fornecedor não tem mais acesso a ele. Foi orientado: www.petronect.com.br &gt; Cadastro na Petrobras &gt; Perguntas frequentes &gt; Siga as instruções do item 3. O ADMINISTRADOR DO CADASTRO NÃO FAZ MAIS PARTE DA EMPRESA. O QUE DEVE SER FEITO PARA TER ACESSO?
https://www.petronect.com.br/irj/go/km/docs/pccshrcontent/Site%20Content%20(Legacy)/Portal2018/pt/Cadastro_Faq.html</t>
  </si>
  <si>
    <t>INC55110330</t>
  </si>
  <si>
    <t xml:space="preserve">INC55110330 +5561996827314
Nome do Contato: MARIA ADRIANA GOMES DE CARVALHO
CNPJ/Razão Social: 00850974000164
CPF: 78997704168
Telefone: 61996827314
E-mail: licitacao@aracdae.com.br
Usuário: DIRECIONAL.E
Oportunidade: 
CHAT BOT - Fornecimento de Bens e Serviços
</t>
  </si>
  <si>
    <t>'+5561996827314</t>
  </si>
  <si>
    <t>MILTON FERNANDES BALIEIRO JUNIOR</t>
  </si>
  <si>
    <t>DIRECIONAL.E</t>
  </si>
  <si>
    <t>licitacao@arcade.com.br</t>
  </si>
  <si>
    <t>00850974000164 - DIRECIONAL ENGENHARIA LTDA - ME</t>
  </si>
  <si>
    <t>INC55110170</t>
  </si>
  <si>
    <t xml:space="preserve">INC55110170 +5522996124245
Nome do Contato: Jefferson da Cruz prevato malveira
CNPJ/Razão Social: 02354471000123
CPF: 15129884728
Telefone: 22996124245
E-mail: licitacao@proinspengenharia.com.br
Usuário: PROINSPZEN
Oportunidade: 
CHAT BOT - Redefinição de Senha
</t>
  </si>
  <si>
    <t>'+5522996124245</t>
  </si>
  <si>
    <t>BERALDA VIEIRA</t>
  </si>
  <si>
    <t>PROINSPZEN</t>
  </si>
  <si>
    <t>licitacao@proinspengenharia.com.br</t>
  </si>
  <si>
    <t>02354471000123 - PROINSP OFFSHORE EIRELI</t>
  </si>
  <si>
    <t>INC55110008</t>
  </si>
  <si>
    <t xml:space="preserve">Chamado: INC55110008
 Nome do Contato: MARIANE FREITAS COSTA
 Usuário: APXCUBITECH
 Telefone: 11910818863
E-mail: contato@apxsc.com
CNPJ / Razão Social: 35856342000192  - MARS CONSTRUTORA LTDA
Fornecedor(a) entrou em contato para obter informações dos questionário , foi feita a confirmação de segurança. A mesma foi informada para aguarda o prazo da Petrobrás de 30 dias podendo antecipar ou prolongar dependendo da demanda. Referente a validação do e-cnpj segue o passo a passo para realizar o procedimento.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Atenciosamente,
Equipe Petronect
</t>
  </si>
  <si>
    <t>MARIANE FREITAS COSTA</t>
  </si>
  <si>
    <t>APXCUBITECH</t>
  </si>
  <si>
    <t>contato@apxsc.com</t>
  </si>
  <si>
    <t>35856342000192 - MARS CONSTRUTORA LTDA</t>
  </si>
  <si>
    <t>INC55109997</t>
  </si>
  <si>
    <t>Nome do Contato: Jose Arcanjo 
Usuário: GNW12-2026
E-mail: vendas@gnwacessoriosindustriais.com.br 
Telefone: 31984163437
CNPJ/Razão Social: 26297587000136
Fornecedor solicita desbloqueio do usuário GNW12-2026</t>
  </si>
  <si>
    <t>Jose Arcanjo  Antonio</t>
  </si>
  <si>
    <t>GNW12-2026@petroect.com.br</t>
  </si>
  <si>
    <t>INC55109944</t>
  </si>
  <si>
    <t xml:space="preserve">Nome do Contato: Yasmin Melo
Usuário: RAIZ_AMB
E-mail: raiz@genivalnunes.eco.br 
Telefone: 79998737512
CNPJ/Razão Social: 18000392000154 - RAIZ CONSULTORIA AMBIENTAL LTDA
Fornecedor solicita desbloqueio do usuário RAIZ_AMB
</t>
  </si>
  <si>
    <t>INC55109845</t>
  </si>
  <si>
    <t xml:space="preserve">INC55109845 +5521997641973
Nome do Contato: Luciana Ribeiro Cabral
CNPJ/Razão Social: 28022116000140
CPF: 04284060767
Telefone: 21997641973
E-mail: lucianacabadm@gmail.com
Usuário: LUVAL2025
Oportunidade: 
CHAT BOT - Redefinição de Senha
</t>
  </si>
  <si>
    <t>'+5521997641973</t>
  </si>
  <si>
    <t>LUCIANA RIBEIRO CABRAL</t>
  </si>
  <si>
    <t>lucianacabadm@gmail.com</t>
  </si>
  <si>
    <t>28022116000140 - VLC ENGENHARIA LTDA</t>
  </si>
  <si>
    <t>INC55109577</t>
  </si>
  <si>
    <t>senha bloqueada</t>
  </si>
  <si>
    <t>Chamado criado pela área externa do Portal 
 Nome do Contato: Cirlayne 
 Usuário: JULIOVIAN 
 Telefone: 19992488394 
 E-mail: campoxequip@gmail.com 
 CNPJ: 58.626.581/0001-51 
 Razão Social CAMPOX IND E COM DE EQUIPAMENTOS LTDA 
 Estamos a vários dias tentando fazer a validação da nova senha que foi bloqueada e não está acatando, solicito a nova senha, recebe, mas quando insiro ele diz que usuário/senha invalido, não consigo falar por telefone, estamos perdendo negócios devido a este problema.</t>
  </si>
  <si>
    <t>MARTA  GOLDENBERG PINTO ANTOLIN</t>
  </si>
  <si>
    <t>JULIOVIAN</t>
  </si>
  <si>
    <t>campoxequip@gmail.com</t>
  </si>
  <si>
    <t>58626581000151</t>
  </si>
  <si>
    <t>INC55109379</t>
  </si>
  <si>
    <t xml:space="preserve">INC55109379 +5571999174477
Nome do Contato: Mércia
CNPJ/Razão Social: 12018845000193
CPF: 24109703549
Telefone: 71986540574
E-mail: arqtec10@gmail.com
Usuário: ARQTEC32
Oportunidade: 
CHAT BOT - Redefinição de Senha
</t>
  </si>
  <si>
    <t>'+5571999174477</t>
  </si>
  <si>
    <t>JOSE BENEDITO ASSUNCAO</t>
  </si>
  <si>
    <t>ARQTEC32</t>
  </si>
  <si>
    <t>arqtec10@gmail.com</t>
  </si>
  <si>
    <t>12018845000193-ARQTEC COMERCIO E SERVICOS LTDA</t>
  </si>
  <si>
    <t>INC55109000</t>
  </si>
  <si>
    <t xml:space="preserve">INC55109000 +5521997177244
Nome do Contato: Rafael Lopes Marinho
CNPJ/Razão Social: 31352081000112
CPF: 111.084.137-06
Telefone: 21997177244
E-mail: vendas@metalak.com.br
Usuário: M.METALAK
Oportunidade: 
CHAT BOT - Acesso portal cadastro
</t>
  </si>
  <si>
    <t>'+5521997177244</t>
  </si>
  <si>
    <t>RAFAEL LOPES MARINHO</t>
  </si>
  <si>
    <t>M.METALAK</t>
  </si>
  <si>
    <t>vendas@metalak.com.br</t>
  </si>
  <si>
    <t>31352081000112 - METALAK COM. E IND. DE METAIS</t>
  </si>
  <si>
    <t>INC55108705</t>
  </si>
  <si>
    <t xml:space="preserve">INC55108705 +5592981380022
Nome do Contato: Raimundo Rezende
CNPJ/Razão Social: 38193872000196
CPF: 11680751816
Telefone: 92981380022
E-mail: locamixservicos@gmail.com
Usuário: MIX38193
Oportunidade: 
CHAT BOT - Acesso portal cadastro
</t>
  </si>
  <si>
    <t>'+5592981380022</t>
  </si>
  <si>
    <t>RAIMUNDO REZENDE DA SILVA</t>
  </si>
  <si>
    <t>MIX38193</t>
  </si>
  <si>
    <t>contabil@gestconsultoria.com.br</t>
  </si>
  <si>
    <t xml:space="preserve">38193872000196 - </t>
  </si>
  <si>
    <t>INC55108527</t>
  </si>
  <si>
    <t>INC55108527 +5521976014078
Nome do Contato: Ellen Fernandes
CNPJ/Razão Social: 19052768000137
CPF: 96415517791
Telefone: 21976014078
E-mail: licitacoes.adm1@prizma.com.br
Usuário: P.ENGENHARIA
Oportunidade: 
CHAT BOT - Acesso portal cadastro
P.ENGENHARIA
PLAC_INCENDIO ENGENHARIA
21 31452540 contato@placengenharia.com.br 17.05.2022    Desbloqueado
Prezados(a), fornecedor(a) solicita desbloqueio, atualização de validade e atribuições de perfis de seu usuário: P.ENGENHARIA</t>
  </si>
  <si>
    <t>'+5521976014078</t>
  </si>
  <si>
    <t>PLAC_ INCENDIO ENGENHARIA</t>
  </si>
  <si>
    <t>P.ENGENHARIA</t>
  </si>
  <si>
    <t>contato@placengenharia.com.br</t>
  </si>
  <si>
    <t>19052768000137 - PLAC Engenharia Ltda</t>
  </si>
  <si>
    <t>Paulo Dantas</t>
  </si>
  <si>
    <t>paulodantas@movieart.com.br</t>
  </si>
  <si>
    <t>46397220000100 - MOVI &amp; ART PRODUCOES CINEMATOGRAFICAS LT</t>
  </si>
  <si>
    <t>INC55108186</t>
  </si>
  <si>
    <t xml:space="preserve">INC55108186 +551241091315
Nome do Contato: David Boaventura Santana Neto
CNPJ/Razão Social: 26689650000180
CPF: 21715422848
Telefone: 12981149998
E-mail: david@magvs.com.br
Usuário: USR0070989
Oportunidade: 
CHAT BOT - Redefinição de Senha
</t>
  </si>
  <si>
    <t>'+551241091315</t>
  </si>
  <si>
    <t>David Boaventura</t>
  </si>
  <si>
    <t>contato@magvs.com.br</t>
  </si>
  <si>
    <t>26689650000180 - DAVID BOAVENTURA SANTANA NETO</t>
  </si>
  <si>
    <t>INC55108072</t>
  </si>
  <si>
    <t xml:space="preserve">Chamado:  INC55108072
 Nome do Contato: DANILO PAULINO DOS SANTOS
 Usuário: DANILOLPMG
 Telefone: 35991187746
E-mail: comercial@lpmgbr.com.br
CNPJ / Razão Social: 86589025000198   / - 
Fornecedor(a) solicitou auxilio para o desbloqueio de seu usuário o mesmo expirou no dia 21/09/2025 e aderi ao perfil de administrador. 
DANILOLPMG
DANILO PAULINO DOS SANTOS
35991187746 21.09.2025    Desbloqueado Exibir  comercial@lpmgbr.com.br
</t>
  </si>
  <si>
    <t>8001440376</t>
  </si>
  <si>
    <t>DANILO  PAULINO DOS SANTOS</t>
  </si>
  <si>
    <t>DANILOLPMG</t>
  </si>
  <si>
    <t>comercial@lpmgbr.com.br</t>
  </si>
  <si>
    <t xml:space="preserve">86589025000198   / - </t>
  </si>
  <si>
    <t>INC55107337</t>
  </si>
  <si>
    <t>USUÁRIO BLOQUEADO</t>
  </si>
  <si>
    <t>Chamado criado pela área externa do Portal 
 Nome do Contato: BEATRIZ NEVES 
 Usuário: USR0044768 
 Telefone: 71999798669 
 E-mail: beatriz.neves@pecomenergia.com.br
 CNPJ: 30537792104CR 
 Razão Social BOLLANS Y CIA S.A. 
 Prezados, bom dia!
Tendo em vista que o meu usuário encontra-se bloqueado, solicito de V.Sas o desbloqueio deste e fim de que possa seguir com a atualização do mesmo.</t>
  </si>
  <si>
    <t>INC55107172</t>
  </si>
  <si>
    <t>Nome do Contato: Jeronimo Campos de Miranda Júnior
Usuário: JERONIMOCAUA
E-mail: jeronimojunior2870@gmail.com 
Telefone: 22998348355
CNPJ/Razão Social: 43872317000120
Fornecedor solicita desbloqueio do usuário JERONIMOCAUA</t>
  </si>
  <si>
    <t>JERONIMO CAMPOS  DE MIRANDA JUNIOR</t>
  </si>
  <si>
    <t>JERONIMOCAUA</t>
  </si>
  <si>
    <t>jeronimojunior2870@gmail.com</t>
  </si>
  <si>
    <t>43872317000120</t>
  </si>
  <si>
    <t>INC55107081</t>
  </si>
  <si>
    <t>Nome do Contato: Sofia Velandia
Usuário: MAR.ERNSTY
E-mail: contactoey@co.ey.com
Telefone: +573125336776
CNPJ/Razão Social: 8600088905 ERNST AND YOUNG AUDIT LTDA
Fornecedora solicita prorrogação de validade do usuário MAR.ERNSTY</t>
  </si>
  <si>
    <t>INC55106596</t>
  </si>
  <si>
    <t>Nome do Contato: Vanusa de Lima
Usuário: DELTA1034
E-mail: contato@delta-ra.com.br 
Telefone: 54992574839
CNPJ/Razão Social: 14846260000197 - DELTA TECNOLOGIA E INOVAÇÃO LTDA-ME
Fornecedor solicita desbloqueio do usuário DELTA1034</t>
  </si>
  <si>
    <t>Fabio Junior Loureiro da Silveira</t>
  </si>
  <si>
    <t>contato@delta-ra.com.br</t>
  </si>
  <si>
    <t>14846260000197 - DELTA TECNOLOGIA E INOVAÇÃO LTDA-ME</t>
  </si>
  <si>
    <t>INC55106363</t>
  </si>
  <si>
    <t>Nome do Contato: Lucas Alves Ferreira
Usuário: PROVEDOR
E-mail: comercial@construtorajpg.com.br 
Telefone: 16991611830
CNPJ/Razão Social: 12410708000108 CONSTRUTORA JPG LTD
Fornecedor solicita desbloqueio do usuário PROVEDOR</t>
  </si>
  <si>
    <t>HEVER  JOSE GONCALVES</t>
  </si>
  <si>
    <t>PROVEDOR</t>
  </si>
  <si>
    <t>comercial@construtorajpg.com.br</t>
  </si>
  <si>
    <t>12410708000108 CONSTRUTORA JPG LTD</t>
  </si>
  <si>
    <t>INC55106334</t>
  </si>
  <si>
    <t>Chamado aberto pela URA
Usuário:MAYARA2806
CPF:39917869824
Taxnum:63034847000107
E-mail:vip1@astm.com.br
Seu chamado foi registrado. Estamos lhe transferindo para o atendimento especializado.</t>
  </si>
  <si>
    <t>7004541768</t>
  </si>
  <si>
    <t>INC55106168</t>
  </si>
  <si>
    <t>INC55106168 +5511910914475
Nome do Contato: Leticia Claro
CNPJ/Razão Social: 43966092000171
CPF: 51461535824
Telefone: 11910914475
E-mail: vendas@br.reinhausen.com
Usuário: ABRIOTTO
Oportunidade: 
CHAT BOT - Acesso portal cadastro
ABRIOTTO
ADRIANO MINOTTI BRIOTTO
11-47852176 vendas@br.reinhausen.com 01.06.2025    Desbloqueado
Prezados(a), fornecedor(a) solicita desbloqueio, atualização de validade e atribuições de perfis de seu usuário: ABRIOTTO</t>
  </si>
  <si>
    <t>'+5511910914475</t>
  </si>
  <si>
    <t>ADRIANO MINOTTI BRIOTTO</t>
  </si>
  <si>
    <t>ABRIOTTO</t>
  </si>
  <si>
    <t>vendas@br.reinhausen.com</t>
  </si>
  <si>
    <t>43966092000171 - MR DO BRASIL INDUSTRIA MECANICA</t>
  </si>
  <si>
    <t>INC55106062</t>
  </si>
  <si>
    <t>Solicitação de Inclusão de Nova Família de Serviços no CRC</t>
  </si>
  <si>
    <t>Oportunidade LIC7004535 
 Chamado criado pelo área interna do Portal 
 Nome do Contato: MILTON FERNANDES BALIEIRO JUNIOR 
 Usuário: DIRECIONAL.E 
 Telefone: 6137720000 
 E-mail: licitacao@arcade.com.br 
 CNPJ: 00850974000164 
 Razão Social ARCADE TECNOLOGIA PROJETOS E ENGENHARIA 
 Prezados(as),
Venho por meio deste informar que nossa empresa possui interesse em acrescentar mais uma família de serviços ao nosso Cadastro de Fornecedores (CRC) junto à Petrobras, conforme dados abaixo:
Descrição da Família de Serviços
Nº da família: 99006595
Família: Licenciamento e manutenção de software
Tipo de fornecimento: Serviço
Escopo: Serviço de licenciamento (direito de uso e modo pelo qual o software pode ser utilizado) e manutenção de softwares de desenvolvedores e distribuidores autorizados.
Dessa forma, solicitamos, por gentileza, as orientações necessárias para dar prosseguimento ao processo de inclusão desta família em nosso CRC, bem como eventuais documentações ou procedimentos adicionais que se façam necessários.
Permanecemos à disposição para quaisquer esclarecimentos complementares.
Atenciosamente,
Camila Alencar &lt;camila.alencar@arcade.com.br&gt;</t>
  </si>
  <si>
    <t xml:space="preserve">8001440353 </t>
  </si>
  <si>
    <t>INC55106014</t>
  </si>
  <si>
    <t>Suporte URGENTE</t>
  </si>
  <si>
    <t xml:space="preserve">
 Chamado criado pelo área interna do Portal 
 Nome do Contato: FERNANDA KNIESS ROHDEN 
 Usuário: TIAGOKNIES21 
 Telefone: 47 35630491 
 E-mail: contratos@pronatur.com.br 
 CNPJ: 02234785000192 
 Razão Social PRONATUR ASSESSORIA AMBIENTAL E FLORESTA 
 Olá, preenchi o cadastro de fornecedores e não estou conseguindo fazer o envio dele, sempre ocorre um erro, gostaria de suporte para resolver essa pendência. 
Temos interesse em participar da oportunidade 7004545462, que ocorre dia 20/01/2026 e gostaria de estar resolvendo essa pendência. 
Aguardo retorno o quanto antes</t>
  </si>
  <si>
    <t xml:space="preserve">8001440351 </t>
  </si>
  <si>
    <t>FERNANDA KNIESS ROHDEN</t>
  </si>
  <si>
    <t>TIAGOKNIES21</t>
  </si>
  <si>
    <t>contratos@pronatur.com.br</t>
  </si>
  <si>
    <t>02234785000192 -  PRONATUR ASSESSORIA AMBIENTAL E FLORESTAL LTDA</t>
  </si>
  <si>
    <t>INC55105131</t>
  </si>
  <si>
    <t xml:space="preserve">INC55105131 +5571999320113
Nome do Contato: Pericles Mascarenhas Magalhaes
CNPJ/Razão Social: 03695461000386
CPF: 88809005520
Telefone: 7199320113
E-mail: pericles.magalhaes@gpssa.com.br
Usuário: PERICLES.GPS
Oportunidade: 
CHAT BOT - Fornecimento de Bens e Serviços
</t>
  </si>
  <si>
    <t>'+5571999320113</t>
  </si>
  <si>
    <t>INC55104818</t>
  </si>
  <si>
    <t>INC55104506</t>
  </si>
  <si>
    <t>Dificuldades de acesso, cadastro Petrobras e atualização de dados – CRC</t>
  </si>
  <si>
    <t>Chamado criado pelo área interna do Portal 
 Nome do Contato: ANDREIA CRISTINA FERREIRA DA CONCEICAO 
 Usuário: ANDREFERRE90 
 Telefone: 12988145081 
 E-mail: andreia@setreimax.com.br 
 CNPJ: 10576383000102 
 Razão Social SETREIMAX LTDA - ME 
 Prezados(as),
Estou enfrentando algumas dificuldades para navegar no portal Petronect. No momento, não consigo confirmar se meu cadastro junto à Petrobras está ativo, e tenho urgência na obtenção do documento CRC, pois preciso dele com máxima prioridade.
Além disso, preciso atualizar meus dados cadastrais no Petronect, porém o campo “Editar” não se encontra disponível, o que está impedindo a realização dessa atualização.
Peço, por gentileza, o apoio do suporte para:
Verificar a situação do meu cadastro junto à Petrobras;
Orientar ou viabilizar a emissão do CRC com urgência;
Liberar ou orientar quanto à atualização dos dados cadastrais no sistema.
Fico no aguardo de um retorno o quanto antes.</t>
  </si>
  <si>
    <t>ANDREIA CRISTINA FERREIRA DA CONCEICAO</t>
  </si>
  <si>
    <t>marcelo@setreimax.com.br</t>
  </si>
  <si>
    <t>10576383000102 - SETREIMAX LTDA - ME</t>
  </si>
  <si>
    <t>INC55104496</t>
  </si>
  <si>
    <t xml:space="preserve">INC55104496 +5594984453966
Nome do Contato: Carla Katielly Soares Santos Ferreira
CNPJ/Razão Social: 11315529000110
CPF: 03090627132
Telefone: 94984453966
E-mail: comercial@solucoeslocadora.com.br
Usuário: DRI.PENA
Oportunidade: 
CHAT BOT - Acesso portal cadastro
DRI.PENA
ADRIANA CRISTINA DUARTE PENA
35 34233731 administrativo@solucoeslocadora.com.br 16.09.2023    Bloqueado
</t>
  </si>
  <si>
    <t>'+5594984453966</t>
  </si>
  <si>
    <t>ADRIANA CRISTINA DUARTE PENA</t>
  </si>
  <si>
    <t>DRI.PENA</t>
  </si>
  <si>
    <t>administrativo@solucoeslocadora.com.br</t>
  </si>
  <si>
    <t>11315529000110 - SOLUÇÕES LOCADORA LTDA</t>
  </si>
  <si>
    <t>INC55096855</t>
  </si>
  <si>
    <t>Alteração da Conta Bancária</t>
  </si>
  <si>
    <t>Chamado criado pelo área interna do Portal 
 Nome do Contato: ANTENOR DOS SANTOS 
 Usuário: USR0056623 
 Telefone: 27 9 9828-9526 
 E-mail: bsengenharia751@gmail.com 
 CNPJ: 27546043000123 
 Razão Social CONSTRUTORA B.S LTDA - ME 
 Abrir chamado para Alterar Conta Bancária</t>
  </si>
  <si>
    <t xml:space="preserve">8001440326 </t>
  </si>
  <si>
    <t>ANTENOR  DOS SANTOS</t>
  </si>
  <si>
    <t>bsengenharia751@gmail.com</t>
  </si>
  <si>
    <t>27546043000123 - CONSTRUTORA B.S LTDA - ME</t>
  </si>
  <si>
    <t>INC55095990</t>
  </si>
  <si>
    <t>Numero da Agencia Bancaria ;(Para Banco do Brasil e/ou Bradesco deverá ser informado digito)</t>
  </si>
  <si>
    <t>Chamado criado pelo área interna do Portal 
 Nome do Contato: PAULO DONIZETE PINTO 
 Usuário: JEBCOMMANUT 
 Telefone: 79998016102 
 E-mail: jebcommanut@yahoo.com 
 CNPJ: 18543534000120 
 Razão Social J&amp;B COMERCIO E MANUTENÇÃO LTDA 
 Prezados, estou tendo dificuldades de dar sequencia no cadastro onde tenho que informar agencia Bradesco com o digito, mas esta dando erro e não consigo avança no cadastro</t>
  </si>
  <si>
    <t>INC55094661</t>
  </si>
  <si>
    <t>BID Transporte de Coque verde de petroleo</t>
  </si>
  <si>
    <t>Oportunidade BID -COQUE 
 Reclamação 
 Chamado Anterior: 0005509332 
 Chamado criado pelo área interna do Portal 
 Nome do Contato: RUBIA FRAGA ALVES 
 Usuário: RUBIAFRAGA 
 Telefone: 48996906190 
 E-mail: RUBIAFRAGAALVES@GMAIL.COM 
 CNPJ: 05399163000102 
 Razão Social E.K. DE SOUZA &amp; CIA LTDA 
Senhores, por conta da nao liberação do cadastro
nao recebemos a oportunidade para o Transporte de coque verde
realizamod o cadastro em 18/11/2025
concluimos em 09/12/2025
portanto 35 dias 
e nao temos a conclusão
solicitamos a liberao do cadastro pra que possamos participar da oporetunidade com final 1109</t>
  </si>
  <si>
    <t xml:space="preserve">INC55093320 / 8001441846 </t>
  </si>
  <si>
    <t>Serviços//Cadastro na Petrobras//Reclamação//Reclamação: Repassada//Reclamação: Repassada Petrobras/Cadastro</t>
  </si>
  <si>
    <t>Reclamação: Repassada Petrobras/Cadastro</t>
  </si>
  <si>
    <t>INC55093688</t>
  </si>
  <si>
    <t>exclusão de famílias</t>
  </si>
  <si>
    <t>Chamado aberto pela URA
Usuário:JELEILOEIRO
CPF:35995785753
Taxnum:36040730000163
E-mail:secretaria@joaoemilio.com.br
Chat bot Atendimento humano</t>
  </si>
  <si>
    <t>INC55093632</t>
  </si>
  <si>
    <t xml:space="preserve">Proativo para dados de acesso. </t>
  </si>
  <si>
    <t xml:space="preserve">Nome do Contato: Pedro Sarzi Mihok
Usuário: NÃO TEM
Telefone: 11 945300538
E-mail: pedro.mihok@sky.com.br
CNPJ/Razão Social: 00497373000110 - SKY SERVICOS DE BANDA LARGA LTDA.
Descrição do problema: Proativo para dados de acesso. </t>
  </si>
  <si>
    <t>INC55093468</t>
  </si>
  <si>
    <t>Nome do Contato: VINICIUS OLIVEIRA
Usuário: VINICOLIVE10
Telefone: 79981614601
E-mail: vinicius.oliveira@vinaton.com.br 
CNPJ / Razão Social: 08378714000140
Boa tarde !
Fornecedora solicita o revalidação e atribuição de perfil em  seu usuário, para atualizar seus dados.  
Obrigado.</t>
  </si>
  <si>
    <t>VINICIUS  OLIVEIRA</t>
  </si>
  <si>
    <t>vinicius.oliveira@vinaton.com.br</t>
  </si>
  <si>
    <t xml:space="preserve">08378714000140 - VINATON TECNOLOGIA &amp; ENGENHARIA </t>
  </si>
  <si>
    <t>Giuseppe Feitoza</t>
  </si>
  <si>
    <t>GFEITOZA</t>
  </si>
  <si>
    <t>giuseppe@viprede.com</t>
  </si>
  <si>
    <t>05805349000114</t>
  </si>
  <si>
    <t>INC55093319</t>
  </si>
  <si>
    <t>Atualização de razão social</t>
  </si>
  <si>
    <t xml:space="preserve">Chamado: INC55093319
Nome: BRUNO HENRIQUE  BRAMBILA
Usuário: BRUNOBRA
E-mail: bruno.brambila@meetcall.com.br
Telefone: 041991916741 / 41 99875-8602
01999295001005-CENCOB SOLUCOES LTDA
Realizar um proativo com o fornecedor acima para auxiliar na mudança de razão social do mesmo.
</t>
  </si>
  <si>
    <t>INC55093292</t>
  </si>
  <si>
    <t>Nome do Contato: RONALDO ALVES DE LIMA
Usuário: MUNDIALCR
E-mail: ronaldo.lima@maravilhosacosmeticos.com.br 
Telefone: 11949045737
CNPJ/Razão Social: 23416036000156 
Fornecedor solicita desbloqueio do usuário MUNDIALCR</t>
  </si>
  <si>
    <t>RONALDO ALVES DE LIMA</t>
  </si>
  <si>
    <t>MUNDIALCR</t>
  </si>
  <si>
    <t>ronaldo.lima@maravilhosacosmeticos.com.br</t>
  </si>
  <si>
    <t xml:space="preserve">23416036000156 - </t>
  </si>
  <si>
    <t>INC55092870</t>
  </si>
  <si>
    <t>Solicitação de Correção Relatorio Petronect - Atendimento Presenciais</t>
  </si>
  <si>
    <t>Boa tarde @relacionamento.cadastro, tudo bem?
Em 09/01, eu e Elaine (líder técnica Spassu) concluímos a investigação e verificação dos dados (planilha Petronect enviada às terças-feiras X Atendimentos que de fato ocorreram na grade Petronect).
Analisamos uma amostra e chegamos à conclusão que o relatório não contempla todos os agendamentos da grade.
Evidências:
1- Na grade de dezembro/2025, o posto de Paulínia registrou 37 fornecedores presentes e no relatório semanal enviado pela Petronect aparecem apenas 26.  
2- Além disso, no relatório Petronect constam informações apenas a partir do dia 09/12/2025, porém houve atendimentos nos dias 02, 03 e 04/12/2025, que não aparecem no relatório. Também houve um atendimento no dia 23/12/2025 que não consta no relatório semanal.
Letícia Linhares
Gestão de Cadastro de Fornecedores</t>
  </si>
  <si>
    <t>Incidentes//Cadastro na Petrobras//Suporte//Eventos//Outros</t>
  </si>
  <si>
    <t>INC55092617</t>
  </si>
  <si>
    <t>Usuario bloqueado</t>
  </si>
  <si>
    <t xml:space="preserve">CHAMADO:INC55092617
CNPJ/RAZÃO SOCIAL:911309257926635816
NOME:KEVIN QIN
USUARIO:USR0068102
EMAIL:js10@chinajsgj.com
TEL:+8615732177342  47997879458
OPORTUNIDADE:
Prezados,
Sr(a) Igor solicita desbloqueio de usuario KEVIN QIN.
USR0068102
KEVIN QIN
+8615732177342 js10@chinajsgj.com 21.04.2024   Exibir  Bloqueado 
</t>
  </si>
  <si>
    <t>7004544618</t>
  </si>
  <si>
    <t>INC55092295</t>
  </si>
  <si>
    <t>Cadastro bloqueado - Redefinição de Senha</t>
  </si>
  <si>
    <t>Chamado criado pela área externa do Portal 
 Nome do Contato: JULIA MAINO CEZAR 
 Usuário: LAB.BIOENS 
 Telefone: 51 99580-4948 
 E-mail: COMERCIAL.LICITACOES@NSF.ORG 
 CNPJ: 94363204000164 
 Razão Social NSF BRASIL PRESTAÇÃO DE SERVIÇOS DE ANÁLIS 
 Venho tentando uma redefinição de senha já há alguns meses e não consigo. Já foi aberto um chamado, sem retorno. Agora, ao acessar, aparece uma mensagem de "conta bloqueada". 
Temos um contrato em andamento e precisamos atualizar documentos.</t>
  </si>
  <si>
    <t>SUZANA BARROS DE SOUZA JACINO</t>
  </si>
  <si>
    <t>LAB.BIOENS</t>
  </si>
  <si>
    <t>comercial.licitacoes@nsf.org</t>
  </si>
  <si>
    <t>93464204000164 - NSF BIOENSAIOS - PRESTACAO DE SERVICOS D</t>
  </si>
  <si>
    <t>INC55092164</t>
  </si>
  <si>
    <t>Nome do Contato: Cristina AGUIAR
Usuário: CMENOSSI
Telefone: (11) 42327176 - (11) 
E-mail: mbm@mbmsucatas.com.br 
CNPJ / Razão Social:  4415796400013
Boa tarde !
Fornecedora solicita o desbloqueio de seu usuário, para participar de um leilão e atualizar seus dados.  
Obrigado.</t>
  </si>
  <si>
    <t>Miguel Gomes</t>
  </si>
  <si>
    <t>mbm@mbmsucatas.com.br</t>
  </si>
  <si>
    <t>44157964000113 - MBM COMÉRCIO E RECICLAGEM DE FERRO E AÇO</t>
  </si>
  <si>
    <t>Gabriela  Gabriela</t>
  </si>
  <si>
    <t>G.PROQUALIT</t>
  </si>
  <si>
    <t>fiscal@proeletronic.com.br</t>
  </si>
  <si>
    <t>68389097000371 - PROQUALIT TELECOM LTDA</t>
  </si>
  <si>
    <t>INC55091902</t>
  </si>
  <si>
    <t>Solicitação de contato com o analista</t>
  </si>
  <si>
    <t>Sendo tratado no chamado: 8001440241</t>
  </si>
  <si>
    <t>Niklas  Schneider</t>
  </si>
  <si>
    <t>NSCHNEIDER</t>
  </si>
  <si>
    <t>niklas.schneider@itonics-innovation.com</t>
  </si>
  <si>
    <t>DE264438014 ITONICS GMBH</t>
  </si>
  <si>
    <t>INC55091575</t>
  </si>
  <si>
    <t>Usuario expirado</t>
  </si>
  <si>
    <t xml:space="preserve">CHAMADO:8001440148
CNPJ/RAZÃO SOCIAL:41775052000117 ALFATEC MARINE BRASIL LTDA
NOME:RAFAEL SANTOS CARNELOS
USUARIO:COMERCIAL011
EMAIL:brazil@alfatecmarine.com.br
TEL:51 9 9745-7007
OPORTUNIDADE:
Sr(a) Marcel solicita atualização de validade de usuário COMERCIAL011
</t>
  </si>
  <si>
    <t xml:space="preserve">8001440148 </t>
  </si>
  <si>
    <t>RAFAEL  SANTOS CARNELOS</t>
  </si>
  <si>
    <t>brazil@alfatecmarine.com.br</t>
  </si>
  <si>
    <t>41.775.052/0001-17 ALFATEC MARINE BRASIL LTDA</t>
  </si>
  <si>
    <t>INC55091228</t>
  </si>
  <si>
    <t>Chamado:  INC55091228
 Nome do Contato: VANESSA GOMES
 Usuário: VANESGOMES60
 Telefone: 21976131125
E-mail: vanessacrdd@yahoo.com.br
CNPJ / Razão Social: 34036009000174 - 34.036.009 VANESSA GOMES DA SILVA
Fornecedor(a) solicitou auxilio para o desbloqueio de seu usuário que expirou no dia 11/01/2026.
VANESGOMES60
VANESSA GOMES
21976131125 11.01.2026    Desbloqueado Exibir  vanessacrdd@yahoo.com.br</t>
  </si>
  <si>
    <t>VANESSA  GOMES</t>
  </si>
  <si>
    <t>vanessacrdd@yahoo.com.br</t>
  </si>
  <si>
    <t>34036009000174 - 34.036.009 VANESSA GOMES DA SILVA</t>
  </si>
  <si>
    <t>INC55091052</t>
  </si>
  <si>
    <t>INC55091052 +5521982877303
Nome do Contato: Mauricio José Vianna e Silva
CNPJ/Razão Social: 05940894000113
CPF: 942.083.447-68
Telefone: 21982877303
E-mail: mvianna@mjv.com.br
Usuário: MVIANNA
Oportunidade: 
CHAT BOT - Acesso portal cadastro
USR0053712
SIMONE DE OLIVEIRA MONTEIRO COUTINHO
21 9 98369-0440 simone.monteiro@mjv.com.br 15.12.2024    Desbloqueado
Prezados(a), fornecedor(a) solicita desbloqueio, atualização de validade e atribuições de perfis de seu usuário: USR0053712</t>
  </si>
  <si>
    <t>'+5521982877303</t>
  </si>
  <si>
    <t>SIMONE DE OLIVEIRA MONTEIRO COUTINHO</t>
  </si>
  <si>
    <t>simone.monteiro@mjv.com.br</t>
  </si>
  <si>
    <t>05940894000113 - MJV TECNOLOGIA &amp; INOVACAO LTDA</t>
  </si>
  <si>
    <t>INC55091004</t>
  </si>
  <si>
    <t xml:space="preserve">Fornecedor entrou em contato, solicitando suporte para a dar entrada em seu cadastro.
Para dar início ao processo de cadastramento, é necessário acessar o link: "Quer se Cadastrar?" no topo do Portal da Petronect e preencher as seguintes informações:
    • País de origem;
    • CNPJ (código fiscal para outros países);
    • Nome (nome do responsável pelo cadastro da empresa);
    • Sobrenome (sobrenome do responsável pelo cadastro da empresa);
    • Usuário (login desejado com no mínimo cinco caracteres e no máximo doze caracteres. Ele deve conter apenas letras, números, pontos (.), hífens (-) e sublinhados (_). Caracteres especiais ou letras acentuadas não são permitidos);
    • Correio Eletrônico 1 (informe o e-mail de contato. Será através desse e-mail que você receberá as suas credenciais de acesso);
    • Confirmar Correio Eletrônico 1 (confirme seu e-mail uma vez que ele tenha sido validado com sucesso);
    • Uma senha será gerada e direcionada para o e-mail informado.
    • Essa senha é provisória e expirará assim que houver o primeiro acesso ao Portal Petronect, sendo necessário criar uma senha. 
</t>
  </si>
  <si>
    <t>INC55090099</t>
  </si>
  <si>
    <t xml:space="preserve">INC55090099 +5571997028779
Nome do Contato: LUCIANA DO NASCIMENTO REIS
CNPJ/Razão Social: 31564014000161
CPF: 81927657504
Telefone: 71997028779
E-mail: adm@prevencaoalpinismo.com.br
Usuário: RODRICAMPO91
Oportunidade: 
CHAT BOT - Acesso portal cadastro
</t>
  </si>
  <si>
    <t>'+5571997028779</t>
  </si>
  <si>
    <t>RODRIGO CAMPOS</t>
  </si>
  <si>
    <t>RODRICAMPO91</t>
  </si>
  <si>
    <t>rodrigo@prevencaoalpinismo.com.br</t>
  </si>
  <si>
    <t xml:space="preserve">31564014000161 - </t>
  </si>
  <si>
    <t>INC55089872</t>
  </si>
  <si>
    <t>CHAT BOT - Bloquear / Desbloquear</t>
  </si>
  <si>
    <t xml:space="preserve">INC55089872 +5511994978927
Nome do Contato: Fábio Machado Hermsdorff
CNPJ/Razão Social: 22496930000110
CPF: 99908808753
Telefone: 11994978927
E-mail: comercial@eurocab.com.br
Usuário: EUROCABCOM
Oportunidade: 
CHAT BOT - Bloquear / Desbloquear
</t>
  </si>
  <si>
    <t xml:space="preserve">'+5511994978927 / 8001440147 </t>
  </si>
  <si>
    <t>FABIO MACHADO HERMSDORFF</t>
  </si>
  <si>
    <t>EUROCABCOM</t>
  </si>
  <si>
    <t>fabio.dorff@eurocab.com.br</t>
  </si>
  <si>
    <t>22496930000110 - EUROCAB COMERCIAL LTDA</t>
  </si>
  <si>
    <t>INC55089750</t>
  </si>
  <si>
    <t>Atualização Cadastral - Critério Legal</t>
  </si>
  <si>
    <t>Chamado criado pelo área interna do Portal 
 Nome do Contato: VINICIUS ARAUJO DE SOUZA DUTRA 
 Usuário: USR0068834 
 Telefone: 21 2292-4204 
 E-mail: engenharia@sdeng.com.br 
 CNPJ: 05351320000100 
 Razão Social SD ENGENHARIA LTDA 
 Bom dia, solicito uma informação a respeito de como deve ser feito o processo de renovação do critério legal no CRC do fornecedor. Visto que na aba questionário não há nenhum disponível para este fim. Por isso busco orientação sobre o processo para a renovação do critério legal no CRC.</t>
  </si>
  <si>
    <t xml:space="preserve">8001440153 </t>
  </si>
  <si>
    <t>VINICIUS ARAUJO DE SOUZA DUTRA</t>
  </si>
  <si>
    <t>engenharia@sdeng.com.br</t>
  </si>
  <si>
    <t>05351320000100 - SD ENGENHARIA LTDA</t>
  </si>
  <si>
    <t>INC55089362</t>
  </si>
  <si>
    <t>Nome do Contato: Fábio Gomes dos Santos
Usuário: FABIOGOMES94
E-mail: fabiogom@hotmail.com 
Telefone: 21996921886
CNPJ/Razão Social: 50148747000160 FABIO GOMES DOS SANTOS 50.148.747
Fornecedor solicita desbloqueio do usuário FABIOGOMES94</t>
  </si>
  <si>
    <t>FABIO  GOMES DOS SANTOS</t>
  </si>
  <si>
    <t>FABIOGOMES94</t>
  </si>
  <si>
    <t>fabiogom@hotmail.com</t>
  </si>
  <si>
    <t>50148747000160 FABIO GOMES DOS SANTOS 50.148.747</t>
  </si>
  <si>
    <t>INC55088932</t>
  </si>
  <si>
    <t>INC55088932 +5571992593184
Nome do Contato: David Alexandre da Costa Ribeiro
CNPJ/Razão Social: 15373711000189
CPF: 93887779568
Telefone: 71992593184
E-mail: david.ribeiro@plkd.com.br
Usuário: DAVIDALEX
Oportunidade: 7004553238
CHAT BOT - Abertura de chamados
AQUISIÇÃO BOMBA DE FUNDO BMF 7004553238 Petróleo Brasileiro S. A. DFINRI-SUPRIMENTOS Ativo Dispensa Item 13.01.2026 09:20:00 16.01.2026 17:00:00 Sim</t>
  </si>
  <si>
    <t>'+5571992593184 / 7004553238</t>
  </si>
  <si>
    <t>DAVID ALEXANDRE DA COSTA RIBEIRO</t>
  </si>
  <si>
    <t>DAVIDALEX</t>
  </si>
  <si>
    <t>david.ribeiro@plkd.com.br</t>
  </si>
  <si>
    <t>15373711000189 - PETROLINKED EQUIPAMENTOS E SERVICOS LTDA</t>
  </si>
  <si>
    <t>INC55088627</t>
  </si>
  <si>
    <t>Nome do Contato: Luciane Santana da Costa
Usuário: J.PROTTTGGG
E-mail: protege@protege-engenharia.com.br 
Telefone: 92984141438
CNPJ/Razão Social: 02611193000142 - PROTEGE ENGENHARIA CIVIL E AMBIENTAL LTD
Fornecedor solicita desbloqueio do usuário J.PROTTTGGG</t>
  </si>
  <si>
    <t>Júlio Magalhães</t>
  </si>
  <si>
    <t>protege@protege-engenharia.com.br</t>
  </si>
  <si>
    <t>02611193000142 - PROTEGE ENGENHARIA CIVIL E AMBIENTAL LTD</t>
  </si>
  <si>
    <t>INC55088385</t>
  </si>
  <si>
    <t>Chamado criado pela área externa do Portal 
 Nome do Contato: Antonio Rauff de Sousa 
 Usuário: ADDRDRRDRDDD 
 Telefone: 85974002802 
 E-mail: drdfilhos@uol.com.br 
 CNPJ: 03162777000140 
 Razão Social DRD FILHOS IND LTDA 
 Minha empresa está com acesso bloqueado ao tentar fazer login na plataforma, gostaria de ter uma orientação sobre como proceder. Não é senha errada ou usuario. A plataforma apenas informa o bloqueio.</t>
  </si>
  <si>
    <t>DENIS RAINIER LIMA SOUSA</t>
  </si>
  <si>
    <t>ADDRDRRDRDDD</t>
  </si>
  <si>
    <t>drdfilhos@uol.com.br</t>
  </si>
  <si>
    <t>03162777000140 - DRD INDUSTRIA DE ESTRUTURA METALICA</t>
  </si>
  <si>
    <t>INC55087921</t>
  </si>
  <si>
    <t xml:space="preserve">Acesso ao questionário </t>
  </si>
  <si>
    <t xml:space="preserve">Chamado: INC55087921
 Nome do Contato: Reijiane Nascimento
 Usuário: LICITAMAO
 Telefone: (92) 3652 1660
E-mail: comercial@manaus-aerotaxi.com
CNPJ / Razão Social: 02324940000161 -  MANAUS AEROTAXI PARTICIPACOES LTDA
Fornecedor(a) solicita auxilio para a cessar na parte do questionário, foi verificado no sistema o critério legal aparece aberto para mim, porém quando a fornecedora acessa a tabela não contem dados. Segue em anexo o print da tela da fornecedora e da minha. 
</t>
  </si>
  <si>
    <t xml:space="preserve"> 8001440104</t>
  </si>
  <si>
    <t>Reijiane  Nascimento</t>
  </si>
  <si>
    <t>LICITAMAO</t>
  </si>
  <si>
    <t>comercial@manaus-aerotaxi.com</t>
  </si>
  <si>
    <t>02324940000161 -  MANAUS AEROTAXI PARTICIPACOES LTDA</t>
  </si>
  <si>
    <t>INC55087730</t>
  </si>
  <si>
    <t>Chamado aberto pela URA
Usuário:PEREIRASILVA
CPF:04714379801
Taxnum:04714379801
E-mail:edson.pereira@shockmetais.com.br
Seu chamado foi registrado. Estamos lhe transferindo para o atendimento especializado.</t>
  </si>
  <si>
    <t>INC55087242</t>
  </si>
  <si>
    <t xml:space="preserve">Chamado:  INC55087242
 Nome do Contato: EDUARDA SANTOS DE ALMEIDA
 Usuário: FAZVENDAS
 Telefone: (21) 997796625
E-mail: fazvenda@gmail.com
CNPJ / Razão Social: 46983819000117  - FAZ VENDAS LTDA
Fornecedor(a) solicita auxilio para redefinição de senha, o mesmo autorizou em atendimento a redefinição, porém aparece a mesma mensagem que apareceu para o fornecedor .  
Informações do usuário e/ou e-mail incorretas. Por favor, tente novamente. 
Segue o print da tela do fornecedor em anexo.
FAZVENDAS
EDUARDA SANTOS DE ALMEIDA
(21) 997796625 31.12.9999    Desbloq. (Senha Expirada) Exibir  fazvenda@gmail.com
</t>
  </si>
  <si>
    <t>8001440049</t>
  </si>
  <si>
    <t>INC55087227</t>
  </si>
  <si>
    <t>Nome do Contato: João Lucas Pereira Alves de Castro
Usuário: IDSUBSEA
E-mail: comercial@id-subsea.com 
Telefone: 21981196218
CNPJ/Razão Social: 29419560000167 ID-SUBSEA COMÉRCIO E SERVIÇOS LTDA
Fornecedor solicita desbloqueio do usuário IDSUBSEA</t>
  </si>
  <si>
    <t>João Lucas Castro</t>
  </si>
  <si>
    <t>comercial@id-subsea.com</t>
  </si>
  <si>
    <t>29419560000167</t>
  </si>
  <si>
    <t>INC55087120</t>
  </si>
  <si>
    <t>CHAT BOT - Agendamento de Eventos</t>
  </si>
  <si>
    <t xml:space="preserve">INC55087120 +5511956697918
Nome do Contato: Gilvan Penha da Silva
CNPJ/Razão Social: 55511987000109
CPF: 33967492869
Telefone: 11956697918
E-mail: contratos@gstorres.com.br
Usuário: GSTORRES
Oportunidade: 
CHAT BOT - Agendamento de Eventos
</t>
  </si>
  <si>
    <t>'+5511956697918</t>
  </si>
  <si>
    <t>Incidentes//Cadastro na Petrobras//Suporte//Eventos//Agendamento de Eventos</t>
  </si>
  <si>
    <t>Agendamento de Eventos</t>
  </si>
  <si>
    <t>GILVAN  PENHA DA SILVA</t>
  </si>
  <si>
    <t>GSTORRES</t>
  </si>
  <si>
    <t>contratos@gstorres.com.br</t>
  </si>
  <si>
    <t>55511987000109 - GS TORRES DE RESFRIAMENTO LTDA</t>
  </si>
  <si>
    <t>INC55087008</t>
  </si>
  <si>
    <t>INC55087008 +5522992327533
Nome do Contato: João Pedro Aded Garuba
CNPJ/Razão Social: 53524270000168
CPF: 14218573751
Telefone: 22992327533
E-mail: joaopedroaded@skillupsolutions.pro
Usuário: JOAOPEDRO31
Oportunidade: 
CHAT BOT - Acesso portal cadastro
JOAOPEDRO31
JOAO PEDRO ADED GARUBA
22974051853 joaopedroaded@skillupsolutions.pro 03.08.2025    Desbloqueado
Prezados(a), fornecedor(a) solicita desbloqueio, atualização de validade e atribuições de perfis de seu usuário: JOAOPEDRO31</t>
  </si>
  <si>
    <t>'+5522992327533</t>
  </si>
  <si>
    <t>JOAO PEDRO ADED GARUBA</t>
  </si>
  <si>
    <t>JOAOPEDRO31</t>
  </si>
  <si>
    <t>joaopedroaded@skillupsolutions.pro</t>
  </si>
  <si>
    <t>53524270000168 - 53.524.270 JOAO PEDRO ADED GARUBA</t>
  </si>
  <si>
    <t>INC55086966</t>
  </si>
  <si>
    <t>Nome do Contato: DENILDO NUNES DE MACEDO
Usuário: DENILDONUNES
E-mail: contato@powerstartenergy.com.br 
Telefone: 21998568040
CNPJ/Razão Social: 25208572000191
Fornecedor solicita o desbloqueio do usuário DENILDONUNES</t>
  </si>
  <si>
    <t>INC55086826</t>
  </si>
  <si>
    <t>CRC – Certificado de Registro Cadastral</t>
  </si>
  <si>
    <t>Chamado criado pelo área interna do Portal 
 Nome do Contato: CLAUDIO PARCIAL REINOSO 
 Usuário: 12375678 
 Telefone: (21) 2223-1656 
 E-mail: multplic@multplic.com.br 
 CNPJ: 04047160000147 
 Razão Social REINOSO MULT PLIC EXECUCOES E REFORMAS L 
 Bom dia,
Nosso CRC – Certificado de Registro Cadastral esta vencido, venceu em 15/08/25
Como faço para atualizar Novo CRC?</t>
  </si>
  <si>
    <t xml:space="preserve">8001440057 </t>
  </si>
  <si>
    <t>CLAUDIO  PARCIAL REINOSO</t>
  </si>
  <si>
    <t>12375678</t>
  </si>
  <si>
    <t>multplic@multplic.com.br</t>
  </si>
  <si>
    <t>04047160000147 - REINOSO MULT PLIC EXECUCOES E</t>
  </si>
  <si>
    <t>INC55086726</t>
  </si>
  <si>
    <t>Autenticação eCNPJ – documentos não disponíveis para visualização</t>
  </si>
  <si>
    <t>Oportunidade CADASTRO 
 Chamado criado pelo área interna do Portal 
 Nome do Contato: ANELISE SANDER RODRIGUES 
 Usuário: EMASTERCLOUD 
 Telefone: 31987377677 
 E-mail: ester.queiroz@emaster.info 
 CNPJ: 18232941000116 
 Razão Social E-MASTER CLOUD 
 Prezados,
Ao tentar realizar o cadastro da empresa no portal PetroConect, especificamente na etapa “Identificação da empresa”, é solicitada a autenticação por meio do eCNPJ, utilizando o certificado digital da empresa.
Contudo, no momento da validação, o sistema exibe a mensagem “Você está assinando 2 documentos” ou, em algumas tentativas, “Você está assinando 3 documentos”. Ocorre que não é disponibilizada qualquer opção para visualização ou verificação prévia desses documentos, não sendo possível identificar exatamente quais documentos estão sendo assinados antes da confirmação da assinatura via certificado digital.
Diante disso, solicitamos, por gentileza, esclarecimentos sobre:
1. Quais são os documentos mencionados na etapa de assinatura.
2. Como é possível acessá-los ou visualizá-los previamente antes de concluir a assinatura com o certificado digital.
3. Se trata-se de uma funcionalidade indisponível no momento ou de alguma configuração específica do sistema ou do navegador.
Permanecemos no aguardo das orientações para prosseguirmos com o cadastro de forma segura e conforme as boas práticas de compliance.
Desde já, agradecemos a atenção.</t>
  </si>
  <si>
    <t>ANELISE SANDER RODRIGUES</t>
  </si>
  <si>
    <t>EMASTERCLOUD</t>
  </si>
  <si>
    <t>ester.queiroz@emaster.info</t>
  </si>
  <si>
    <t>18232941000116 - E-MASTER CLOUD</t>
  </si>
  <si>
    <t>INC55086690</t>
  </si>
  <si>
    <t>CONTA BLOQUEADA</t>
  </si>
  <si>
    <t>Chamado criado pela área externa do Portal 
 Nome do Contato: LAILA 
 Usuário: USR0020781 
 Telefone: 71999325112 
 E-mail: HIDROQUIMICA@HIDROQUIMICA.COM.BR 
 CNPJ: 13433289000184 
 Razão Social HIDRO QUIMICA SERVIÇOS ESPECALIZADOS LTDA 
 PRECISO DESBLOQUEAR A CONTA DO USUARIO USR0020781</t>
  </si>
  <si>
    <t>ASDRUBAL  BATISTA ALVIM</t>
  </si>
  <si>
    <t>hidroquimica@hidroquimica.com.br</t>
  </si>
  <si>
    <t>13433289000184 - HIDRO QUIMICA SERVICOS ESPECIALIZADOS LT</t>
  </si>
  <si>
    <t>INC55086628</t>
  </si>
  <si>
    <t>Chamado aberto pela URA
Usuário:AUGUSTO4906
CPF:66874475568
Taxnum:27884122000144
E-mail:augusto.evangelista@sjkinspecoes.com.br
Seu chamado foi registrado. Estamos lhe transferindo para o atendimento especializado.</t>
  </si>
  <si>
    <t>AUGUSTO CESAR  FERREIRA EVANGELISTA</t>
  </si>
  <si>
    <t>augusto.evangelista@sjkinspecoes.com.br</t>
  </si>
  <si>
    <t>27884122000144 - SJK MANUTENÇAO E SEVIÇO LTDA-ME</t>
  </si>
  <si>
    <t>INC55086458</t>
  </si>
  <si>
    <t>Solicitação de Desbloqueio 80732928000442.</t>
  </si>
  <si>
    <t>Prezados, bom dia!
Recebi um e-mail da empresa ATRIO HOTEIS S.A., CNPJ: 80732928000442, solicitando criação de usuário administrador, porém ao buscar aparece a informação que a empresa está com status "Bloqueado".
Peço apoio da Equipe.</t>
  </si>
  <si>
    <t>INC55085986</t>
  </si>
  <si>
    <t>erro na atualização do cadastro</t>
  </si>
  <si>
    <t>Oportunidade 3001209457 
 Chamado criado pelo área interna do Portal 
 Nome do Contato: RICARDO SALES 
 Usuário: VIDRAKPORTAL 
 Telefone: 1149033113 
 E-mail: vendas.portais@vidrak.com.br 
 CNPJ: 22633336000124 
 Razão Social VIDRAK VISORES DE VIDROS INDUSTRIAIS LTD 
 Estamos respondendo o questionario de avaliação porem esta retornando favor verificar</t>
  </si>
  <si>
    <t>Ricardo Sales</t>
  </si>
  <si>
    <t>VIDRAKPORTAL</t>
  </si>
  <si>
    <t>vendas.portais@vidrak.com.br</t>
  </si>
  <si>
    <t>22633336000124 - VIDRAK VISORES DE VIDROS INDUSTRIAIS LTD</t>
  </si>
  <si>
    <t>INC55085928</t>
  </si>
  <si>
    <t>Erro no cadastro de dados bancários – Número de agência e/ou dígito inválido</t>
  </si>
  <si>
    <t>Chamado criado pela área externa do Portal 
 Nome do Contato: Bruno Marjackson 
 Usuário: CKMACAPA 
 Telefone: (96) 98113-5828 
 E-mail: bruno@centerkennedy.com.br 
 CNPJ: 10228674000100 
 Razão Social CENTER KENNEDY COMERCIO LTDA 
 Prezados(as),
Venho, por meio deste, solicitar o apoio do suporte técnico do Petronect em razão de uma inconsistência identificada durante o cadastro dos dados bancários da minha empresa no portal.
Ao realizar o preenchimento dos dados no campo Dados Bancários, informo corretamente as seguintes informações:
Banco: Banco do Brasil S.A.
Agência: 4544-6
Conta Corrente: 631353-1
Entretanto, ao tentar prosseguir com o salvamento/avanço do cadastro, o campo referente ao número da agência é automaticamente destacado em vermelho e, no campo superior da tela, é exibida a seguinte mensagem de erro:
“Número de agência e/ou dígito inválido”.
Ressalto que os dados informados estão corretos e conferem exatamente com aqueles fornecidos pela instituição bancária. Ainda assim, o sistema não permite a validação das informações, o que impossibilita a continuidade e finalização do cadastro no portal.
Diante do exposto, solicito, por gentileza, uma orientação ou verificação técnica para que seja possível corrigir essa inconsistência e concluir o cadastro dos dados bancários com êxito.
Desde já, agradeço a atenção e fico no aguardo de um retorno com as devidas orientações.
Atenciosamente,
Bruno Marjackson</t>
  </si>
  <si>
    <t>BRUNO MARJACKSON</t>
  </si>
  <si>
    <t>CKMACAPA</t>
  </si>
  <si>
    <t>bruno@centerkennedy.com.br</t>
  </si>
  <si>
    <t xml:space="preserve">10228674000100 - </t>
  </si>
  <si>
    <t>INC55085904</t>
  </si>
  <si>
    <t>Nome de contato: Márcia B Borges 
Usuário: USR0045178
Telefone: 21 35255100    
E-mail: marciabrazao@superquip.com.br  
CNPJ/Razão social: 01101348 CONTROL SEAL B.V.
Fornecedor solicita desbloqueio do usuário e a atribuição do perfil de admnistrador, o mesmo encontra-se expirado.
21 35255100 06.07.2025 Desbloqueado  marciabrazao@superquip.com.br 
USR0045178
Exibir  
Márcia B Borges</t>
  </si>
  <si>
    <t>INC55085658</t>
  </si>
  <si>
    <t xml:space="preserve">Bom dia, 
Fornecedor entrou em contato, solicitando suporte para a dar entrada em seu cadastro.
Para dar início ao processo de cadastramento, é necessário acessar o link: "Quer se Cadastrar?" no topo do Portal da Petronect e preencher as seguintes informações:
    • País de origem;
    • CNPJ (código fiscal para outros países);
    • Nome (nome do responsável pelo cadastro da empresa);
    • Sobrenome (sobrenome do responsável pelo cadastro da empresa);
    • Usuário (login desejado com no mínimo cinco caracteres e no máximo doze caracteres. Ele deve conter apenas letras, números, pontos (.), hífens (-) e sublinhados (_). Caracteres especiais ou letras acentuadas não são permitidos);
    • Correio Eletrônico 1 (informe o e-mail de contato. Será através desse e-mail que você receberá as suas credenciais de acesso);
    • Confirmar Correio Eletrônico 1 (confirme seu e-mail uma vez que ele tenha sido validado com sucesso);
    • Uma senha será gerada e direcionada para o e-mail informado.
    • Essa senha é provisória e expirará assim que houver o primeiro acesso ao Portal Petronect, sendo necessário criar uma senha. 
Este chamado será encerrado porém permanecemos a disposição. 
Atenciosamente,
Equipe Petronect.
</t>
  </si>
  <si>
    <t>INC55085386</t>
  </si>
  <si>
    <t>Chamado:  INC55085386
 Nome do Contato: GISELE HEBE BIGARELLI
 Usuário: GISELE_B
 Telefone: -
E-mail: gisele.bigarelli@emerson.com
CNPJ / Razão Social: 43213776000100 - EMERSON PROCESS MANAGEMENT LTDA
Fornecedor(a) solicita auxilio para o desbloqueio de seu usuário que expirou no dia 01/06/2025.
GISELE_B
GISELE HEBE BIGARELLI
  01.06.2025    Desbloqueado Exibir  gisele.bigarelli@emerson.com</t>
  </si>
  <si>
    <t>8001440016</t>
  </si>
  <si>
    <t>GISELE  HEBE BIGARELLI</t>
  </si>
  <si>
    <t>GISELE_B</t>
  </si>
  <si>
    <t>gisele.bigarelli@emerson.com</t>
  </si>
  <si>
    <t>INC55070945</t>
  </si>
  <si>
    <t>RECUPERAÇÃO DA SENHA</t>
  </si>
  <si>
    <t>Chamado criado pela área externa do Portal 
 Nome do Contato: EDVANIA ALVES 
 Usuário: DYNAMIS01 
 Telefone: 2733154572 
 E-mail: qualidade@dynamis.site 
 CNPJ: 48958632000199 
 Razão Social DYNAMIS FACILITIES LTDA 
 Solicito apoio para recuperação de senha de acesso ao cadastro da empresa Dynamis Facilities Ltda, CNPJ 48.958.632/0001-99, no sistema Petrobras.
O usuário DYNAMIS01 encontra-se sem acesso em razão de perda/esquecimento da senha.
Solicito, por gentileza, a orientação para redefinição da senha ou o envio de instruções para recuperação do acesso, a fim de dar continuidade aos procedimentos de cadastro.</t>
  </si>
  <si>
    <t>THIAGO DE MELLO</t>
  </si>
  <si>
    <t>comercial@dynamis.site</t>
  </si>
  <si>
    <t xml:space="preserve">48958632000199 - </t>
  </si>
  <si>
    <t>INC55070474</t>
  </si>
  <si>
    <t>Nome do Contato: SIDILENE APARECIDA DE SOUZA LIMA
Usuário: MULTICURSOS
Telefone: 27 99626-9500 27 99715-0070 
E-mail: sidilene@multicursosesonline 
CNPJ / Razão Social: 28783359000100
Chamado atendido no seguinte protocolo: 8001439972</t>
  </si>
  <si>
    <t>INC55070466</t>
  </si>
  <si>
    <t>Nome de contato:Valdirene Ap de Campos
Usuário:VALAGILE (15)3218-1756  vendas@agilesolucoes.com.br 
CPF:099.216.888-04
Telefone:15997186467
E-mail:valdirene@agilesolucoes.com.br
CNPJ/Razão social:08280479000179 PROTEC METROLOGIA COMERCIO E CENTRO PETROPOLIS
Por falta de interação o atendimento está sendo finalizado.</t>
  </si>
  <si>
    <t>2b556307-a02e-4d62-ba9f-b219508d01c7</t>
  </si>
  <si>
    <t>INC55070135</t>
  </si>
  <si>
    <t>ACESSO</t>
  </si>
  <si>
    <t>Chamado criado pela área externa do Portal 
 Nome do Contato: AGENOR SOARES DUTRA 
 Usuário: AGENOR 
 Telefone: 27 997873399 
 E-mail: agenor.dutra@ayko.tech 
 CNPJ: 05805349000114 
 Razão Social AYKO TECNOLOGIA LTDA 
 Fizemos nosso cadastro e nunca acessamos. Estamos necessitando acessar para participar de processo licitatorio. Gostariamos de ter orientação como atualizar a senha</t>
  </si>
  <si>
    <t>INC55070042</t>
  </si>
  <si>
    <t>Nome do Contato: GRF DESSECANTES LTDA
Usuário: GRFVENDAS9
E-mail: vendas9@grfdessecantes.com.br 
Telefone: 15996796488
CNPJ/Razão Social: 20922582000170 - GRF DESSECANTES LTDA
Fornecedor solicita desbloqueio do usuário GRFVENDAS9</t>
  </si>
  <si>
    <t>Alessandra Rodrigues</t>
  </si>
  <si>
    <t>GRFVENDAS9</t>
  </si>
  <si>
    <t>vendas9@grfdessecantes.com.br</t>
  </si>
  <si>
    <t>20922582000170 - GRF DESSECANTES LTDA</t>
  </si>
  <si>
    <t>INC55070015</t>
  </si>
  <si>
    <t xml:space="preserve">Nome de contato: Fernando Gama
Usuário: FERGAMA 
Telefone: 7136440536   
E-mail: dfgcompras@gmail.com  
CNPJ/Razão social: 00071760000190 DFG CONSTRUÇÕES LTDA - ME
Fornecedor solicita desbloqueio do usuário e a atribuição do perfil de admnistrador, o mesmo encontra-se expirado.
7136440536 06.12.2022 Bloq. (Senha Expirada)  dfgcompras@gmail.com 
FERGAMA
Exibir  
Fernando Gama
Obs: A empresa encontra-se com status desistente, aberto o chamado 8001439928 </t>
  </si>
  <si>
    <t xml:space="preserve">8001439928 </t>
  </si>
  <si>
    <t>Fernando Gama</t>
  </si>
  <si>
    <t xml:space="preserve">FERGAMA </t>
  </si>
  <si>
    <t>dfgcompras@gmail.com</t>
  </si>
  <si>
    <t>00071760000190 - DFG CONSTRUÇÕES LTDA - ME</t>
  </si>
  <si>
    <t>INC55069856</t>
  </si>
  <si>
    <t xml:space="preserve">Aderi ao perfil de administrador </t>
  </si>
  <si>
    <t>Chamado:  INC55069856
 Nome do Contato: JOSENILDA SOARES BEZERRA
 Usuário: USR0070999
 Telefone: 84 3204-5093
E-mail: josenilda.soares@ale.com.br
CNPJ / Razão Social: 23314594002669 - ALE COMBUSTIVEIS S A
Fornecedor(a) solicitou auxilio para aderi ao perfil de administrador .
USR0070999
JOSENILDA SOARES BEZERRA
84 3204-5093 31.12.9999    Desbloqueado Exibir  josenilda.soares@ale.com.br</t>
  </si>
  <si>
    <t xml:space="preserve">8001440007 </t>
  </si>
  <si>
    <t>JOSENILDA  SOARES BEZERRA</t>
  </si>
  <si>
    <t>josenilda.soares@ale.com.br</t>
  </si>
  <si>
    <t>23314594002669 - ALE COMBUSTIVEIS S A</t>
  </si>
  <si>
    <t>INC55069840</t>
  </si>
  <si>
    <t xml:space="preserve">Nome do Contato: PERICLES EMANOEL MASCARENHAS MAGALHAES
Usuário: PERICLES
Telefone: +55 71 98199-1268 
E-mail: pericles.magalhaes@gpssa.com.br 
CNPJ / Razão Social: 03695461000386
Fornecedor solicita auxilio para acesso ao portal, porem consta usuário Bloqueado.
Ao verificar no sistema SRM não há bloqueio e nem validade vencida, porem verificando no Sap esta com Bloqueio administrador sendo o único usuário do cadastro, portando a superior orientou a realizar o chamado para verificação. </t>
  </si>
  <si>
    <t>INC55069732</t>
  </si>
  <si>
    <t xml:space="preserve">Chamado: INC55069732
 Nome do Contato: IAGO AFONSO LEITE NUNES
 Usuário: DELTAIAGO
 Telefone: 11982055261
E-mail: iago.nunes@deltaww.com
CNPJ / Razão Social: 28738080000104 -  DELTA ELECTRONICS BRASIL LTDA.
Fornecedor(a) informou que ao tentar acessar o portal estava dando conta bloqueada, foi verificado no sistema não consta nem um bloqueio. O mesmo autorizou em atendimento a redefinição de senha. Nova senha atribuída e enviada por e-mail
Atenciosamente,
Equipe Petronect
</t>
  </si>
  <si>
    <t>IAGO  AFONSO LEITE NUNES</t>
  </si>
  <si>
    <t>DELTAIAGO</t>
  </si>
  <si>
    <t>iago.nunes@deltaww.com</t>
  </si>
  <si>
    <t>28738080000104-DELTA ELECTRONICS BRASIL LTDA</t>
  </si>
  <si>
    <t>INC55069428</t>
  </si>
  <si>
    <t>criação de novo usuário</t>
  </si>
  <si>
    <t>nome do Contato:Paulo  
Usuário:   
Telefone:   
E-mail:       
CNPJ / Razão Social:23314594001778 ALE COMBUSTIVEL S.A
0010048959 BR1 23314594001778 ALE COMBUSTIVEL S.A TUBARAO VITORIA ES BR regina.lima@ale.com.br  17.02.2014 17:43:34 PNE_JOBS Inativo  0 0
Fornecedor(a) entrou em contato solicitando auxilio para criação de novo usuário ,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t>
  </si>
  <si>
    <t>INC55069318</t>
  </si>
  <si>
    <t>INC55069318 +5547997714875
Nome do Contato: FERNANDA KNIESS ROHDEN
CNPJ/Razão Social: 02234785000192
CPF: 081.151.239-86
Telefone: 4735630491
E-mail: contratos@pronatur.com.br
Usuário: TIAGOKNIES21
Oportunidade: 7004545462
CHAT BOT - Acesso portal cadastro
Serviços de Educação Ambiental e Açõe... 7004545462 Petróleo Brasileiro S. A. DFINRI-SUPRIMENTOS Ativo LP DFP Total 17.12.2025 13:00:00 20.01.2026 17:00:00 Sim</t>
  </si>
  <si>
    <t>'+5547997714875 / 7004545462</t>
  </si>
  <si>
    <t>INC55069028</t>
  </si>
  <si>
    <t xml:space="preserve">INC55069028 +5527999619065
Nome do Contato: RITA DE CASSIA SABADINI SILVA
CNPJ/Razão Social: 44949192000152
CPF: 81767986734
Telefone: 27999619065
E-mail: SABADINISSILVA@GMAIL.COM
Usuário: 
Oportunidade: 
CHAT BOT - Quer se cadastrar na Petrobras
</t>
  </si>
  <si>
    <t>'+5527999619065</t>
  </si>
  <si>
    <t>INC55068787</t>
  </si>
  <si>
    <t>Reiteração formal – necessidade de atualização de CNPJ vinculado ao cadastro Petronect</t>
  </si>
  <si>
    <t>Chamado criado pelo área interna do Portal 
 Nome do Contato: ALESSANDRA PIETSCH FAVERO 
 Usuário: ALE7755 
 Telefone: 51999155218 
 E-mail: alessandra_favero@yahoo.com.br 
 CNPJ: 14451335000130 
 Razão Social  
 Prezados,
Boa tarde.
Reiteramos o contato, tendo em vista que as respostas anteriores não endereçaram o ponto central da solicitação.
Esclarecemos, de forma objetiva, que não há qualquer impedimento relacionado a certificado digital, e-CNPJ ou token. A empresa Sun7 possui dois CNPJs ativos, ambos com certificados digitais válidos e operacionais.
O problema identificado é exclusivamente cadastral:
o Portal Petronect encontra-se atualmente vinculado a um CNPJ que não é o correto para utilização nos processos junto à Petrobras, o que impede a conclusão das validações no sistema, independentemente da presença do certificado.
Dessa forma, solicitamos o devido tratamento para atualização do CNPJ vinculado ao cadastro, conforme abaixo:
• CNPJ atualmente vinculado no sistema:14.451.335/0001-30
• CNPJ correto que deve permanecer vinculado: 04.983.541/0001-38
Ressaltamos que a validação somente poderá ser concluída após o ajuste do vínculo cadastral, motivo pelo qual solicitamos, com urgência, a orientação adequada ou a realização do ajuste pela equipe responsável pelo cadastro.
Permanecemos à disposição para eventuais esclarecimentos adicionais e aguardamos retorno objetivo quanto ao procedimento a ser adotado.
Atenciosamente,
Alessandra Favero
Sun7Premium
Telefone: (51) 99915-3271
E-mail: alessandra_favero@yahoo.com.br</t>
  </si>
  <si>
    <t xml:space="preserve">ALESSANDRA  PIETSCH FAVERO </t>
  </si>
  <si>
    <t xml:space="preserve"> ALE7755 </t>
  </si>
  <si>
    <t>alessandra_favero@yahoo.com.br</t>
  </si>
  <si>
    <t>14451335000130</t>
  </si>
  <si>
    <t>INC55068663</t>
  </si>
  <si>
    <t>Dificuldades para Acessar a Petronect - Hotel Ibis Porto Alegre Aeroporto</t>
  </si>
  <si>
    <t>Chamado criado pela área externa do Portal 
 Nome do Contato: Vinicius Johann Taborda 
 Usuário:  
 Telefone: 05130181800 
 E-mail: h5670-gl@accor.com 
 CNPJ: 80732928000442 
 Razão Social ATRIO HOTEIS SA 
 Prezados, boa tarde!
Estamos com dificuldades para acessar o portal da Petronect devido não termos conhecimentos dos dados cadastrados na época da vinculação do CNPJ da empresa. Para redefinição da senha de acesso, está sendo solicitado USUÁRIO ou CPF e EMAIL cadastrado. Por se tratar de um cadastrado realizados a alguns anos e houve troca de colaboradores, não sabemos estas informações. Em contato pelo telefone 40209876 também não obtivemos sucesso para o reset de senha. Poderiam nos auxiliar, por gentileza?
Agradeço desde já!</t>
  </si>
  <si>
    <t>INC55068603</t>
  </si>
  <si>
    <t>Nome do Contato: Edina Siris dos Santos Rangel Alves=
Usuário: JEFFERSONUVV
E-mail: jefferson.cabral@uvv.br 
Telefone: 27992732418
CNPJ/Razão Social: 37745762000127
Fornecedor solicita desbloqueio do usuário JEFFERSONUVV</t>
  </si>
  <si>
    <t>Jefferson  Cabral</t>
  </si>
  <si>
    <t>JEFFERSONUVV</t>
  </si>
  <si>
    <t>jefferson.cabral@uvv.br</t>
  </si>
  <si>
    <t>37745762000127</t>
  </si>
  <si>
    <t>INC55068517</t>
  </si>
  <si>
    <t xml:space="preserve">INC55068517 +5515996507823
Nome do Contato: Valdirene Ap de Campos
CNPJ/Razão Social: 08280479000179
CPF: 099.216.888-04
Telefone: 15997186467
E-mail: valdirene@agilesolucoes.com.br
Usuário: VALAGILE
Oportunidade: 
CHAT BOT - 
</t>
  </si>
  <si>
    <t>INC55068241</t>
  </si>
  <si>
    <t>Nome de contato: DIOGO HENRIQUE FRANCO MARTINS
Usuário: TTOTALMS
Telefone: 04132646633   
E-mail: diogo.m@grupoaltum.com.br  
CNPJ/Razão social:   06088000000503 TOTAL - VIGILANCIA E SEGURANCA LTDA
Fornecedor solicita desbloqueio do usuário e a atribuição do perfil de admnistrador, o mesmo encontra-se expirado.
04132646633 10.11.2024 Desbloqueado  diogo.m@grupoaltum.com.br 
TTOTALMS
Exibir  
DIOGO HENRIQUE FRAN</t>
  </si>
  <si>
    <t>DIOGO HENRIQUE FRANCO MARTINS</t>
  </si>
  <si>
    <t>TTOTALMS</t>
  </si>
  <si>
    <t>diogo.m@grupoaltum.com.br</t>
  </si>
  <si>
    <t>06088000000503 TOTAL - VIGILANCIA E SEGURANCA LTDA</t>
  </si>
  <si>
    <t>INC55068124</t>
  </si>
  <si>
    <t xml:space="preserve">INC55068124 +556434530652
Nome do Contato: Frank Robert Pereira Andrade
CNPJ/Razão Social: 25263986000113
CPF: 59824131604
Telefone: 64992162057
E-mail: geral@extintoresdarfra.com.br
Usuário: FRANKANDRA87
Oportunidade: 
CHAT BOT - Redefinição de Senha
</t>
  </si>
  <si>
    <t>'+556434530652</t>
  </si>
  <si>
    <t>FRANK ROBERT PEREIRA ANDRADE</t>
  </si>
  <si>
    <t>FRANKANDRA87</t>
  </si>
  <si>
    <t>geral@extintoresdarfra.com.br</t>
  </si>
  <si>
    <t>25263986000113 - EXTINTORES DARFRA LTDA</t>
  </si>
  <si>
    <t>INC55067942</t>
  </si>
  <si>
    <t>INC55067942 +5521996572339
Nome do Contato: Celio Antonio Dias Andrade
CNPJ/Razão Social: 01791701000159
CPF: 58461400763
Telefone: 21999766477
E-mail: celio@grupomistermix.com.br
Usuário: MIST.ADM0004
Oportunidade: 
CHAT BOT - Acesso portal cadastro
MIST.ADM0004
Administrador da empresa MISTERMIX DISTRIBUIDORA DE PRODUTOS
21 38698923 celio@grupomistermix.com.br 14.09.2025    Desbloqueado
Prezados(a), fornecedor(a) solicita desbloqueio, atualização de validade e atribuições de perfis de seu usuário: MIST.ADM0004</t>
  </si>
  <si>
    <t>INC55067518</t>
  </si>
  <si>
    <t xml:space="preserve"> Nome do Contato: ALESSANDRA PIETSCH FAVERO 
 Usuário: NÃO TEM
 Telefone: 51999155218 
 E-mail: alessandra_favero@yahoo.com.br 
 CNPJ: 04983541000138
 Razão Social: ALESSANDRA PIETSCH FAVERO &amp; CIA LTDA
Favor realizar a criação de usuário conforme dados da planilha anexada. Obrigado!
CNPJ: 04983541000138
Razão Social: ALESSANDRA PIETSCH FAVERO &amp; CIA LTDA
Cidade: ESTEIO
Estado: RS
País: BR
Pessoa de Contato: ALESSANDRA PIETSCH FAVERO 
Telefone : 51999155218  
E-mail: alessandra_favero@yahoo.com.br
</t>
  </si>
  <si>
    <t>ALESSANDRA PIETSCH FAVERO</t>
  </si>
  <si>
    <t>ALE.FAVERO</t>
  </si>
  <si>
    <t>04983541000138 - ALESSANDRA PIETSCH FAVERO &amp; CIA LTDA</t>
  </si>
  <si>
    <t>INC55067451</t>
  </si>
  <si>
    <t>Abertura Questionário Legal</t>
  </si>
  <si>
    <t>Chamado criado pelo área interna do Portal 
 Nome do Contato: THAIS ANDREZZA GARCIA SILVA 
 Usuário: CNGE-THAIS 
 Telefone: +55 48 3035 8900 
 E-mail: thais@conenge-sc.com.br 
 CNPJ: 75554030000149 
 Razão Social CONENGE-SC CONSTRUCOES E ENGENHARIA S/A 
 Prezados, bom dia 
Solicitamos a abertura do questionário do critério legal 
No CRC informa que o nosso critério legal tem validade até 27/01/2026, com o objetivo de não deixar essa avaliação para última hora, estamos solicitando abertura do critério legal
atenciosamente</t>
  </si>
  <si>
    <t>INC55067371</t>
  </si>
  <si>
    <t>INC55067371 +5511942305754
Nome do Contato: Mayra Carolina Bertolinu
CNPJ/Razão Social: 52686962000140
CPF: 96199431987
Telefone: 41999772346
E-mail: financeiro@7eventos.com.br
Usuário: MBERTOLIM
Oportunidade: 
CHAT BOT - Acesso portal cadastro
MCBRINDES
Mayra Bertolini
  financeiro@mdlz.com 11.01.2026    Desbloqueado
Prezados(a), fornecedor(a) solicita desbloqueio, atualização de validade e atribuições de perfis de seu usuário: MCBRINDES</t>
  </si>
  <si>
    <t>'+5511942305754</t>
  </si>
  <si>
    <t>Mayra Bertolini</t>
  </si>
  <si>
    <t>MCBRINDES</t>
  </si>
  <si>
    <t>financeiro@mdlz.com</t>
  </si>
  <si>
    <t xml:space="preserve">52686962000140 - </t>
  </si>
  <si>
    <t>INC55067359</t>
  </si>
  <si>
    <t>INC55067359 +5511942305754
Nome do Contato: Mayra Carolina Bertolinu
CNPJ/Razão Social: 07739783000179
CPF: 96199431987
Telefone: 41999772346
E-mail: financeiro@7eventos.com.br
Usuário: MBERTOLIM
Oportunidade: 
CHAT BOT - Acesso portal cadastro
MAYRA7EVT
Mayra Bertolin
041 30583747 mayra@7eventos.com.br 17.05.2022    Bloqueado
Prezados(a), fornecedor(a) solicita desbloqueio, atualização de validade e atribuições de perfis de seu usuário: MAYRA7EVT</t>
  </si>
  <si>
    <t>Mayra Bertolin</t>
  </si>
  <si>
    <t>MAYRA7EVT</t>
  </si>
  <si>
    <t>mayra@7eventos.com.br</t>
  </si>
  <si>
    <t>07739783000179 - M BERTOLIN PRODUCOES E EVENTOS LTDA - ME</t>
  </si>
  <si>
    <t>INC55067150</t>
  </si>
  <si>
    <t>INC55067150 +5511942305754
Nome do Contato: Mayra Carolina Bertolinu
CNPJ/Razão Social: 52784611000171
CPF: 96199431987
Telefone: 41999772346
E-mail: financeiro@7eventos.com.br
Usuário: MBERTOLIM
Oportunidade: 
CHAT BOT - Acesso portal cadastro
MBERTOLIM
Mayra Bertolini
  financeiro@mdlz.com 11.01.2026    Desbloqueado
Prezados(a), fornecedor(a) solicita desbloqueio, atualização de validade e atribuições de perfis de seu usuário: MBERTOLIM</t>
  </si>
  <si>
    <t>MBERTOLIM</t>
  </si>
  <si>
    <t xml:space="preserve">52784611000171 - </t>
  </si>
  <si>
    <t>INC55066673</t>
  </si>
  <si>
    <t>cnpj: 19831488000127
nome : FABIO BORGES
telefone : 21 99388-7241
e-mail : fabio@haf.adm.br
usuario : HAFCALCULOS
expirado desde : 06.12.2022
INC55066673</t>
  </si>
  <si>
    <t xml:space="preserve">fabio borges </t>
  </si>
  <si>
    <t>HAFCALCULOS</t>
  </si>
  <si>
    <t>fabio@haf.adm.br</t>
  </si>
  <si>
    <t>INC55066656</t>
  </si>
  <si>
    <t>INC55066656 +5519997362621
Nome do Contato: ARIANE ALENCAR
CNPJ/Razão Social: 26679263000162
CPF: 03618991142
Telefone: 1934786661
E-mail: LICITACOES@SONERES.COM.BR
Usuário: SONERES
Oportunidade: 
CHAT BOT - Fornecimento de Bens e Serviços</t>
  </si>
  <si>
    <t>'+5519997362621</t>
  </si>
  <si>
    <t>ELSON ANDRE SANTOS DAS NEVES</t>
  </si>
  <si>
    <t>SONERES</t>
  </si>
  <si>
    <t>licitacoes@soneres.com.br</t>
  </si>
  <si>
    <t>26679263000162 - SON ILUMINACAO LTDA</t>
  </si>
  <si>
    <t>INC55066606</t>
  </si>
  <si>
    <t>Chamado criado pelo área interna do Portal 
 Nome do Contato: MARCOS NOGUEIRA TONIETTI 
 Usuário: MARCOGRID819 
 Telefone: 11943766019 
 E-mail: marcos.tonietti@ge.com 
 CNPJ: 05356949000819 
 Razão Social GRID SOLUTIONS TRANSMISSAO DE ENERGIA LT 
 Gostaria de saber ou receber o CRC da GE que está válido. Vocês possuem isso? podem enviar?</t>
  </si>
  <si>
    <t>MARCOS NOGUEIRA TONIETTI</t>
  </si>
  <si>
    <t>MARCOGRID819</t>
  </si>
  <si>
    <t>marcos.tonietti@ge.com</t>
  </si>
  <si>
    <t>05356949000819 - GRID SOLUTIONS TRANSMISSAO DE ENERGIA LT</t>
  </si>
  <si>
    <t>INC55066582</t>
  </si>
  <si>
    <t>Troca de dominio de e-mail</t>
  </si>
  <si>
    <t>Chamado criado pelo área interna do Portal 
 Nome do Contato: MARCOS NOGUEIRA TONIETTI 
 Usuário: MARCOGRID819 
 Telefone: 11943766019 
 E-mail: marcos.tonietti@ge.com 
 CNPJ: 05356949000819 
 Razão Social GRID SOLUTIONS TRANSMISSAO DE ENERGIA LT 
 Caros 
O email da GE devido a alterção do nome da Empresa para GE Vernova foi alterado.
por isso solicito a troca do dominio dos emails de @ge.com para @gevernova.com
Obrigado</t>
  </si>
  <si>
    <t>INC55066482</t>
  </si>
  <si>
    <t>Nome do Contato: karina Rejane Groch
Usuário: IAUSTRALIS19
E-mail: karina@institutoaustralis.org.br 
Telefone: 48999194400
CNPJ/Razão Social: 22961984000100 -  INSTITUTO AUSTRALIS DE PESQUISA E MONITORAMENTO AMBIENTAL
Fornecedora solicita desbloqueio do usuário IAUSTRALIS19</t>
  </si>
  <si>
    <t>KARINA REJANE GROCH</t>
  </si>
  <si>
    <t>IAUSTRALIS19</t>
  </si>
  <si>
    <t>karina@institutoaustralis.org.br</t>
  </si>
  <si>
    <t>22961984000100 -  INSTITUTO AUSTRALIS DE PESQUISA E MONITORAMENTO AMBIENTAL</t>
  </si>
  <si>
    <t>ANTONIO  JORDAO DE ANDRADE</t>
  </si>
  <si>
    <t>JMEXTINTORES</t>
  </si>
  <si>
    <t>jmextintores.se@gmail.com</t>
  </si>
  <si>
    <t>16917607000170</t>
  </si>
  <si>
    <t>INC55065999</t>
  </si>
  <si>
    <t>Solicitação de correção de CNPJ no cadastro de fornecedor – Petronect</t>
  </si>
  <si>
    <t>Chamado criado pelo área interna do Portal 
 Nome do Contato: ALESSANDRA PIETSCH FAVERO 
 Usuário: ALE7755 
 Telefone: 51999155218 
 E-mail: alessandra_favero@yahoo.com.br 
 CNPJ: 14451335000130 
 Razão Social  
 PrezadoNovidade!Clique para editars,
Boa tarde.
Entramos em contato para solicitar orientação e apoio para ajuste do CNPJ vinculado ao cadastro de fornecedor no Petronect.
A empresa Sun7 possui dois CNPJs ativos, e verificamos que o cadastro atual no sistema está associado a um CNPJ diferente daquele que deve ser utilizado para os processos junto à Petrobras. Diante disso, gostaríamos de informar a troca e receber as orientações necessárias para regularização.
CNPJ atualmente vinculado no cadastro:14.451.335/0001-30
CNPJ correto que deverá permanecer vinculado: 04.983.541/0001-38
No momento, não estamos anexando documentos, apenas solicitando a verificação e as instruções sobre o procedimento adequado para efetuar essa alteração no cadastro.
Ficamos no aguardo das orientações para que possamos dar continuidade aos processos no sistema.
Desde já, agradecemos a atenção.
Atenciosamente,</t>
  </si>
  <si>
    <t>INC55065886</t>
  </si>
  <si>
    <t xml:space="preserve">Nome de contato: Liadiane
Usuário: 
Telefone:    
E-mail:  
CNPJ/Razão social: 04837452000183  LUNAL MANUTENÇÃO DE APARELHOS DE REFRIGE
</t>
  </si>
  <si>
    <t>INC55065860</t>
  </si>
  <si>
    <t xml:space="preserve">Chamado: INC55065860
 Nome do Contato: PATRICIA SOARES
 Usuário: SUELI.RSVP
 Telefone: 011 5632 3100
E-mail: comercial@teleeventos.com.br
CNPJ / Razão Social: 03781125000194 - TELEEVENTOS RSVP E LOGISTICA PARA EVENTO
Fornecedor(a) solicitou auxilio para o desbloqueio de seu usuário que expirou no dia 06/12/2022 e aderi ao perfil de administrador. 
SUELI.RSVP
PATRICIA SOARES
011 5632 3100 06.12.2022    Bloqueado Exibir  comercial@teleeventos.com.br
</t>
  </si>
  <si>
    <t xml:space="preserve">8001439869 </t>
  </si>
  <si>
    <t>PATRICIA SOARES</t>
  </si>
  <si>
    <t>comercial@teleeventos.com.br</t>
  </si>
  <si>
    <t>03781125000194 - TELEEVENTOS RSVP E LOGISTICA PARA</t>
  </si>
  <si>
    <t>INC55065802</t>
  </si>
  <si>
    <t>Chamado aberto pela URA
Usuário:PERSIOGHERA
CPF:12920083856
Taxnum:13536459000156
E-mail:pghera@flexways.com.br
Seu chamado foi registrado. Estamos lhe transferindo para o atendimento especializado.</t>
  </si>
  <si>
    <t>PERSIO  GHERA JUNIOR</t>
  </si>
  <si>
    <t>PERSIOGHERA</t>
  </si>
  <si>
    <t>pghera@flexways.com.br</t>
  </si>
  <si>
    <t>INC55065797</t>
  </si>
  <si>
    <t xml:space="preserve">Nome de contato: ADRIANA CARVALHO
Usuário: DRICA12.0
Telefone: 21-9649-99965   
E-mail: comercial2@lunalmf.com.br  
CNPJ/Razão social: 19767677000188 PH CLIMA COMERCIO E SERVIÇO DE REFRIGERA
Fornecedor solicita desbloqueio do usuário e a atribuição do perfil de admnistrador, o mesmo encontra-se expirado.
21-9649-99965 06.12.2022 Bloqueado  comercial2@lunalmf.com.br 
DRICA12.0
Exibir  
ADRIANA CARVALHO
Obs: A empresa está com status desistente, aberto o chamado 8001439941 </t>
  </si>
  <si>
    <t xml:space="preserve">8001439941 </t>
  </si>
  <si>
    <t>INC55065763</t>
  </si>
  <si>
    <t>Nome de contato: Adriana
Usuário: PL.LUNAL
Telefone: 2124275425   
E-mail: paulo.lima@lunal.com.br  
CNPJ/Razão social: 16828340000145 LUNAL MANUTENÇÃO DE APARELHOS DE REFRIGE
Prezado Fornecedor, Seu chamado foi registrado, porém não foi possível dar continuidade ao atendimento devido à interrupção da ligação. 
2124275425 15.09.2023 Bloqueado  paulo.lima@lunal.com.br 
PL.LUNAL
Exibir  
PAULO LIMA</t>
  </si>
  <si>
    <t>PAULO LIMA</t>
  </si>
  <si>
    <t>PL.LUNAL</t>
  </si>
  <si>
    <t>paulo.lima@lunal.com.br</t>
  </si>
  <si>
    <t>16828340000145 - LUNAL MANUTENÇÃO DE APARELHOS DE REFRIGE</t>
  </si>
  <si>
    <t>INC55065665</t>
  </si>
  <si>
    <t>Nome do Contato: João Carlos de Souza Maximiano
Usuário: JCBATERAMAX
E-mail: interioredesignplanejados@gmail.com 
Telefone: 21965288602
CNPJ/Razão Social: 02697884000100 - INTERIORE PLANEJADOS LTDA-ME
Fornecedor solicita desbloqueio do usuário JCBATERAMAX</t>
  </si>
  <si>
    <t>joao carlos souza maximiano</t>
  </si>
  <si>
    <t>interioredesignplanejados@gmail.com</t>
  </si>
  <si>
    <t>02697884000100 - INTERIORE PLANEJADOS LTDA-ME</t>
  </si>
  <si>
    <t>INC55065463</t>
  </si>
  <si>
    <t>Pagamento da taxa de acesso</t>
  </si>
  <si>
    <t>Chamado criado pelo área interna do Portal 
 Nome do Contato: NIVALDO OLIVEIRA SANTOS 
 Usuário: SMTGSISTEMAS 
 Telefone: 12982158434 
 E-mail: nivaldo.oliveirasantos04@gmail.com 
 CNPJ: 09429370000113 
 Razão Social SMTG SISTEMAS E MONTAGEM DE TUBULAÇÕES E 
 Bom dia tudo bem? Estou com boleto emitido com vencimento no dia 02 janeiro de 2026,minha duvida seria se posso realizar o pagamento do boleto mesmo vencido ,ou é necessário a emissão de outro ? No portal não consegui emitir outro boleto.</t>
  </si>
  <si>
    <t xml:space="preserve"> NIVALDO  OLIVEIRA SANTOS </t>
  </si>
  <si>
    <t xml:space="preserve">SMTGSISTEMAS </t>
  </si>
  <si>
    <t>nivaldo.oliveirasantos04@gmail.com</t>
  </si>
  <si>
    <t xml:space="preserve">09429370000113    SMTG SISTEMAS E MONTAGEM DE TUBULAÇÕES E   </t>
  </si>
  <si>
    <t>INC55065359</t>
  </si>
  <si>
    <t>Criação de um novo usuario e de familia</t>
  </si>
  <si>
    <t>Chamado criado pela área externa do Portal 
 Nome do Contato: Maicon Batista 
 Usuário:  
 Telefone: 1533639
 E-mail: maicon.batista@automotion.com.br
 CNPJ: 
 Razão Social AUTOMOTION 
 Bom dia,
precisamos que seja criado um novo usuário para que possamos cadastrar uma nova família de atendimento em nosso cadastro.
Desde já agradeço
atenciosamente,</t>
  </si>
  <si>
    <t>INC55065272</t>
  </si>
  <si>
    <t>Nome do Contato: Marcos Roberto Fatobene
Usuário: USR0056878
E-mail: comercialsp@grupoguacu.com.br 
Telefone: 19999176067
CNPJ/Razão Social: 52742277000193 - PRODUTOS QUIMICOS GUACU INDUSTRIA E COME
Fornecedor solicita desbloqueio do usuário USR0056878</t>
  </si>
  <si>
    <t>INC55065230</t>
  </si>
  <si>
    <t xml:space="preserve">CHAT BOT - INC55065230 +5571992316260
Nome do Contato: Leiliane Souza Valverde
CNPJ/Razão Social: 10949452000178
CPF: 05326766531
Telefone: 71992316260
E-mail: licitacoes@hispaniatelecom.com.br
Usuário: HTELICITACAO
Oportunidade: 
- Dados de Acesso
</t>
  </si>
  <si>
    <t>'+5571992316260</t>
  </si>
  <si>
    <t>INC55065141</t>
  </si>
  <si>
    <t>AJUDA PARA CORRIGIR CADASTRO</t>
  </si>
  <si>
    <t>Chamado criado pela área externa do Portal 
 Nome do Contato: LEILIANE SOUZA VALVERDE 
 Usuário:  
 Telefone: 71992316260 
 E-mail: licitacoes@hispaniatelecom.com.br 
 CNPJ: 10949450000178 
 Razão Social  
 Olá, bom dia.
Realizei o cadastro do CNPJ 10.949.452/0001-78 com meu nome e CPF, porém fui orientada de que o correto é constar os dados do sócio administrador da empresa.
Correção do responsável legal (sócio administrador):
Nome: Faustino Louzao Pan
CPF: 751.340.801-78
E-mail: faustino.louzao@hispaniatelecom.com.br
Inclusão de novo usuário com acesso total ao portal:
Usuário: licitacoes1
Nome: Leiliane Souza Valverde
CPF: 053.267.665-31
E-mail: licitacoes@hispaniatelecom.com.br
Ao tentar realizar a alteração pelo portal (Minha Conta &gt; Editar), o campo encontra-se bloqueado para edição.
Diante disso, solicito, por gentileza, o ajuste dos dados cadastrais ou a liberação do acesso para que eu possa efetuar a correção.
Atenciosamente,
Leiliane Valverde</t>
  </si>
  <si>
    <t>INC55065041</t>
  </si>
  <si>
    <t>válvulas</t>
  </si>
  <si>
    <t>Chamado criado pelo área interna do Portal 
 Nome do Contato: RAFAEL SPADA ANGELO ANTONIO 
 Usuário: RAFAEL.SPADA 
 Telefone: 16997223976 
 E-mail: rafael@newequipamentos.ind.br 
 CNPJ: 50582366000194 
 Razão Social NEW SERVICE EQUIPAMENTOS INDUSTRIAIS LTD 
 Sou fabricante de válvulas borboleta e bi excentrica, gostaria de saber se é nescessario iso9001</t>
  </si>
  <si>
    <t xml:space="preserve">8001439957 </t>
  </si>
  <si>
    <t>RAFAEL SPADA ANGELO ANTONIO</t>
  </si>
  <si>
    <t>RAFAEL.SPADA</t>
  </si>
  <si>
    <t>rafael@newequipamentos.ind.br</t>
  </si>
  <si>
    <t>50582366000194 - NEW SERVICE EQUIPAMENTOS INDUSTRIAIS LTDA</t>
  </si>
  <si>
    <t>INC55064967</t>
  </si>
  <si>
    <t xml:space="preserve">CHAT BOT - INC55064967 +5547997714875
Nome do Contato: FERNANDA KNIESS ROHDEN
CNPJ/Razão Social: 02234785000192
CPF: 081.151.239-86
Telefone: 4735630491
E-mail: contratos@pronatur.com.br
Usuário: TIAGOKNIES21
Oportunidade: 
- Acesso portal cadastro
TIAGOROHDEN
TIAGO KNIESS ROHDEN
  tiago@pronatur.com.br 19.05.2024    Desbloqueado </t>
  </si>
  <si>
    <t>'+5547997714875</t>
  </si>
  <si>
    <t>INC55064947</t>
  </si>
  <si>
    <t>Nome do Contato: Adolfo Fernández
Usuário: PYRE2025
E-mail: pyre@pyre.com.ar 
Telefone: +5492644862222
CNPJ/Razão Social: 30711990530
Fornecedor solicita desbloqueio do usuário PYRE2025</t>
  </si>
  <si>
    <t>ADOLFO ENRIQUE  FERNANDEZ LEIVA</t>
  </si>
  <si>
    <t>pyre@pyre.com.ar</t>
  </si>
  <si>
    <t>30711990530</t>
  </si>
  <si>
    <t>INC55064930</t>
  </si>
  <si>
    <t>Problemas na utilização da conta</t>
  </si>
  <si>
    <t>Chamado criado pela área externa do Portal 
 Nome do Contato: Danilo Filipkowski 
 Usuário: G3FW 
 Telefone: 42999499494 
 E-mail: danilo.filipkowski.prestserv@petrobras.com.br 
 CNPJ:  
 Razão Social  
 Olá, estou embarcado em uma plataforma e e estou tendo dificuldades de utilização do teams e outros produtos petrobrás. Como posso proceder? 
Desde já obrigado.</t>
  </si>
  <si>
    <t>INC55064841</t>
  </si>
  <si>
    <t>Nome do Contato: ADRIELLY MARQUES
Usuário: USR0060963
E-mail: contato@stiloseguranca.com.br 
Telefone: 67996879829
CNPJ/Razão Social: 08112812000130 - STILO SEGURANÇA LTDA
Fornecedora solicita desbloqueio do usuário USR0060963</t>
  </si>
  <si>
    <t>INC55064785</t>
  </si>
  <si>
    <t xml:space="preserve">CHAT BOT - INC55064785 +5521964768582
Nome do Contato: João Emilio de Oliveira Filho
CNPJ/Razão Social: 36040730000163
CPF: 35995785753
Telefone: 2135534643
E-mail: secretaria@joaoemilio.com.br
Usuário: JELEILOEIRO
Oportunidade: 
------
</t>
  </si>
  <si>
    <t>'+5521964768582</t>
  </si>
  <si>
    <t>INC55064550</t>
  </si>
  <si>
    <t xml:space="preserve">CHAT BOT - INC55064550 +5581996800367
Nome do Contato: Nara Verilka Dos Santos Cavalcanti
CNPJ/Razão Social: 11184785001198 / 11184785000620
CPF: 09314626490
Telefone: 81996800367
E-mail: juridico@estaf.com.br
Usuário: USR0068306
Oportunidade: 
------
</t>
  </si>
  <si>
    <t>'+5581996800367</t>
  </si>
  <si>
    <t>NARA VERILKA DOS SANTOS CAVALCANTI</t>
  </si>
  <si>
    <t>juridico@estaf.com.br</t>
  </si>
  <si>
    <t>11184785001198 - ESTAF EQUIPAMENTOS S/A</t>
  </si>
  <si>
    <t>INC55064453</t>
  </si>
  <si>
    <t>Emissão de um novo boleto para pagameno da assinatura</t>
  </si>
  <si>
    <t>Chamado criado pelo área interna do Portal 
 Nome do Contato: PABLO HENRIQUE ALVES DE LACERDA 
 Usuário: MINERGEO 
 Telefone: 19999236922 
 E-mail: campo@minergeo.com.br 
 CNPJ: 49343239000153 
 Razão Social MINERGEO ASSESSORIA E PROJETOS EM GEOLOG 
 Não consigo cancelar o boleto vencido para emissão de um novo para realizar o pagamento da assinatura.</t>
  </si>
  <si>
    <t xml:space="preserve">PABLO  HENRIQUE ALVES DE LACERDA </t>
  </si>
  <si>
    <t>MINERGEO</t>
  </si>
  <si>
    <t>campo@minergeo.com.br</t>
  </si>
  <si>
    <t xml:space="preserve">493432390001 MINERGEO ASSESSORIA E PROJETOS EM GEOLOG </t>
  </si>
  <si>
    <t>INC55064353</t>
  </si>
  <si>
    <t xml:space="preserve">Chamado: INC55064353
 Nome do Contato: MAGNO DOS SANTOS
 Usuário: MAG2025
 Telefone: 21980358536
E-mail: magna.faturamento01@gmail.com
CNPJ / Razão Social: 53405801000101  - MAGNA EQUIPAMENTOS LTDA EPP
Fornecedor(a) solicitou auxilio para abertura dos questionários que não tinha aberto ainda, foi feita a confirmação de segurança. A mesma foi orientada a clicar em confirmar as famílias cadastradas em fornecimento e os questionários abriram para edição. 
Atenciosamente,
Equipe Petronect
</t>
  </si>
  <si>
    <t>MAGNO  DOS SANTOS</t>
  </si>
  <si>
    <t>magna.faturamento01@gmail.com</t>
  </si>
  <si>
    <t>53405801000101  - MAGNA EQUIPAMENTOS LTDA EPP</t>
  </si>
  <si>
    <t>INC55064179</t>
  </si>
  <si>
    <t>REDEFINIÇÃO DE USUÁRIO</t>
  </si>
  <si>
    <t>Chamado criado pela área externa do Portal 
 Nome do Contato: ARIBERTO MORAES ALVES 
 Usuário: ARIBERTO 
 Telefone: 81999777653 
 E-mail: mdltec@mdltec.com.br 
 CNPJ: 04012603000164 
 Razão Social MDL TECNOLOGIA LTDA 
 ESTAMOS COM PROBLEMA DE EFETUAR O LOGUIM NO SISTEMA PETRONET.</t>
  </si>
  <si>
    <t>ARIBERTO MORAES ALVES</t>
  </si>
  <si>
    <t>ARIBERTO</t>
  </si>
  <si>
    <t>mdltec@mdltec.com.br</t>
  </si>
  <si>
    <t>04012603000164 - MDL TECNOLOGIA LTDA</t>
  </si>
  <si>
    <t>INC55063723</t>
  </si>
  <si>
    <t>CHAT BOT - INC55063723 +5551989166759
Nome do Contato: Pedro Vitor Monego Rodrigues
CNPJ/Razão Social: 13203045000105
CPF: 86273809020
Telefone: 51989166759
E-mail: pedro.monego@s5engenharia.com.br
Usuário: PEDRO.MONEGO
Oportunidade: 7004308624
------
Serviços de Elaboração de Projetos de... 7004308624 Petróleo Brasileiro S. A. Pré Qualificação Ativo Pré-Qualifi. Subjeti 09.09.2024 10:00:00 30.12.9999 23:59:59 Não</t>
  </si>
  <si>
    <t>'+5551989166759 / 7004308624</t>
  </si>
  <si>
    <t>PEDRO VITOR MONEGO RODRIGUES</t>
  </si>
  <si>
    <t>PEDRO.MONEGO</t>
  </si>
  <si>
    <t>pedro.monego@s5engenharia.com.br</t>
  </si>
  <si>
    <t>13203045000105 - S5 ENGENHARIA LTDA - EPP</t>
  </si>
  <si>
    <t>INC55062922</t>
  </si>
  <si>
    <t xml:space="preserve">CHAT BOT - INC55062922 +5548999194400
Nome do Contato: karina Rejane Groch
CNPJ/Razão Social: 22961984000100
CPF: 73975176920
Telefone: 48999194400
E-mail: karina@institutoaustralis.org.br
Usuário: IAUSTRALIS19
Oportunidade: 
------
</t>
  </si>
  <si>
    <t>'+5548999194400</t>
  </si>
  <si>
    <t>INC55062702</t>
  </si>
  <si>
    <t>Resset de senha</t>
  </si>
  <si>
    <t>Chamado criado pela área externa do Portal 
 Nome do Contato: MARCELO PAEZ ROCHA 
 Usuário:  
 Telefone: 21995217437 
 E-mail: parrocha@icloud.com 
 CNPJ: (262816286 
 Razão Social  
 abri o chaado INC55048146. quando tento realizar o resset da senha, o processo trava na pagina anexo.</t>
  </si>
  <si>
    <t>MARCELO PAEZ ROCHA</t>
  </si>
  <si>
    <t>parrocha@icloud.com</t>
  </si>
  <si>
    <t>262816286 - TOTAL VALVE SYSTEMS</t>
  </si>
  <si>
    <t>INC55062027</t>
  </si>
  <si>
    <t>Troca de e mail cadastrado</t>
  </si>
  <si>
    <t>Chamado criado pela área externa do Portal 
 Nome do Contato: LEONARDO QUEIROZ RAMALHO 08335812799 
 Usuário: FLAVIO1 
 Telefone: 27999995215 
 E-mail: consultorialj@gmail.com 
 CNPJ: 19152189000166 
 Razão Social ALSTHOMEX ELETROMECÂNICA LTDA 
 Caros Srs., bom dia!
Estamos retomando o nosso cadastro, porém o e mail que está vinculado ao processo não existe mais. 
O usuário é o FLAVIO1 e o e mail vinculado é o rodrigo@kronex.com.br (não existe mais).
Com isso, solicitamos a alteração desse e mail citado acima para o e mail comercial@alsthomex.com.br.
Após essa troca de e mais, solicitaremos nova senha e continuaremos o processo. 
Em anexo estamos enviando:
1) - Certidão Simplficada da Junta Comercial;
2) - CNPJ;
3) - Alteração Contratual.
Desde já agradecemos a compreensão e aguardamos informações. 
Att,
Alsthomex</t>
  </si>
  <si>
    <t>Flavio Dias Martins</t>
  </si>
  <si>
    <t>FLAVIO1</t>
  </si>
  <si>
    <t>rodrigo@kronex.com.br</t>
  </si>
  <si>
    <t>19152189000166 - KRONEX PRODUTOS E SUPRIMENTOS INDUSTRIAI</t>
  </si>
  <si>
    <t>INC55054737</t>
  </si>
  <si>
    <t>Registration Request | HR Consulting and Leadership Development</t>
  </si>
  <si>
    <t>Chamado criado pela área externa do Portal 
 Nome do Contato: Silvia Silva 
 Usuário:  
 Telefone: +61 427351999 
 E-mail: silvia.silva@leadwellsucceed.com 
 CNPJ: 18671421391 
 Razão Social  
 Dear Sir or Madam,
Leadwell &amp; Succeed is a consulting firm specialising in People Management, HR Advisory and Leadership Development, with national and international operations. We are writing to express our interest in registering as a supplier with Petrobras for the provision of HR consulting services and leadership development programs. 
We support leaders, managers and organisations operating in complex environments, with a focus on strategic leadership, decision-making, people management, capability development and wellbeing integrated with performance. Our approach combines strategic insight with practical application and a strong understanding of contemporary organisational challenges. 
Leadwell &amp; Succeed offers services that can be delivered in English, with the aim of supporting Petrobras employees and leaders who operate or communicate in global corporate environments, strengthening leadership capability, communication skills and international effectiveness.
We would appreciate your guidance on how to register through the Petrobras supplier portal, including any requirements or next steps in the registration process. 
We would be pleased to provide any additional information or documentation required and look forward to your advice. 
Kind regards,
Silvia Silva
Founder and CEO | Leadwell &amp; Succeed</t>
  </si>
  <si>
    <t>Silvia Silva</t>
  </si>
  <si>
    <t>SILVIA_SILVA</t>
  </si>
  <si>
    <t>silvia.silva@leadwellsucceed.com</t>
  </si>
  <si>
    <t xml:space="preserve">18671421391 - </t>
  </si>
  <si>
    <t>INC55049816</t>
  </si>
  <si>
    <t>Help</t>
  </si>
  <si>
    <t>Chamado criado pela área externa do Portal 
 Nome do Contato: Anonymous 
 Usuário: Anonymous 
 Telefone:  
 E-mail:  
 CNPJ:  
 Razão Social  
 trying to register and can not get passed first step for Fiscal Code,  I do not have a log in and do not know how to get a log in
I just get an error each time</t>
  </si>
  <si>
    <t>LEANDRO  ROSA MARTINS</t>
  </si>
  <si>
    <t>JSOFTLTDA</t>
  </si>
  <si>
    <t>jsoft@jsoft.cloud</t>
  </si>
  <si>
    <t>28945266000126</t>
  </si>
  <si>
    <t>CHARLES DE SOUZA ARAUJO</t>
  </si>
  <si>
    <t>LOGISTICATSA</t>
  </si>
  <si>
    <t>comercial@souzaaraujo.com.br</t>
  </si>
  <si>
    <t>21185633000191 - TRANSPORTES SOUZA ARAUJO LOGISTICA E PRO</t>
  </si>
  <si>
    <t>INC55048377</t>
  </si>
  <si>
    <t>Dificuldade de Acesso ao cadastro</t>
  </si>
  <si>
    <t>Chamado criado pela área externa do Portal 
 Nome do Contato: EMANUEL DA MOTA PASSOS 
 Usuário: EMPASSOS 
 Telefone: 81996731328 
 E-mail: empassos@hotmail.com 
 CNPJ: 41187388000169 
 Razão Social QUASAR TECNOLOGIA LTDA 
 Prezados,
Estamos enfrentando dificuldades para acessar o login do Petronect e, por consequência, submeter a proposta referente ao Desafio nº 7004535171, cujo prazo final de envio encerra em 14/01/2026.
O login utilizado é EMPASSOS, vinculado ao CNPJ 41.187.388/0001-69 e ao CPF 253.759.204-25.
Inicialmente, tentamos a recuperação de acesso por meio do atendimento telefônico. Em resposta, foi enviada uma nova senha por e-mail, conforme mensagem anexada. No entanto, mesmo após a redefinição, o acesso continuou indisponível, retornando a mensagem de “usuário atualmente inválido”, conforme evidenciado nas imagens anexas.
Posteriormente, realizamos nova tentativa de acesso utilizando o navegador Google Chrome, ocasião em que o sistema passou a apresentar a mensagem de “login/senha inválido”, com orientação para redefinição de senha, conforme também demonstrado nos anexos.
Ressaltamos que seguimos todas as orientações recebidas, inclusive aguardando o prazo indicado para propagação da nova senha, porém sem sucesso. Também fomos informados de que, por política de segurança, a senha não pode ser reenviada, o que nos impede de concluir o acesso de forma autônoma.
Diante da proximidade do prazo final de submissão da proposta, solicitamos, com a máxima urgência, orientação sobre o procedimento adequado para regularização do acesso, ou alternativa formal que nos permita garantir a participação no referido desafio dentro do prazo estabelecido.
Permanecemos à disposição para quaisquer validações adicionais e encaminhamos, em anexo, as evidências das tentativas realizadas e os e-mails recebidos.
Atenciosamente,
Emanuel da Mota Passos
Quasar Tecnologia Ltda
Telefone: (81) 9 9673-1328
E-mail: empassos@hotmail.com</t>
  </si>
  <si>
    <t>EMANUEL DA MOTA PASSOS</t>
  </si>
  <si>
    <t>EMPASSOS</t>
  </si>
  <si>
    <t>empassos@hotmail.com</t>
  </si>
  <si>
    <t xml:space="preserve">41187388000169 - </t>
  </si>
  <si>
    <t>INC55048225</t>
  </si>
  <si>
    <t xml:space="preserve">Resultado de Avaliação </t>
  </si>
  <si>
    <t xml:space="preserve">Boa tarde, 
Fornecedor (a) solicita auxílio pois informou não conseguir visualizar seu Resultado de Avaliação no portal, aparece mensagem "DADOS INEXISTENTES".
 Ao tentar verificar em sistema o resultado, também me apareceu a mesma mensagem ""DADOS INEXISTENTES".
Seguem os prints em anexo.
Nome : 8001439758 / INC55048225
Usuário: ERGON.VIX
Telefone: 2797689488 
E-mail: ergon.vix@gmail.com
CNPJ: 62584757000127
Razão Social: ERGON DISTRIBUICAO E SOLUCOES COMERCIAIS
</t>
  </si>
  <si>
    <t xml:space="preserve">8001439758 </t>
  </si>
  <si>
    <t>ROBERTO COSTA JUNIOR</t>
  </si>
  <si>
    <t>ERGON.VIX</t>
  </si>
  <si>
    <t>ergon.vix@gmail.com</t>
  </si>
  <si>
    <t>62584757000127 - ERGON DISTRIBUICAO E SOLUCOES COMERCIAIS LTDA</t>
  </si>
  <si>
    <t>INC55048183</t>
  </si>
  <si>
    <t>Atualização de Requisitos Complementares da Qualidade</t>
  </si>
  <si>
    <t>Boa tarde!
Solicitamos alteração do Requisito Complementares da Qualidade de Dutos Flexíveis (ET-3000.00-1000-972-1AL-005 e I-ET-3000.00-1000-972-1AL-005), nas páginas descritas abaixo.
Os documentos em português e inglês seguem em anexo.
Em Português: https://www.petronect.com.br/irj/go/km/docs/pccshrcontent/Site%20Content%20(Legacy)/Portal2018/pt/lista_cep_mod_inspecao.html 
Em Inglês: https://www.petronect.com.br/irj/go/km/docs/pccshrcontent/Site%20Content%20(Legacy)/Portal2018/en/lista_cep_mod_inspecao.html 
Atenciosamente,
Daniela Jandre
Relacionamento com o Mercado Fornecedor</t>
  </si>
  <si>
    <t>Daniela Jandre Correia</t>
  </si>
  <si>
    <t>CR2B</t>
  </si>
  <si>
    <t>INC55048170</t>
  </si>
  <si>
    <t>Senha e usuário cadastro</t>
  </si>
  <si>
    <t>Chamado criado pela área externa do Portal 
 Nome do Contato: Marcelo Paez Rocha 
 Usuário:  
 Telefone: 21995217437 
 E-mail: marcelo.rocha@parrocha.com.br 
 CNPJ: 37388 
 Razão Social SERCK SERVICES GULF LTD. CO 
 Esqueci o usuario e senha deste cadastro de fabricante estrangeiro que realizei em 31/07/2025
SERCK SERVICES GULF LTD. CO. (37388) Dear Suppliers, We remind that the questionnaires of their requirements in the Registerof Petrobras are open for editing. We recommend filling it out ASAP. The way to access the questionnaires is: - Log into your registration via the portal www.petronect.com.br - Click Register - Click on the tab Questionnaires - Click Reply in each questionnaire asked - Fill, attach and bind all prompted The questionnaires will be open for a maximum period of 120 days fromtoday's date. If by chance your company does not meet this deadline,your registration will move to the status of dropouts. In case of doubt, please get in touch with Customer Service on telephone0800 282 8484 (Brazil #), 1 866 791-9432 (United States #)or +1 713808-2599 (other countries #) or via the “Contact Us” on your Registry. Regards, Register of Suppliers of Goods and Services for Petrobras</t>
  </si>
  <si>
    <t>INC55048146</t>
  </si>
  <si>
    <t>Esqueci ususario e Senha</t>
  </si>
  <si>
    <t>Chamado criado pela área externa do Portal 
 Nome do Contato: Marcelo Paez Rocha 
 Usuário:  
 Telefone: 21995217437 
 E-mail: marcelo.rocha@parrocha.com.br 
 CNPJ: 262816286 
 Razão Social TOTAL VALVE SYSTEMS 
 Como posso recuperar usuário e senha deste fabricante estrangeiro que cadastrei? o Cadastro foi em 31/07/2025
TOTAL VALVE SYSTEMS (262816286) Dear Suppliers, We remind that the questionnaires of their requirements in the Registerof Petrobras are open for editing. We recommend filling it out ASAP. The way to access the questionnaires is: - Log into your registration via the portal www.petronect.com.br - Click Register - Click on the tab Questionnaires - Click Reply in each questionnaire asked - Fill, attach and bind all prompted The questionnaires will be open for a maximum period of 120 days fromtoday's date. If by chance your company does not meet this deadline,your registration will move to the status of dropouts. In case of doubt, please get in touch with Customer Service on telephone0800 282 8484 (Brazil #), 1 866 791-9432 (United States #)or +1 713808-2599 (other countries #) or via the “Contact Us” on your Registry. Regards, Register of Suppliers of Goods and Services for Petrobras</t>
  </si>
  <si>
    <t>INC55047952</t>
  </si>
  <si>
    <t>Não é possível incluir família</t>
  </si>
  <si>
    <t>Oportunidade 7004487104 
 Chamado criado pelo área interna do Portal 
 Nome do Contato: SERGIO NINUMA 
 Usuário: USR0031859 
 Telefone: 92 981126511 
 E-mail: ninuma@etamconstrutora.com.br 
 CNPJ: 22768840000131 
 Razão Social CONSTRUTORA ETAM LTDA 
 Solicito auxilio para proceder com a inclusão de família.</t>
  </si>
  <si>
    <t xml:space="preserve">SERGIO  NINUMA </t>
  </si>
  <si>
    <t>ninuma@etamconstrutora.com.br</t>
  </si>
  <si>
    <t>22768840000131   Razão Social CONSTRUTORA ETAM LTDA</t>
  </si>
  <si>
    <t>THAWANE DA SILVA BENEDITO</t>
  </si>
  <si>
    <t>THAWANE</t>
  </si>
  <si>
    <t>gcontratos@induscabos.com.br</t>
  </si>
  <si>
    <t>48063416000185 - INDUSCABOS CONDUTORES ELETRICOS LIMITADA</t>
  </si>
  <si>
    <t>INC55047431</t>
  </si>
  <si>
    <t xml:space="preserve">Chamado: INC55047431
 Nome do Contato: Daniela Macedo
 Usuário: DANIMACEDO
 Telefone: 19 981992817
E-mail: macedo_dani@hotmail.com
CNPJ / Razão Social: 17866354000116  - FELIX COMUNICAÇÃO VISUAL LTDA
OBS: foi aberto um chamado para ativação do cadastro  8001439756
Fornecedor(a) solicita auxilio para o desbloqueio de seu usuário que expirou no dia 06/12/2022 e aderi ao perfil de administrador. 
DANIMACEDO
Daniela Macedo
19 981992817 06.12.2022    Bloqueado Exibir  macedo_dani@hotmail.com
</t>
  </si>
  <si>
    <t xml:space="preserve">8001439756 </t>
  </si>
  <si>
    <t>Daniela Macedo</t>
  </si>
  <si>
    <t>macedo_dani@hotmail.com</t>
  </si>
  <si>
    <t>17866354000116 - FELIX COMUNICAÇÃO VISUAL LTDA</t>
  </si>
  <si>
    <t>INC55047371</t>
  </si>
  <si>
    <t>Chamado criado pelo área interna do Portal 
 Nome do Contato: GABRIEL RODRIGUES MARQUES DE SOUZA 
 Usuário: GIG.ENG 
 Telefone: 11 99962-6045 
 E-mail: vendas@gigwater.com.br 
 CNPJ: 44267272000128 
 Razão Social GIGWATER ENGENHARIA LTDA 
 Boa tarde, preciso de suporte para adicionar uma família no cadastro. 
Aparentemente meu login não está como Administrador, porém essa é a conta matriz. 
Poderia me auxiliar?
Obrigado!</t>
  </si>
  <si>
    <t>GABRIEL RODRIGUES MARQUES DE SOUZA</t>
  </si>
  <si>
    <t>GIG.ENG</t>
  </si>
  <si>
    <t>GIG.ENG@PETRONECT.COM.BR</t>
  </si>
  <si>
    <t>INC55047350</t>
  </si>
  <si>
    <t>Chamado criado pelo área interna do Portal 
 Nome do Contato: ROGERIO MOREIRA ARRIEL 
 Usuário: NT.POYRY 
 Telefone: (11) 985842504 
 E-mail: rogerio.arriel@afry.com 
 CNPJ: 50648468000165 
 Razão Social AFRY BRASIL LTDA. 
 Prezados, boa tarde!
Para atendimento de seu e-mail de 12/01/2026, sobre :
Obs.: NÃO enviou as demonstrações financeiras auditadas, juntamente com o Parecer dos Auditores, referente ao exercício 2024.”
Informamos que a AFRY não possui demonstrações financeiras auditadas. Além do preenchimento dos dados de 2023 e 2024 no critério economico, foi anexado os balanços e DREs Sped correspondentes. Tentei contato por telefone, mas em vão.
Por gentileza poderiam me me contatar pelo celular 11 98584-2504, para melhores esclarecimentos? Lembramos que a nossa empresa sempre prezou pelo atendimento de todas as solicitações da Petronect.
Agradeço pela atenção, e permaneço à disposição.
Rogério Moreira Arriel
Resp. pelo cadastro da Petrobrás.</t>
  </si>
  <si>
    <t>8001439826</t>
  </si>
  <si>
    <t>ROGERIO MOREIRA ARRIEL</t>
  </si>
  <si>
    <t>NT.POYRY</t>
  </si>
  <si>
    <t>rogerio.arriel@afry.com</t>
  </si>
  <si>
    <t>50648468000165 - POYRY TECNOLOGIA LTDA.</t>
  </si>
  <si>
    <t>INC55047312</t>
  </si>
  <si>
    <t>Nome do Contato: TATHIANE RIBEIRO JERONIMO
Usuário: TJPOLAR.SP
Telefone: 22999305494
E-mail: tathiane.jeronimo@dinamusconsultoria.com.br 
CNPJ / Razão Social: 39222187000456
Boa tarde !
Fornecedora solicita a revalidação de seu usuário,  para atualizar os dados cadastrais.
Obrigado.</t>
  </si>
  <si>
    <t>TATHIANE  RIBEIRO JERONIMO</t>
  </si>
  <si>
    <t>TJPOLAR.SP</t>
  </si>
  <si>
    <t>tathiane.jeronimo@dinamusconsultoria.com.br</t>
  </si>
  <si>
    <t>39222187000456 - POLAR COMPONENTES BRASIL LTDA</t>
  </si>
  <si>
    <t>INC55047302</t>
  </si>
  <si>
    <t>Nome do Contato: TATHIANE RIBEIRO JERONIMO
Usuário: TJPOLAR.ES
Telefone: 22 999305494 
E-mail: tathiane.jeronimo@dinamusconsultoria.com.br 
CNPJ / Razão Social: 39222187000294
Boa tarde !
Fornecedora solicita a revalidação de seu usuário,  para atualizar os dados cadastrais.
Obrigado.</t>
  </si>
  <si>
    <t>TJPOLAR.ES</t>
  </si>
  <si>
    <t>39222187000294 - POLAR COMPONENTES E SISTEMAS OFF-SHORE L</t>
  </si>
  <si>
    <t>INC55047256</t>
  </si>
  <si>
    <t>Chamado aberto pela URA
Usuário:BRGTRANSP
CPF:87127490791
Taxnum:45724902000109
E-mail:brgtransportes2022@gmail.com
Seu chamado foi registrado. Estamos lhe transferindo para o atendimento especializado.</t>
  </si>
  <si>
    <t>7004537732</t>
  </si>
  <si>
    <t>MARCOS  ANTONIO SANTOS</t>
  </si>
  <si>
    <t>BRGTRANSP</t>
  </si>
  <si>
    <t>brgtransportes2022@gmail.com</t>
  </si>
  <si>
    <t>45724902000109 - BRG TRANSPORTES E LOGÍSTICA LTDA</t>
  </si>
  <si>
    <t>INC55047248</t>
  </si>
  <si>
    <t xml:space="preserve">Revalidação das funções </t>
  </si>
  <si>
    <t>Nome do Contato: TATHIANE RIBEIRO JERONIMO
Usuário: TJPOLAR.MA
Telefone: 22999305494
E-mail: tathiane.jeronimo@dinamusconsultoria.com.br 
CNPJ / Razão Social:  39222187000103
Boa tarde !
Fornecedora solicita a revalidação de seu usuário,  para atualizar os dados cadastrais.
Obrigado.</t>
  </si>
  <si>
    <t>TJPOLAR.MA</t>
  </si>
  <si>
    <t>39222187000103 - POLAR COMPONENTES E SISTEMAS OFF-SHORE L</t>
  </si>
  <si>
    <t>INC55047059</t>
  </si>
  <si>
    <t>Email Cadastrado</t>
  </si>
  <si>
    <t>Chamado criado pela área externa do Portal 
 Nome do Contato: ALINE FERREIRA 
 Usuário: LOGISTICATSA 
 Telefone: 2134521800 
 E-mail: supervisao@souzaaraujo.com.br 
 CNPJ: 21185633000191 
 Razão Social TRANSPORTES SOUZA ARAUJO LOGISTICA E PROJE 
 Boa tarde!
Preciso saber o email cadastrado para esse CNPJ para redefinição de senha.</t>
  </si>
  <si>
    <t>INC55046951</t>
  </si>
  <si>
    <t xml:space="preserve">CHAT BOT - INC55046951 +5522998645200
Nome do Contato: Carlos Eduardo da Rocha
CNPJ/Razão Social: 57784540000120
CPF: 01934671789
Telefone: 22998645200
E-mail: contato@romaforte.com
Usuário: OASIS1234
Oportunidade: 
------
</t>
  </si>
  <si>
    <t>'+5522998645200</t>
  </si>
  <si>
    <t>CARLOS EDUARDO DA ROCHA</t>
  </si>
  <si>
    <t>OASIS1234</t>
  </si>
  <si>
    <t>contato@romaforte.com</t>
  </si>
  <si>
    <t xml:space="preserve">57784540000120 - </t>
  </si>
  <si>
    <t>INC55046870</t>
  </si>
  <si>
    <t>Nome do Contato: Aline Fidelis Ferreira
Usuário: FREDEGONTI81
E-mail: contato@salaodoencontro.org.br 
Telefone: 31998011997
CNPJ/Razão Social: 16701872000117 - SASFRA - SERVIÇO ASSISTENCIAL SALÃO DO E
Fornecedor solicita desbloqueio do usuário FREDEGONTI81</t>
  </si>
  <si>
    <t>FREDERICO GONTIJO BICALHO</t>
  </si>
  <si>
    <t>FREDEGONTI81</t>
  </si>
  <si>
    <t>contato@salaodoencontro.org.br</t>
  </si>
  <si>
    <t>16701872000117 - SASFRA - SERVIÇO ASSISTENCIAL SALÃO DO E</t>
  </si>
  <si>
    <t>INC55046822</t>
  </si>
  <si>
    <t xml:space="preserve">CHAT BOT - INC55046822 +5571988560423
Nome do Contato: LANDOALDO DE OLIVEIRA LUNA
CNPJ/Razão Social: 42167202000172
CPF: 00665559577
Telefone: 71988560423
E-mail: ljkcomercioeservicos@gmail.com
Usuário: LJKCOMERCIO
Oportunidade: 
------
</t>
  </si>
  <si>
    <t>'+5571988560423</t>
  </si>
  <si>
    <t>LANDOALDO DE OLIVEIRA LUNA</t>
  </si>
  <si>
    <t>LJKCOMERCIO</t>
  </si>
  <si>
    <t>ljkcomercioeservicos@gmail.com</t>
  </si>
  <si>
    <t>42167202000172 - LANDOALDO DE OLIVEIRA LUNA</t>
  </si>
  <si>
    <t>INC55046774</t>
  </si>
  <si>
    <t>Grau de Risco de Integridade</t>
  </si>
  <si>
    <t>Chamado criado pelo área interna do Portal 
 Nome do Contato: ROBERTO DIORANGES MIRANDA TEOFILO 
 Usuário: 105383550001 
 Telefone: 85992284300 
 E-mail: comercial@activox.com.br 
 CNPJ: 10538355000192 
 Razão Social ACTIVOX SOLUCOES EM CONTACT CENTER LTDA 
 Boa tarde, 
Considerando nosso interesse em participar do pregão n° 7004544618, cujo objeto é Serviço de atendimento do canal 168, conforme as especificações deste Edital e de seus adendos. Solicito suporte para verificarmos nosso grau de Risco de Integridade junto ao órgão. Tentamos emitir algum relatório para verificarmos sobre, mas não aparece nada para a nossa empresa junto ao portal. Poderiam nos ajudar nesse ponto?</t>
  </si>
  <si>
    <t>ROBERTO DIORANGES MIRANDA TEOFILO</t>
  </si>
  <si>
    <t>comercial@activox.com.br</t>
  </si>
  <si>
    <t>10538355000192 - ACTIVOX SOLUCOES EM CONTACT CENTER LTDA</t>
  </si>
  <si>
    <t>INC55046486</t>
  </si>
  <si>
    <t>Nome do Contato: Fernando Martins Antunes
Usuário: ANTUNES_FER
E-mail: fernando.antunes@fcc.com.br 
Telefone: 11982985009
CNPJ/Razão Social: 88065321000115 FCC CIENCIA DOS MATERIAIS LTDA.
Fornecedor solicita desbloqueio do usuário ANTUNES_FER</t>
  </si>
  <si>
    <t>FERNANDO  MARTINS ANTUNES</t>
  </si>
  <si>
    <t>ANTUNES_FER</t>
  </si>
  <si>
    <t>fernando.antunes@fcc.com.br</t>
  </si>
  <si>
    <t>88065321000115 FCC CIENCIA DOS MATERIAIS LTDA.</t>
  </si>
  <si>
    <t>INC55046363</t>
  </si>
  <si>
    <t>Chamado aberto pela URA
Usuário:VINICIUS12
CPF:14474060792
Taxnum:14474060792
E-mail:vinicius.dias@energisa.com.br
Seu chamado foi registrado. Estamos lhe transferindo para o atendimento especializado.</t>
  </si>
  <si>
    <t>VINICIUS  LIMA DIAS</t>
  </si>
  <si>
    <t>VINICIUS12</t>
  </si>
  <si>
    <t>vinicius.dias@energisa.com.br</t>
  </si>
  <si>
    <t>50643757000171 -ENERGISA BIOGAS S.A.</t>
  </si>
  <si>
    <t>INC55046330</t>
  </si>
  <si>
    <t>Renovação do CRC</t>
  </si>
  <si>
    <t>Chamado criado pelo área interna do Portal 
 Nome do Contato: JOSE ROBERTO ROSSI 
 Usuário: USR0060876 
 Telefone: 11-4453-5271 / 11-99244-1820 
 E-mail: rossi@antonelli.com.br 
 CNPJ: 56554769000106 
 Razão Social INDUSTRIA MECANICA ANTONELLI LTDA - EPP 
 Boa tarde!
Solicito abertura de questionário para renovação do CRC</t>
  </si>
  <si>
    <t xml:space="preserve">8001439825 </t>
  </si>
  <si>
    <t>José Roberto Rossi</t>
  </si>
  <si>
    <t>rossi@antonelli.com.br</t>
  </si>
  <si>
    <t>56554769000106 - INDUSTRIA MECANICA ANTONELLI LTDA -</t>
  </si>
  <si>
    <t>INC55046140</t>
  </si>
  <si>
    <t>Atualização de dados Básicos</t>
  </si>
  <si>
    <t>Chamado criado pelo área interna do Portal 
 Nome do Contato: JOAO BATISTA ALVES JUNIOR 
 Usuário: TALENTECH 
 Telefone: 1138316032 
 E-mail: licitacoes@tecnologiagto.com.br 
 CNPJ: 15773416000110 
 Razão Social TALENTECH - TECNOLOGIA LTDA. 
 Prezados, 
Solicito a atualização dos dados básicos conforme os arquivos em anexo. 
Incluir o número da inscrição estadual e o número da inscrição municipal.</t>
  </si>
  <si>
    <t>INC55045788</t>
  </si>
  <si>
    <t>CHAT BOT - INC55045788 +5581999494736
Nome do Contato: marcos roberto martins mahon filho
CNPJ/Razão Social: 26714175000154
CPF: 00982760426
Telefone: 81999494736
E-mail: marcosmahon@asterms.net
Usuário: MARCOSMAHON
Oportunidade: 
------
MARCOSMAHON
MARCOS ROBERTO MARTINS MAHON FILHO
(81)99949-4736 marcosmahon@asterms.net 15.12.2024    Desbloq. (Senha Expirada)
Prezados(a), fornecedor(a) solicita desbloqueio, atualização de validade e atribuições de perfis de seu usuário: MARCOSMAHON</t>
  </si>
  <si>
    <t>'+5581999494736</t>
  </si>
  <si>
    <t>MARCOS ROBERTO MARTINS MAHON FILHO</t>
  </si>
  <si>
    <t>MARCOSMAHON</t>
  </si>
  <si>
    <t>marcosmahon@asterms.net</t>
  </si>
  <si>
    <t>26714175000154 - ASTER SUPORTE MARITIMO - EIRELI - ME</t>
  </si>
  <si>
    <t>INC55045712</t>
  </si>
  <si>
    <t>suporte - troca de senha e email do cadastro</t>
  </si>
  <si>
    <t>Chamado criado pela área externa do Portal 
 Nome do Contato: Abner 
 Usuário: INDUSTELAS 
 Telefone: +55 11 4677-4444 
 E-mail: industelas@industelas.com.br 
 CNPJ: 45323427000169 
 Razão Social INDUSTELAS COMERCIO DE TELAS E ARAMES LTDA 
 Prezados, boa tarde.
Meu nome é Eberton, represento a empresa Industelas.
Estamos enfrentando dificuldades para acessar a plataforma Petroconecta, uma vez que não possuímos mais acesso ao e-mail anteriormente cadastrado, o que impossibilita a realização da troca de senha.
Diante disso, solicitamos o suporte para atualização do cadastro, a fim de que possamos regularizar o acesso à plataforma. Encaminhamos este contato por meio do e-mail [industelas@industelas.com.br](mailto:industelas@industelas.com.br) para que ele possa ser utilizado como novo endereço de contato.
Ficamos no aguardo das orientações necessárias e permanecemos à disposição para fornecer quaisquer informações adicionais.
Atenciosamente,
Eberton Santos</t>
  </si>
  <si>
    <t>RENATO OLIVEIRA DA SILVA</t>
  </si>
  <si>
    <t>INDUSTELAS</t>
  </si>
  <si>
    <t>industelas@industelas.com.br</t>
  </si>
  <si>
    <t>45323427000169 - INDUSTELAS COMERCIO DE TELAS E ARAMES LTDA</t>
  </si>
  <si>
    <t>INC55045699</t>
  </si>
  <si>
    <t>OPORTUNIDADES COTAÇÃO</t>
  </si>
  <si>
    <t>Chamado criado pelo área interna do Portal 
 Nome do Contato: FABIO MACHADO HERMSDORFF 
 Usuário: EUROCABCOM 
 Telefone: 11 99648- 3358 
 E-mail: fabio.dorff@eurocab.com.br 
 CNPJ: 22496930000110 
 Razão Social EUROCAB COMERCIAL LTDA 
 Prezados, Boa Tarde!
Ao entrar na tela principal do sistema, o mesmo retornou com a  mensagem que estamos bloqueados para participar de novas cotações.
Gostaria de entender se isso procede e por qual motivo?
Obrigada.</t>
  </si>
  <si>
    <t xml:space="preserve">8001439717 </t>
  </si>
  <si>
    <t>INC55044909</t>
  </si>
  <si>
    <t>Chamado: INC55044909
 Nome do Contato: TALES ANDRADE ALMEIDA
 Usuário: TALESALMEIDA
 Telefone: 79991313945
E-mail: contato@gepetroleoegas.com.br
CNPJ / Razão Social: 45294067000114  -  GE PETRÓLEO E GÁS LTDA
Fornecedor(a) solicita auxilio para o desbloqueio de seu usuário que expirou no dia 11/01/2026
TALESALMEIDA
TALES ANDRADE ALMEIDA
79991313945 11.01.2026    Desbloq. (Senha Expirada) Exibir  contato@gepetroleoegas.com.br</t>
  </si>
  <si>
    <t>8001439656</t>
  </si>
  <si>
    <t>TALES ANDRADE  ALMEIDA</t>
  </si>
  <si>
    <t>TALESALMEIDA</t>
  </si>
  <si>
    <t>contato@gepetroleoegas.com.br</t>
  </si>
  <si>
    <t>45294067000114 - GE PETRÓLEO E GÁS LTDA</t>
  </si>
  <si>
    <t>INC55044134</t>
  </si>
  <si>
    <t xml:space="preserve">Chamado: INC55044134
 Nome do Contato:  Tony Zhou
 Usuário: USR0069486
 Telefone: 86 511 8623 8797
E-mail: sales@cdsr.cc
CNPJ / Razão Social: 91321181MA1QX5RT50  -  JIANGSU CDSR TECHNOLOGY CO.,LTD.
Fornecedor(a) entrou em contato para informar que o usuário não esta conseguindo acessar no portal, foi verificado no sistema não consta nem um bloqueio, a mesma foi orientada a redefinir a senha.  Segue  abaixo o atendimento internacional. 
+55 21 3380-3341
PRESS 1 FOR ENGLISH
AVAILABLE FROM MONDAY 8 AM TO FRIDAY 6 PM
(BRASÍLIA TIME). 
 Atenciosamente,
Equipe Petronect
</t>
  </si>
  <si>
    <t>Tony  Zhou</t>
  </si>
  <si>
    <t>sales@cdsr.cc</t>
  </si>
  <si>
    <t>91321181MA1QX5RT50  -  JIANGSU CDSR TECHNOLOGY CO.,LTD.</t>
  </si>
  <si>
    <t>INC55043439</t>
  </si>
  <si>
    <t>Nome de contato: RENATO GAZOLA KALTNER
Usuário: USR0063240
Telefone: (11) 23707979    
E-mail: licitacoes01@escseguranca.com.br 
CNPJ/Razão social: 05408389000122 ESC FONSECCAS SEGURANÇA EIRELI
Fornecedor solicita desbloqueio do usuário USR0063240</t>
  </si>
  <si>
    <t>RENATO GAZOLA KALTNER</t>
  </si>
  <si>
    <t>licitacoes01@escseguranca.com.br</t>
  </si>
  <si>
    <t>05408389000122 /05408389000122</t>
  </si>
  <si>
    <t>INC55043365</t>
  </si>
  <si>
    <t>CRIAR NOVO LOGIN E SENHA</t>
  </si>
  <si>
    <t>Chamado criado pela área externa do Portal 
 Nome do Contato: JULIA 
 Usuário:  ABIM.ADM0001
 Telefone: 1128425275 
 E-mail: adm01@adtrafo.com.br 
 CNPJ: 54571831000142 
 Razão Social ABIMAEL DISJUNTORES 
 Já possuo cadastro no sistema, porém não fui eu quem realizou a criação do usuário, no momento, não tenho acesso ao login e à senha.
Solicito, por gentileza, a recuperação ou redefinição do meu acesso.</t>
  </si>
  <si>
    <t>Administrador da empresa ABIMAEL COMERCIO DE DIJUN</t>
  </si>
  <si>
    <t>marciam@acabine.com.br</t>
  </si>
  <si>
    <t>54571831000142 - ABIMAEL COMERCIO DE DIJUNTORES LTDA</t>
  </si>
  <si>
    <t>INC55043246</t>
  </si>
  <si>
    <t>criar novo login</t>
  </si>
  <si>
    <t>Chamado criado pela área externa do Portal 
 Nome do Contato: Anônimo 
 Usuário: Anônimo 
 Telefone:  
 E-mail:  
 CNPJ:  
 Razão Social  
 Já possuo cadastro no sistema, porém não fui eu quem realizou a criação do usuário, não tenho acesso ao login e à senha.
Solicito, por gentileza, a recuperação ou redefinição do meu acesso.</t>
  </si>
  <si>
    <t>ANTHONY VALERIO SILVA SANTOS</t>
  </si>
  <si>
    <t>contato@meetpaineis.com.br</t>
  </si>
  <si>
    <t>05517865000143</t>
  </si>
  <si>
    <t>INC55042991</t>
  </si>
  <si>
    <t xml:space="preserve">Desbloqueio de Atribuir Função </t>
  </si>
  <si>
    <t>Nome do Contato: MARINALVA THETHE DA SILVA DOS SANTOS
Usuário: ENGIBRAS
Telefone: 1121990222 
E-mail: engenharia@engibras.com.br 
CNPJ / Razão Social: 26381989000114
Boa tarde !
Fornecedora solicita a revalidação e atribuir as funções  de seu usuário,  para atualizar os dados cadastrais.
Obrigado.</t>
  </si>
  <si>
    <t>MARINALVA THETHE DA SILVA DOS SANTOS</t>
  </si>
  <si>
    <t>ENGIBRAS</t>
  </si>
  <si>
    <t>engenharia@engibras.com.br</t>
  </si>
  <si>
    <t>26381989000114 - ENGIBRAS ENGENHARIA S.A.</t>
  </si>
  <si>
    <t>INC55042939</t>
  </si>
  <si>
    <t xml:space="preserve">Nome do Contato: CARLOS ALBERTO MARINI
Usuário: ENEPLAN2023 
Telefone: 11933764483
E-mail: contatoeneplan@eneplan.com.br 
CNPJ / Razão Social: 31689171000101
Boa tarde !
Fornecedora solicita a revalidação  de seu usuário,  para atualizar os dados cadastrais 
Obrigado.
</t>
  </si>
  <si>
    <t>CARLOS ALBERTO MARINI</t>
  </si>
  <si>
    <t>contatoeneplan@eneplan.com.br</t>
  </si>
  <si>
    <t>31689171000101 - ENEPLAN ENGENHARIA S/A</t>
  </si>
  <si>
    <t>INC55042842</t>
  </si>
  <si>
    <t>Nome do Contato: TAMIRES DOS SANTOS LIMA PEREIRA
Usuário: SRSOLUTIONS
Telefone: 2131903884 
E-mail: srsolutionsltda@gmail.com 
CNPJ / Razão Social: 54287761000103
Fornecedora com bloqueio de excesso de tentativas.
Foi orientada a realizar a redefinição de senha para haver o debloquear. 
Chamado realizado no SRVICE, por lentidão no SRM</t>
  </si>
  <si>
    <t>TAMIRES DOS  SANTOS LIMA PEREIRA</t>
  </si>
  <si>
    <t>SRSOLUTIONS</t>
  </si>
  <si>
    <t>srsolutionsltda@gmail.com</t>
  </si>
  <si>
    <t>54.287.761/0001-03-SR SOLUTIONS LTDA</t>
  </si>
  <si>
    <t>INC55042826</t>
  </si>
  <si>
    <t>Nome do Contato: gabriela costa de oliveira
Usuário: SNO_2025PET
E-mail: gruposno@outlook.com 
Telefone: 27999564716
CNPJ/Razão Social: 47399947000180
Fornecedor solicita desbloqueio do usuário SNO_2025PET</t>
  </si>
  <si>
    <t>GABRIELA  COSTA</t>
  </si>
  <si>
    <t>gruposno@outlook.com</t>
  </si>
  <si>
    <t>47399947000180</t>
  </si>
  <si>
    <t>INC55042648</t>
  </si>
  <si>
    <t xml:space="preserve">Informações sobre chamado 8001438404 </t>
  </si>
  <si>
    <t xml:space="preserve">Bom dia, 
Fornecedor (a) solicita auxílio pois deseja resposta do chamado 8001438404, que informou não receber.
Foi informado conforme conteúdo da resposta do chamado 8001438404:
" Informamos que o motivo ocorre devido estar bloqueada pela Lista de Impedidas pelo motivo: Lei 13.303/16, Art.38º, IV e V. "
Fornecedor foi informado que esta resposta também foi aplicada ao protocolo 8001436751.
Fornecedor foi informado também, que o bloqueio/desbloqueio da empresa,  é de Gestão da Petrobras, A empresa deve entrar em contato com a Petrobras para mais informações e acompanhar a situação da sanção através do portal Transparência.
Fornecedor (a) foi informado (a), que a Petronect não possui a gestão dos processos de Bloqueio / Desbloqueio de Fornecedores, que a responsabilidade pelos mesmos são da própria Petrobras, a Petronect não possui a gestão desse processo.
Este chamado será encerrado porém permanecemos a disposição. 
Atenciosamente,
Equipe Petronect.
</t>
  </si>
  <si>
    <t xml:space="preserve">8001438404 / 8001436751 </t>
  </si>
  <si>
    <t>INC55042644</t>
  </si>
  <si>
    <t>PROBLEMA PARA INGRESSAR NO PORTAL</t>
  </si>
  <si>
    <t>Chamado criado pela área externa do Portal 
 Nome do Contato: LEILIANE SOUZA VALVERDE 
 Usuário:  
 Telefone: 71992316260 
 E-mail: licitacoes@hispaniatelecom.com.br 
 CNPJ: 10949452000178 
 Razão Social  
 Prezados, bom dia! 
Gostaria de ajuda com o acesso ao portal pois quando coloco o meu login e senha aparece a informação "usuario atualmente invalido". Vocês poderiam me ajudar?
Grata, desde já.</t>
  </si>
  <si>
    <t>INC55042558</t>
  </si>
  <si>
    <t>Famílias CRC</t>
  </si>
  <si>
    <t>Chamado criado pelo área interna do Portal 
 Nome do Contato: FERNANDA MACHADO LOPES 
 Usuário: FEMLOPES 
 Telefone: 11989437551 
 E-mail: fmachado@mineral.eng.br 
 CNPJ: 02761715000273 
 Razão Social MINERAL ENGENHARIA E MEIO AMBIENTE LTDA 
 Bom dia.
Prezados,
Verificamos que, na renovação do CRC de nossa filial de Caraguatatuba, constam apenas 3 (três) famílias aprovadas, embora a empresa possua cadastro ativo em 119 (cento e dezenove) famílias.
Dessa forma, solicitamos, por gentileza, a emissão do CRC contemplando todas as famílias nas quais a empresa se encontra devidamente cadastrada.
Aproveitamos a oportunidade para solicitar esclarecimentos quanto aos critérios adotados para que as famílias constem na emissão do referido CRC.
Desde já, agradecemos a atenção e ficamos no aguardo de um retorno.
Atenciosamente,
Mineral Engenharia</t>
  </si>
  <si>
    <t>FERNANDA MACHADO LOPES</t>
  </si>
  <si>
    <t>FEMLOPES</t>
  </si>
  <si>
    <t>fmachado@mineral.eng.br</t>
  </si>
  <si>
    <t>02761715000273 MINERAL ENGENHARIA E MEIO AMBIENTE LTDA</t>
  </si>
  <si>
    <t>ERIVELTO  SILVA DAL COL</t>
  </si>
  <si>
    <t>compras02.espsantohospitalares@gmail.com</t>
  </si>
  <si>
    <t>28911309000152-ASCLE BRASIL LTDA</t>
  </si>
  <si>
    <t>INC55042467</t>
  </si>
  <si>
    <t xml:space="preserve">Revalidação de usuário </t>
  </si>
  <si>
    <t>Nome do Contato: TANIA MARIA PAES GOMES DE CARVALHO
Usuário: TANIA.RJ
Telefone: 22 2105 7777
E-mail: tania.caldeira@polarb2b.com  
CNPJ / Razão Social:39222187000103
Boa tarde !
Fornecedora solicita a revalidação  de seu usuário,  para atualizar os dados cadastrais 
Obrigado.</t>
  </si>
  <si>
    <t>TANIA MARIA PAES CALDEIRA RODRIGUES</t>
  </si>
  <si>
    <t>TANIA.POLAR</t>
  </si>
  <si>
    <t>tania.caldeira@polarb2b.com</t>
  </si>
  <si>
    <t>INC55042376</t>
  </si>
  <si>
    <t>Nome do Contato: denilton alves vieira
Usuário: ADS2016
E-mail: ads.engenharia2016@gmail.com 
Telefone: 61993572222
CNPJ/Razão Social: 24241060000164 DENILTON ALVES SERVICE ENGENHARIA EIRELI
Fornecedor solicita desbloqueio do usuário ADS2016</t>
  </si>
  <si>
    <t>INC55041908</t>
  </si>
  <si>
    <t>Perda de agendamentos após ajuste na grade de atendimento – Posto EDISEN</t>
  </si>
  <si>
    <t>Prezados,
Ao realizarmos um ajuste na grade de atendimento do posto do EDISEN, identificamos que todos os agendamentos foram removidos da agenda, incluindo agendamentos passados e futuros dos fornecedores.
No momento, não conseguimos mais visualizar na grade:
Os fornecedores que já estavam agendados anteriormente;
Nem os fornecedores que haviam realizado agendamentos futuros.
Dessa forma, a agenda encontra-se sem histórico e sem os agendamentos previstos.
Solicitamos, por gentileza, a verificação do ocorrido e orientação quanto à possibilidade de recuperação dos agendamentos ou procedimentos a serem adotados para normalização da agenda.
Ficamos no aguardo de orientações.
Atenciosamente,
Elaine Siqueira Borges  
Spassu Tecnologia -  Líder Técnico 
SUPRIMENTOS/RMF/DQF/GCF</t>
  </si>
  <si>
    <t>Elaine Siqueira Borges</t>
  </si>
  <si>
    <t>BR1Z</t>
  </si>
  <si>
    <t>INC55041755</t>
  </si>
  <si>
    <t>CHAT BOT - INC55041755 +5512991297774
Nome do Contato: JONAS
CNPJ/Razão Social: 68389097000371
CPF: 056.289.168-46
Telefone: 1146939310
E-mail: fiscal@proeletronic.com.br
Usuário: G.PROQUALIT
Oportunidade: 
------
G.PROQUALIT
Gabriela Gabriela
35 3651 3112 fiscal@proeletronic.com.br 11.01.2026    Desbloq. (Senha Expirada) 
Prezados(a), fornecedor(a) solicita desbloqueio, atualização de validade e atribuições de perfis de seu usuário: G.PROQUALIT</t>
  </si>
  <si>
    <t>'+5512991297774</t>
  </si>
  <si>
    <t>INC55041619</t>
  </si>
  <si>
    <t xml:space="preserve">CHAT BOT - INC55041619 +5521979678403
Nome do Contato: Erink João Paulo Diani
CNPJ/Razão Social: 14396001000101
CPF: 29463381856
Telefone: 21979678403
E-mail: ediani@tubacex.com
Usuário: TSSEDIANI
Oportunidade: 
------
</t>
  </si>
  <si>
    <t>'+5521979678403</t>
  </si>
  <si>
    <t>ERINK JOAO PAULO DIANI</t>
  </si>
  <si>
    <t>TSSEDIANI</t>
  </si>
  <si>
    <t>ediani@tubacex.com</t>
  </si>
  <si>
    <t>14396001000101 - TBX UPSTREAM DO BRASIL LTDA</t>
  </si>
  <si>
    <t>MARCELO MAHFOUD CERDEIRA</t>
  </si>
  <si>
    <t>cerdeira@centaurotelecom.com.br</t>
  </si>
  <si>
    <t>07391921000171 - CENTAURO ENGENHARIA E INFORMATICA LTDA -</t>
  </si>
  <si>
    <t>INC55041445</t>
  </si>
  <si>
    <t>Nome do Contato: Karine de Moura Sousa
Usuário: 4808889
E-mail: vendas@comercialfire.net.br
Telefone: 11930662234
CNPJ/Razão Social: 48088899000172
Fornecedora solicita alteração do e-mail.
E-mail cadastrado: vendas@comercialfire.net 
E-mail correto: vendas@comercialfire.net.br</t>
  </si>
  <si>
    <t>CMSComércio  deEquipamentoseServiçosLtda</t>
  </si>
  <si>
    <t>vendas@comercialfire.net.br</t>
  </si>
  <si>
    <t>48088899000172</t>
  </si>
  <si>
    <t>INC55040593</t>
  </si>
  <si>
    <t xml:space="preserve">CHAT BOT - INC55040593 +5511981768912
Nome do Contato: JOse Maria de oliveira neto
CNPJ/Razão Social: 06333474000131
CPF: 01196722862
Telefone: 11947433068
E-mail: jmmetalica@uol.com.br
Usuário: ZEMARIA
Oportunidade: 
------
</t>
  </si>
  <si>
    <t>'+5511981768912</t>
  </si>
  <si>
    <t>Jose Maria de Oliveira Neto</t>
  </si>
  <si>
    <t>ZEMARIA</t>
  </si>
  <si>
    <t>jmmetalica@uol.com.br</t>
  </si>
  <si>
    <t xml:space="preserve">06333474000131 - </t>
  </si>
  <si>
    <t>13812133000376 - NOV FLEXIBLES EQUIPAMENTOS E</t>
  </si>
  <si>
    <t>INC55040081</t>
  </si>
  <si>
    <t>CHAT BOT - INC55040081 +5571993700029
Nome do Contato: Bruna Caroline Prata Porelli
CNPJ/Razão Social: 16607359000161
CPF: 02063817510
Telefone: 71999797242
E-mail: osolevconstrutora@gmail.com
Usuário: OSOLEV2012
Oportunidade: 
------
OSOLEV2012
HUGO DOS SANTOS VELOSO
71 99979-7242 osolevconstrutora@gmail.com 11.01.2026    Desbloqueado
Prezados(a), fornecedor(a) solicita desbloqueio, atualização de validade e atribuições de perfis de seu usuário: OSOLEV2012</t>
  </si>
  <si>
    <t>'+5571993700029</t>
  </si>
  <si>
    <t>HUGO DOS SANTOS VELOSO</t>
  </si>
  <si>
    <t>osolevconstrutora@gmail.com</t>
  </si>
  <si>
    <t>16607359000161 - OSOLEV CONSTRUTORA LTDA</t>
  </si>
  <si>
    <t>INC55004215</t>
  </si>
  <si>
    <t xml:space="preserve">Nome do Contato: EDSON MARTINS DE FREITAS
Usuário: CASEMIRO
Telefone: 38997479619 
E-mail: mfsolucoes.ltda@gmail.com 
CNPJ / Razão Social: 19923723000190
Oportunidade: 7004518793 
Fornecedor entra em contato novamente e solicita o urgência no seu chamado INC55003960 ,  pois há uma oportunidade para responder em sala de colaboração ate a data de hoje 09/01/2025 de numero 7004518793. 
Foi informado no chamado a oportunidade em aberto para resposta ate hoje, porem não confirmada a liberação a tempo. </t>
  </si>
  <si>
    <t xml:space="preserve">INC55003960 </t>
  </si>
  <si>
    <t>Incidentes//Cadastro na Petrobras//Suporte//Sócio Fornecedor//Compensação de boleto bancário</t>
  </si>
  <si>
    <t>Edson Martins de Freitas</t>
  </si>
  <si>
    <t>casemiro</t>
  </si>
  <si>
    <t>mfsolucoes.ltda@gmail.com</t>
  </si>
  <si>
    <t>19923723000190 - MF - SOLUCOES COM QUALIDADE EM SERVICOS</t>
  </si>
  <si>
    <t>INC55004210</t>
  </si>
  <si>
    <t>Nome do Contato: Luciano Moreno Gonsalves
Usuário: NOMAENG
E-mail: luciano.gonsalves@nomaengenharia.com.br 
Telefone: 41984628305
CNPJ/Razão Social:52306668000165
Fornecedor solicita desbloqueio do usuário NOMAENG</t>
  </si>
  <si>
    <t>Luciano  Gonsalves</t>
  </si>
  <si>
    <t>NOMAENG</t>
  </si>
  <si>
    <t>luciano.gonsalves@nomaengenharia.com.br</t>
  </si>
  <si>
    <t>52306668000165</t>
  </si>
  <si>
    <t>INC55003702</t>
  </si>
  <si>
    <t>Nome do Contato: Aline Gonçalves Ferreira de Souza
Usuário: REALALINE11
E-mail: aline@realperfil.com.br 
Telefone: 11974663644
CNPJ/Razão Social:69179448000110 - REAL PERFIL INDUSTRIA E COMERCIO
Fornecedora não consegue redefinir a senha e acessar o portal. Ao cadastrar a nova senha a tela fica branca (print). Foi orientada a realizar diversas tentativas com novas senhas diferentes, que não sejam parecidas às senhas anteriores, porém o erro persiste. Foi realizada a limpeza do cache e foi orientada a fazer a troca de senha na aba anônima, sem sucesso.
Por favor, verifiquem</t>
  </si>
  <si>
    <t>ALINE GONCALVES  FERREIRA DE SOUZA</t>
  </si>
  <si>
    <t>REALALINE11</t>
  </si>
  <si>
    <t>aline@realperfil.com.br</t>
  </si>
  <si>
    <t>69179448000110 - REAL PERFIL INDUSTRIA E COMERCIO</t>
  </si>
  <si>
    <t>INC55003186</t>
  </si>
  <si>
    <t>Nome do Contato: guilherme nascimento dos santos
Usuário: CLVAMBIENTAL
E-mail: roberta.nogueira@lmambiental.com 
Telefone: 21967474914
CNPJ/Razão Social: 15193641000187
Fornecedor solicita desbloqueio do usuário CLVAMBIENTAL</t>
  </si>
  <si>
    <t>ROBERTA  NOGUEIRA</t>
  </si>
  <si>
    <t>CLVAMBIENTAL</t>
  </si>
  <si>
    <t>roberta.nogueira@lmambiental.com</t>
  </si>
  <si>
    <t>15193641000187</t>
  </si>
  <si>
    <t>INC55002834</t>
  </si>
  <si>
    <t>RE: INC51750668 - Agendamento atendimento ao fornecedor na Petrobras (semanal)</t>
  </si>
  <si>
    <t>Bom dia @relacionamento e @relatorio,
Conseguimos esse mesmo modelo de relatório (INC51750668 - Agendamento atendimento ao fornecedor na Petrobras (semanal)) para esses atendimentos realizados em 2024 (um relatório que tenha o ano todo)?
Letícia Linhares
Gestão de Cadastro de Fornecedores 
Suprimentos 
petrobras.com.br</t>
  </si>
  <si>
    <t>INC51750668</t>
  </si>
  <si>
    <t>Serviços//Cadastro na Petrobras//Suporte//Relatórios Padronizados//Relatório de Processos de Fornecedores</t>
  </si>
  <si>
    <t>Relatório de Processos de Fornecedores</t>
  </si>
  <si>
    <t>INC55002555</t>
  </si>
  <si>
    <t>CHAT BOT - INC55001856  / INC55002555 +5519974137779
Nome do Contato: Aparecido Rodolfo
CNPJ/Razão Social: 23433087000196
CPF: 30781131839
Telefone: 19974137779
E-mail: Petroetanol@outlook.com
Usuário: PETROETANOL
Oportunidade: 
------
Durante o encerramento do atendimento o service now ficou com a tela branca e retornou com outro protocolo, todo o preenchimento removido.</t>
  </si>
  <si>
    <t xml:space="preserve">'+5519974137779 / INC55001856 </t>
  </si>
  <si>
    <t>INC55002388</t>
  </si>
  <si>
    <t xml:space="preserve">CHAT BOT - INC55002388 +552139427373
Nome do Contato: Tatiana Casanovas
CNPJ/Razão Social: 68555721000100
CPF: 01306304709
Telefone: 21999987844
E-mail: tatiana@fuzo.com.br
Usuário: TATI_CASA
Oportunidade: 
------
</t>
  </si>
  <si>
    <t>'+552139427373</t>
  </si>
  <si>
    <t>TATIANA CASANOVAS</t>
  </si>
  <si>
    <t>TATI_CASA</t>
  </si>
  <si>
    <t>tatiana@fuzo.com.br</t>
  </si>
  <si>
    <t>68555721000100 - FUZO PRODUÇÕES VIDEOGRÁFICAS LTDA - EPP</t>
  </si>
  <si>
    <t>INC55002329</t>
  </si>
  <si>
    <t>Nome do Contato: Rangel Casado Aguilar
Usuário: USR0011763
E-mail: thiago@gpmbrasil.com.br 
Telefone: 11991760364
CNPJ/Razão Social: 07230180000147 - GPM INDUSTRIA E COMERCIO DE EQUIPAMENTOS
Fornecedor solicita desbloqueio do usuário USR0011763</t>
  </si>
  <si>
    <t>Thiago Rodrigues Beretta</t>
  </si>
  <si>
    <t>thiago@gpmbrasil.com.br</t>
  </si>
  <si>
    <t>07230180000147 - GPM INDUSTRIA E COMERCIO DE EQUIPAMENTOS</t>
  </si>
  <si>
    <t>INC55001812</t>
  </si>
  <si>
    <t xml:space="preserve">nome do Contato: Renato   
Usuário:   
Telefone:   
E-mail:       
CNPJ / Razão Social:
Funcionário  da Petrobras entrou em contato para receber orientação sobre um cnpj, orientado: 
ROTA: DISCAR 881 &gt; OPÇÃO 4 &gt; TELEFONE EXTERNO: 0800 881 0881. 
DISPONÍVEL DE SEGUNDA A SEGUNDA, 24H. 
https://petrobras.service-now.com/cs 
ServiceNow
 </t>
  </si>
  <si>
    <t>INC55001717</t>
  </si>
  <si>
    <t>linha de produto de fornecimento</t>
  </si>
  <si>
    <t>Chamado criado pelo área interna do Portal 
 Nome do Contato: MARCELO ANDRADE DOS SANTOS 
 Usuário: IMPERIOVIX1 
 Telefone: 27998176694 
 E-mail: marcelo@imperiovix.com.br 
 CNPJ: 33157012000183 
 Razão Social IMPERIO VIX LTDA 
 BOA TARDE
A MINHA LINHA DE PRODUTOS É MANGUEIRAS E CONEXOES LINHA INDUSTRIAL E PNEUMATICA....
TA CAINDO PROPOSTA DE PARAFUSO E SELANTES  ...GOSTARIA DE FAZER UMA ALTERAÇÃO NO FORNECIMENTO DOS MEUS PROSUTOS</t>
  </si>
  <si>
    <t>MARCELO  ANDRADE DOS SANTOS</t>
  </si>
  <si>
    <t>IMPERIOVIX1</t>
  </si>
  <si>
    <t>marcelo@imperiovix.com.br</t>
  </si>
  <si>
    <t>33157012000183 - RAQUEL MUNIZ DOS REIS ME</t>
  </si>
  <si>
    <t>INC55001711</t>
  </si>
  <si>
    <t>CHAT BOT - INC55001711 +5512991297774
Nome do Contato: JONAS JOSE SANTOS DA SILVA
CNPJ/Razão Social: 68389097000371
CPF: 40652724833
Telefone: 1146939300
E-mail: vendascorporativas@proeletronic.com.br
Usuário: G.PROQUALIT
Oportunidade: 
------
G.PROQUALIT
Gabriela Gabriela
35 3651 3112 fiscal@proeletronic.com.br 17.05.2022    Desbloqueado
Prezados(a), fornecedor(a) solicita desbloqueio, atualização de validade e atribuições de perfis de seu usuário: G.PROQUALIT</t>
  </si>
  <si>
    <t>INC55001640</t>
  </si>
  <si>
    <t>INC55001547</t>
  </si>
  <si>
    <t xml:space="preserve">CHAT BOT - INC55001547 d9a44303-c98c-8037-7c61-434609a1fe35
Nome do Contato: Jocasta Fernandes de oliveira souto
CNPJ/Razão Social: 14008942000120
CPF: 01438252404
Telefone: 84988063940
E-mail: vendas06@jrequipamentosrn.com.br
Usuário: JREQ.ADM
Oportunidade: 
------
</t>
  </si>
  <si>
    <t>d9a44303-c98c-8037-7c61-434609a1fe35</t>
  </si>
  <si>
    <t>JR EQUIPAMENTOS E SERVIÇOS LTDA ME JR EQUIPAMENTOS</t>
  </si>
  <si>
    <t>JREQ.ADM</t>
  </si>
  <si>
    <t>vendas@jrequipamentos1.com.br</t>
  </si>
  <si>
    <t>14008942000120 - JR EQUIPAMENTOS E SERVICOS LTDA ME</t>
  </si>
  <si>
    <t>INC55001406</t>
  </si>
  <si>
    <t>CADSTRAR FAMILIA</t>
  </si>
  <si>
    <t xml:space="preserve"> Chamado criado pelo área interna do Portal 
 Nome do Contato: SERGIO LUIZ MORAES FERREIRA 
 Usuário: CHALEPETRO 
 Telefone: 71 34311916 
 E-mail: chale@chalerefeicoes.com.br 
 CNPJ: 16125791000116 
 Razão Social CHALE REFEICOES LTDA 
 SOLICITAÇÃO INFORMAÇÃO OU PASSO A PASSO DE COMO INSERIR A FAMILIA 98013194 NO CADASTRO DA EMPRESA CHALÉ REFEIÇÕES LTDA.</t>
  </si>
  <si>
    <t xml:space="preserve">8001439555 </t>
  </si>
  <si>
    <t>Sergio Luiz Moraes Ferreira</t>
  </si>
  <si>
    <t>chale@chalerefeicoes.com.br</t>
  </si>
  <si>
    <t>16125791000116 - CHALE REFEICOES LTDA</t>
  </si>
  <si>
    <t>INC55001173</t>
  </si>
  <si>
    <t>Nome de contato: Marcia
Usuário: JMEXTINTORES
Telefone: 79 3023-3271 / 79 99922-1017    
E-mail: jmextintores.se@gmail.com  
CNPJ/Razão social: 16917607000170 
Fornecedor solicita desbloqueio do usuário e a atribuição do perfil de administrador, o mesmo encontra-se expirado.
79 3023-3271 / 79 99922-1017 03.08.2025 Desbloqueado  jmextintores.se@gmail.com 
JMEXTINTORES
Exibir  
ANTONIO JORDAO DE AND</t>
  </si>
  <si>
    <t>INC55001016</t>
  </si>
  <si>
    <t>Nome do Contato: ANTONIO MIGUEL DE PADUA SALOMAO
Usuário: INFODATAS
E-mail:  financeiro@infodatas.com.br 
Telefone: 31984871383
CNPJ/Razão Social: 68514900000271 
Fornecedor solicita desbloqueio do usuário INFODATAS</t>
  </si>
  <si>
    <t>FABIO LUIS HANUM</t>
  </si>
  <si>
    <t>INFODATAS</t>
  </si>
  <si>
    <t>financeiro@infodatas.com.br</t>
  </si>
  <si>
    <t xml:space="preserve">68514900000271 - </t>
  </si>
  <si>
    <t>INC55000964</t>
  </si>
  <si>
    <t xml:space="preserve">CHAT BOT - INC55000964 +5521970499000
Nome do Contato: Diogo dos Santos Fernandes
CNPJ/Razão Social: 40797687000152
CPF: 05869333792
Telefone: 21970499000
E-mail: diogo.fernandes@rdxsuplementos.com.br
Usuário: RDXCOMERCIO
Oportunidade: 
------
</t>
  </si>
  <si>
    <t>INC55000787</t>
  </si>
  <si>
    <t>Nome do Contato: JOSE BRAULIO SILVA JUNIOR
Usuário: USR0039053
Telefone: 21982659044 
E-mail: braulio.silva@smdobrasil.com 
CNPJ / Razão Social: 09643465000135
Fornecedor entrou em contato informando que não consegue acessa as famílias Petrobras localizada na área externa do portal por conta do erro que esta dando, foi feito um chamado INC54787806 antes para ele dessa mesmo situação, foi encerrado informando que e foi resolvido, mas o mesmo fornecedor informar que ainda continua o mesmo erro</t>
  </si>
  <si>
    <t>José Braulio Silva Junior</t>
  </si>
  <si>
    <t>braulio.silva@smdobrasil.com</t>
  </si>
  <si>
    <t>09643465000135 S &amp; M DO BRASIL - CENTRO DE IDIOMAS E CULTURAS INTERNACIONAIS ME</t>
  </si>
  <si>
    <t>INC55000689</t>
  </si>
  <si>
    <t xml:space="preserve">CHAT BOT - INC55000689 +5511953981274
Nome do Contato: Luiz Eduardo da Silva
CNPJ/Razão Social: 62057738000142
CPF: 412.912.658-05
Telefone: 11937272827
E-mail: guitong@legalbr.com.br
Usuário: GUITONGB
Oportunidade: 
------
</t>
  </si>
  <si>
    <t>'+5511953981274</t>
  </si>
  <si>
    <t>LUIZ  EDUARDO DA SILVA</t>
  </si>
  <si>
    <t>GUITONGB</t>
  </si>
  <si>
    <t>guitong@legalbr.com.br</t>
  </si>
  <si>
    <t>62057738000142-GUITONG BRAZIL SOLUCOES INDUSTRIAIS LTDA</t>
  </si>
  <si>
    <t>INC55000567</t>
  </si>
  <si>
    <t>Chamado aberto pela URA
Usuário:ENGAUDRIK
CPF:59994592220
Taxnum:04488873000146
E-mail:eng.audrik@gmail.com
Chat bot Consultar status do chamado</t>
  </si>
  <si>
    <t>Robert Audrik Almeida Nunes</t>
  </si>
  <si>
    <t>eng.audrik@gmail.com</t>
  </si>
  <si>
    <t>04488873000146</t>
  </si>
  <si>
    <t>INC55000277</t>
  </si>
  <si>
    <t>CHAT BOT - INC55000277 +5511972222712
Nome do Contato: Francisco Sanchez Junior
CNPJ/Razão Social: 28508540000108
CPF: 011.062.138-74
Telefone: 11972222712
E-mail: lelia@graficaigd.com.br
Usuário: UAGRAFICA
Oportunidade: 
------
UAGRAFICA
Francisco Sanchez Junior
11-26351113 lelia@graficaigd.com.br 12.10.2025    Desbloq. (Senha Expirada)
Prezados(a), fornecedor(a) solicita desbloqueio, atualização de validade e atribuições de perfis de seu usuário: UAGRAFICA</t>
  </si>
  <si>
    <t>'+5511972222712</t>
  </si>
  <si>
    <t>Francisco Sanchez Junior</t>
  </si>
  <si>
    <t>UAGRAFICA</t>
  </si>
  <si>
    <t>lelia@graficaigd.com.br</t>
  </si>
  <si>
    <t>28508540000108 - UA GRÁFICA COMERCIO E PRESTAÇÃO DE SERVI</t>
  </si>
  <si>
    <t>INC55000134</t>
  </si>
  <si>
    <t>CHAT BOT - INC55000134 +5591981725115
Nome do Contato: Monic Sousa Botelho
CNPJ/Razão Social: 41352407000165
CPF: 00869073281
Telefone: 91989506070
E-mail: hidrotecbelem@gmail.com
Usuário: HTSH2021
Oportunidade: 
------
HTSH2021
MONIC SOUSA BOTELHO
91989506070 hidrotecbelem@gmail.com 12.10.2025    Desbloq. (Senha Expirada)
Prezados(a), fornecedor(a) solicita desbloqueio, atualização de validade e atribuições de perfis de seu usuário: HTSH2021</t>
  </si>
  <si>
    <t>'+5591981725115</t>
  </si>
  <si>
    <t>MONIC SOUSA BOTELHO</t>
  </si>
  <si>
    <t>hidrotecbelem@gmail.com</t>
  </si>
  <si>
    <t>41352407000165 - HIDROTEC SOLUÇÕES HIDRO SANITÁRIAS LTDA</t>
  </si>
  <si>
    <t>INC54999891</t>
  </si>
  <si>
    <t>Nome do Contato: Robert Audrik Almeida Nunes
Usuário: ENGAUDRIK
E-mail: eng.audrik@gmail.com 
Telefone: 92991920295
CNPJ/Razão Social: 04488873000146
Fornecedor solicita desbloqueio do usuário ENGAUDRIK</t>
  </si>
  <si>
    <t>INC54999605</t>
  </si>
  <si>
    <t>Nome do Contato: Davi Hoffman Ferreira
Usuário: D.HOFFMANN
E-mail: davi@olimpoengenharia.com.br 
Telefone: 65999818418
CNPJ/Razão Social: 23920055000115 - FERREIRA &amp; CIA LTDA - EPP
Fornecedor solicita desbloqueio do usuário D.HOFFMANN</t>
  </si>
  <si>
    <t>DAVI  HOFFMANN</t>
  </si>
  <si>
    <t>D.HOFFMANN</t>
  </si>
  <si>
    <t>davi@olimpoengenharia.com.br</t>
  </si>
  <si>
    <t>23920055000115 - FERREIRA &amp; CIA LTDA - EPP</t>
  </si>
  <si>
    <t>INC54999583</t>
  </si>
  <si>
    <t xml:space="preserve">CHAT BOT - INC54999583 +5511951374947
Nome do Contato: Alexsandro Santana de Paiva
CNPJ/Razão Social: 20481986000176
CPF: 37373525857
Telefone: 11951374947
E-mail: alexsandro.paiva@ecconsa.com.br
Usuário: ALEXPAIVA
Oportunidade: 
------
</t>
  </si>
  <si>
    <t>'+5511951374947</t>
  </si>
  <si>
    <t>ALEXSANDRO SANTANA DE PAIVA</t>
  </si>
  <si>
    <t>ALEXPAIVA</t>
  </si>
  <si>
    <t>alexsandro.paiva@ecconsa.com.br</t>
  </si>
  <si>
    <t>20481986000176 - ECCON SOLUÇÕES AMBIENTAIS EIRELI</t>
  </si>
  <si>
    <t>INC54999449</t>
  </si>
  <si>
    <t xml:space="preserve">CHAT BOT - INC54999449 +5571996239594
Nome do Contato: Dailane Silva Fonseca Fernades
CNPJ/Razão Social: 26677242000108
CPF: 02216075523
Telefone: 7196239594
E-mail: vilacelebrarsalvador@gmail.com
Usuário: VILACELEBRAR
Oportunidade: 
------
</t>
  </si>
  <si>
    <t>'+5571996239594</t>
  </si>
  <si>
    <t>DAILANE SILVA FONSECA FERNANDES</t>
  </si>
  <si>
    <t>VILACELEBRAR</t>
  </si>
  <si>
    <t>vilacelebrarsalvador@gmail.com</t>
  </si>
  <si>
    <t>26677242000108 - VILA CELEBRAR INDUSTRIA DE PAES E SALGADOS LTDA.</t>
  </si>
  <si>
    <t>INC54999080</t>
  </si>
  <si>
    <t>não está sendo aceito agencia no cadastro de dados bancários.</t>
  </si>
  <si>
    <t>Chamado criado pelo área interna do Portal 
 Nome do Contato: JOAO PAULO LEITE ESTEVES JUNIOR 
 Usuário: JPEMANUT 
 Telefone: 24981101261 
 E-mail: joaopaulo@jpeengenharia.com 
 CNPJ: 29919352000127 
 Razão Social JPE MANUTENÇÃO E MONTAGEM LTDA 
 Estou atualizando o cadastro da empresa e no campo de dados bancários não está sendo aceito o numero da agencia, dando erro, segue anexo erro informado e comprovante de agencia e conta.</t>
  </si>
  <si>
    <t>João Paulo Esteves</t>
  </si>
  <si>
    <t>JPEMANUT</t>
  </si>
  <si>
    <t>jp.trafos@gmail.com</t>
  </si>
  <si>
    <t xml:space="preserve">29919352000127 - </t>
  </si>
  <si>
    <t>INC54998987</t>
  </si>
  <si>
    <t>Atualização de Material de Treinamento PAINEL DE COLABORAÇÃO - Área Externa do Portal</t>
  </si>
  <si>
    <t>Equipe, bom dia
Favor atualizar o Material de Treinamento PAINEL DE COLABORAÇÃO (anexo), que se encontra na Área Externa do Portal Petronect.
Segue o caminho: Ajuda &gt; Treinamentos &gt; CADASTRO PETROBRAS &gt; PAINEL DE COLABORAÇÃO
Segue abaixo do link onde se encontra o material: 
https://www.petronect.com.br/irj/go/km/docs/pccshrcontent/Site%20Content%20(Legacy)/Portal2018/pt/Ajuda_Treinamento.html
Obrigada.</t>
  </si>
  <si>
    <t>INC54998801</t>
  </si>
  <si>
    <t>Alteração de e-mail</t>
  </si>
  <si>
    <t xml:space="preserve">Nome de contato: ALEXANDRE PENALVES SILVA
Usuário: USR0061055
Telefone: 11 96382-9790 / 19 3392-0869    
E-mail: comercial@flamaseguraca.com.br 
CNPJ/Razão social:  04990553000190 FLAMA SEGURANÇA EIRELI
Fornecedor solicita a correção do e-mail cadastrado no usuário USR0061055, o e-mail correto é o comercial@flamaseguraca.com.br </t>
  </si>
  <si>
    <t>ALEXANDRE  PENALVES SILVA</t>
  </si>
  <si>
    <t>comercial@flamaseguranca.com.br</t>
  </si>
  <si>
    <t>04990553000190  - FLAMA SEGURANÇA EIRELI</t>
  </si>
  <si>
    <t>INC54998718</t>
  </si>
  <si>
    <t>ERRO CADASTRO CONTA</t>
  </si>
  <si>
    <t>Chamado criado pelo área interna do Portal 
 Nome do Contato: MONIELY BEZERRA NUNES 
 Usuário: NUNESGOUVEIA 
 Telefone: 1126385852 
 E-mail: vendas3@nunesgouveia.com.br 
 CNPJ: 34309701000129 
 Razão Social NUNES GOUVEIA ACESSORIOS INDUSTRIAIS LTD 
 Prezados,
Estou realizando o cadastro bancário como fornecedor e estou enfrentando erro na validação da agência bancária.
Banco: 341 – Itaú
Tipo de conta: Conta Corrente Pessoa Jurídica
Agência: 3098 (sem dígito, conforme padrão Itaú)
Conta Corrente: 99887-9
A conta é validada pelo sistema, porém o portal não aceita a agência, mesmo estando correta conforme os dados oficiais do banco.
Solicito, por gentileza, a verificação e liberação manual do cadastro bancário ou orientação quanto ao preenchimento correto no sistema.
Anexo comprovante de dados bancários.
Fico no aguardo.</t>
  </si>
  <si>
    <t>MONIELY BEZERRA NUNES</t>
  </si>
  <si>
    <t>NUNESGOUVEIA</t>
  </si>
  <si>
    <t>vendas3@nunesgouveia.com.br</t>
  </si>
  <si>
    <t>34309701000129  -  NUNES GOUVEIA ACESSORIOS INDUSTRIAIS LTD</t>
  </si>
  <si>
    <t>INC54998617</t>
  </si>
  <si>
    <t>Cadastro CNPJ RJ e Itupeva</t>
  </si>
  <si>
    <t>Chamado criado pelo área interna do Portal 
 Nome do Contato: CARLOS EDUARDO SIQUEIRA MARINHO 
 Usuário: CS304068 
 Telefone: +5521967073816 
 E-mail: marinhaeaviacao@moovelub.com 
 CNPJ: 33000092003850 
 Razão Social COSAN LUBRIFICANTES E ESPECIALIDADES S.A 
 Bom dia! Gentileza seguir com o cadastro dos CNPJs em anexo pois os faturamentos do Rio e São Paulo seguirão em novos cadastros e a equipe de diligenciamento só consegue incluir esses nos pedidos caso estejam cadastrados na Petronect.
Obrigada!</t>
  </si>
  <si>
    <t>CARLOS EDUARDO SIQUEIRA MARINHO</t>
  </si>
  <si>
    <t>carlos.marinho@moovelub.com</t>
  </si>
  <si>
    <t>33000092003850 - COSAN LUBRIFICANTES E ESPECIALIDADES S.A.</t>
  </si>
  <si>
    <t>INC54998471</t>
  </si>
  <si>
    <t>Chamado criado pelo área interna do Portal 
 Nome do Contato: ANTONIO CARLOS SOARES CORREA 
 Usuário: CEMACO2020 
 Telefone: 11 4082-3112 
 E-mail: VENDAS2.TBT@CEMACOBR.COM.BR 
 CNPJ: 04565265000279 
 Razão Social CENTRO MANUFATUREIRO DO ACO LTDA 
 Por gentileza, não estou conseguindo o PDF do CRC, quando entro em cadastro na petrobas, e vou em CRC somente me mostra a validade, não me deixa salvar o documento.</t>
  </si>
  <si>
    <t>8001439367</t>
  </si>
  <si>
    <t>ANTONIO CARLOS  SOARES CORREA</t>
  </si>
  <si>
    <t>vendas2.tbt@cemacobr.com.br</t>
  </si>
  <si>
    <t>4565265000279 -CENTRO MANUFATUREIRO DO ACO LTDA</t>
  </si>
  <si>
    <t>INC54998188</t>
  </si>
  <si>
    <t>CHAT BOT - INC54998188 +5569999204396
Nome do Contato: Paola Ferguson Melo
CNPJ/Razão Social: 63745228000120
CPF: 00886075262
Telefone: 69999204396
E-mail: jakelynefelber@grupobagattoli.com.br
Usuário: TRAN.ADM0301
Oportunidade: 
------
TRAN.ADM0301
Jaime Maximino Bagattoli
6933222839 jakelynefelber@grupobagattoli.com.br 25.02.2024    Bloqueado
USR0056231
Jakelyne Silva Segaspini Felber
69 3322-1661 jakelynefelber@grupobagattoli.com.br 06.12.2022    Bloqueado 
Prezados(a), fornecedor(a) solicita desbloqueio, atualização de validade e atribuições de perfis de seu usuário: TRAN.ADM0301</t>
  </si>
  <si>
    <t>'+5569999204396</t>
  </si>
  <si>
    <t>Jaime Maximino Bagattoli</t>
  </si>
  <si>
    <t>jakelynefelber@grupobagattoli.com.br</t>
  </si>
  <si>
    <t>63745228000120 - TRANSPORTADORA GIOMILA LTDA</t>
  </si>
  <si>
    <t>INC54998030</t>
  </si>
  <si>
    <t>Atualização cadastral e Inclusão de famílias</t>
  </si>
  <si>
    <t>Chamado criado pelo área interna do Portal 
 Nome do Contato: IGOR DA ROCHA STORTO 
 Usuário: USR0067215 
 Telefone: 11 2602-1000 - RAMAL 2078 
 E-mail: sistemasoleoegas@grupoht.com.br 
 CNPJ: 44357085000135 
 Razão Social HIDRAU TORQUE INDUSTRIA COMERCIO IMPORTA 
 Bom dia,
Precisamos realizar a atualização cadastral da nossa empresa junto a Petronect, este CNPJ que temos em registro não utilizamos mais para faturamento. 
E também, a inclusão de famílias de produtos. Existe um máximo de famílias que podemos cadastrar, ou não tem limite?</t>
  </si>
  <si>
    <t>IGOR  DA ROCHA STORTO</t>
  </si>
  <si>
    <t>sistemasoleoegas@grupoht.com.br</t>
  </si>
  <si>
    <t>44357085000135 - HIDRAU TORQUE INDUSTRIA COMERCIO IMPORTACAO E EXPORTACAO LTDA</t>
  </si>
  <si>
    <t>INC54997786</t>
  </si>
  <si>
    <t xml:space="preserve">Nome do Contato: LEANDRO DE ARAUJO RIBEIRO
Usuário: TUBOSDRILL
Telefone: 22997514218 
E-mail: leandro.ribeiro@tubosdrill.com.br 
CNPJ / Razão Social: 24873902000109
Oportunidade: 7004503669
Serviços de desparafinação, limpeza,... 7004503669 DFINRI-SUPRIMENTOS Fechado LP DFP Total 02.09.2025 12:00:00 09.10.2025 12:00:00
Boa tarde !
Fornecedora solicita o desbloqueio de seu usuário,  pois deve realizar a manifestação de recuso ate a data de hoje 09/01/2026 
Obrigado. </t>
  </si>
  <si>
    <t>7004503669</t>
  </si>
  <si>
    <t>Leandro  de Araújo Ribeiro</t>
  </si>
  <si>
    <t>TUBOSDRILL</t>
  </si>
  <si>
    <t>leandro.ribeiro@tubosdrill.com.br</t>
  </si>
  <si>
    <t>24873902000109 - TUBOSDRILL OILFIELD DO BRASIL LTDA-ME</t>
  </si>
  <si>
    <t>INC54997696</t>
  </si>
  <si>
    <t>Atualização Endereço OECI</t>
  </si>
  <si>
    <t>Chamado criado pelo área interna do Portal 
 Nome do Contato: ALFREDO JOSE GONCALVES DE ARAUJO FILHO 
 Usuário: AAFILHO 
 Telefone: +5541996449075 
 E-mail: ajaraujo@odebrecht.com 
 CNPJ: 10220039000178 
 Razão Social OECI S.A EM RECUPERACAO JUDICIAL 
 Prezados, 
Solicitamos a gentileza da alteração do endereço da OECI S.A. na plataforma, para:
Avenida das Nações Unidas, nº 14.401 - 4º andar - Parte E, Cj. 44 - Edifício B1 - Aroeira - CEP: 04794-000 - Vila Gertrudes - São Paulo/SP.
Conforme sua inscrição no Cadastro Nacional de Pessoa Jurídica - CNPJ em anexo.
Agradeço antecipadamente a atenção e o apoio de vocês com o assunto.</t>
  </si>
  <si>
    <t>8001439395</t>
  </si>
  <si>
    <t>ALFREDO JOSE GONCALVES DE ARAUJO FILHO</t>
  </si>
  <si>
    <t>AAFILHO</t>
  </si>
  <si>
    <t>ajaraujo@odebrecht.com</t>
  </si>
  <si>
    <t>10220039000178 - ODEBRECHT ENGENHARIA E CONSTRUCAO INTERN</t>
  </si>
  <si>
    <t>INC54997689</t>
  </si>
  <si>
    <t xml:space="preserve">CHAT BOT - INC54997689 +5527988549164
Nome do Contato: Thiago Amarante Gomes
CNPJ/Razão Social: 07641168000125
CPF: 07628836771
Telefone: 27995071527
E-mail: interface.licitacoes@gmail.com
Usuário: INTER.FACE
Oportunidade: 
------
</t>
  </si>
  <si>
    <t>'+5527988549164</t>
  </si>
  <si>
    <t>THIAGO AMARANTE GOMES</t>
  </si>
  <si>
    <t>INTER.FACE</t>
  </si>
  <si>
    <t>interface.licitacoes@gmail.com</t>
  </si>
  <si>
    <t>07641168000125 - AMARANTE OLIVEIRA COMERCIO E SERVICO LTD</t>
  </si>
  <si>
    <t>INC54997552</t>
  </si>
  <si>
    <t>Nome do Contato: Rogério Nakata
Usuário: USR0010022
E-mail: rogerio.nakata@economiacomportamental.com.br 
Telefone: 12997125898
CNPJ/Razão Social: 03775207000126 - ECONOMIA COMPORTAMENTAL TREINAMENTO E PA
Fornecedor solicita desbloqueio do usuário USR0010022</t>
  </si>
  <si>
    <t>Rogério  Nakata</t>
  </si>
  <si>
    <t>rogerio.nakata@economiacomportamental.com.br</t>
  </si>
  <si>
    <t>03775207000126 - ECONOMIA COMPORTAMENTAL TREINAMENTO E PA</t>
  </si>
  <si>
    <t>INC54997506</t>
  </si>
  <si>
    <t>Nome de contato: LEANDRO ROSA MARTINS
Usuário: JSOFTLTDA
Telefone: 48988449702   
E-mail: jsoft@jsoft.cloud  
CNPJ/Razão social: 28945266000126 
Fornecedor solicita desbloqueio do usuário e a atribuição do perfil de administrador, o mesmo encontra-se expirado.
48988449702 15.06.2025 Desbloq. (Senha Expirada)  jsoft@jsoft.cloud 
JSOFTLTDA
Exibir  
LEANDRO ROSA MARTINS</t>
  </si>
  <si>
    <t>INC54997479</t>
  </si>
  <si>
    <t>Nome do Contato: João Emilio de Oliveira Filho
Usuário: JELEILOEIRO
E-mail: secretaria@joaoemilio.com.br 
Telefone: 21964768582
CNPJ/Razão Social: 36040730000163 JOÃO EMILIO DE OLIVEIRA FILHO
Fornecedor solicita desbloqueio do usuário JELEILOEIRO</t>
  </si>
  <si>
    <t>INC54997068</t>
  </si>
  <si>
    <t>Retirada do banner - Reforma Tributária</t>
  </si>
  <si>
    <t>Prezados, bom dia.
Com base no chamado INC54505736, solicitamos que retirem HOJE (09/01) o banner a respeito da Reforma Tributária que se encontra na área externa do Portal Petronect.
Obrigada.</t>
  </si>
  <si>
    <t>INC54505736</t>
  </si>
  <si>
    <t>INC54996993</t>
  </si>
  <si>
    <t xml:space="preserve">CHAT BOT - INC54996993 +556232950448
Nome do Contato: Leonardo Mangele Silva de Jesus
CNPJ/Razão Social: 26259211000137
CPF: 01686589093
Telefone: 6232950448
E-mail: Contato@eleve11.com.br
Usuário: ELEVE11
Oportunidade: 
------
</t>
  </si>
  <si>
    <t>'+556232950448</t>
  </si>
  <si>
    <t>LEONARDO MANGELE SILVA DE JESUS</t>
  </si>
  <si>
    <t>ELEVE11</t>
  </si>
  <si>
    <t>contato@eleve11.com.br</t>
  </si>
  <si>
    <t>26259211000137 - ELEVE11 INTELIGÊNCIA EM COMPRAS</t>
  </si>
  <si>
    <t>INC54996698</t>
  </si>
  <si>
    <t>Nome de contato: RENATO GAZOLA KALTNER
Usuário: USR0063240
Telefone: (11) 23707979    
E-mail: licitacoes01@escseguranca.com.br 
CNPJ/Razão social: 05408389000122 ESC FONSECCAS SEGURANÇA EIRELI
Fornecedor solicita desbloqueio do usuário e a atribuição do perfil de administrador, o mesmo encontra-se expirado.
(11) 23707979 29.10.2023 Bloqueado  licitacoes01@escseguranca.com.br 
USR0063240
Exibir  
RENATO GAZOLA KALTNER</t>
  </si>
  <si>
    <t>INC54986628</t>
  </si>
  <si>
    <t>ATUALIZAÇÃO DE DADOS DA EMPRESA</t>
  </si>
  <si>
    <t>Chamado criado pela área externa do Portal 
 Nome do Contato: EMERSON CARUBBI MIRANDA BAPTISTA 
 Usuário: AGENCIAE 
 Telefone: 9230839980 
 E-mail: juliana@agenciae.com.br 
 CNPJ: 69285104000196 
 Razão Social AGENCIA E GERENCIAMENTO E PROJETOS LTDA. 
 BOA NOITE, PREZADOS GOSTARIA DE SABER COMO FAÇO PARA ATUALIZAR OS DADOS DA EMPRESA NO CADASTRO E A OBTENÇÃO DO CRC.
ESTOU COM DÚVIDA SE A EMPRESA AINDA PRECISA PASSAR POR ALGUMA ETAPA PARA OBTER O MESMO.</t>
  </si>
  <si>
    <t>8001439470</t>
  </si>
  <si>
    <t>Emerson Baptista</t>
  </si>
  <si>
    <t xml:space="preserve">AGENCIAE </t>
  </si>
  <si>
    <t>agenciae@agenciae.com.br</t>
  </si>
  <si>
    <t>69285104000196 - AGENCIA E GERENCIAMENTO E PROJETOS EIREL</t>
  </si>
  <si>
    <t>INC54984364</t>
  </si>
  <si>
    <t xml:space="preserve">Nome de contato:SAMYA DANDARA DE SOUSA RAPOSO
Usuário: SAMYARAPOSO hidrovacbelem@gmail.com (91) 98417-9936 
CPF:92320066268
Telefone:91984179936
E-mail:hidrovacbelem@gmail.com
CNPJ/Razão social:39380937000175 SS SERVIÇOS DE LIMPEZA LTDA
Fornecedor(a) entrou em contato solicitando auxilio para editar ,após a limpeza de navegador a mesma conseguiu.
</t>
  </si>
  <si>
    <t>d84520ae-52fc-414d-a364-5bfd2e43e379</t>
  </si>
  <si>
    <t>INC54984257</t>
  </si>
  <si>
    <t xml:space="preserve">Nome do Contato: MARCELO NICOLAU DA SILVA
Usuário: DISPEX003347
Telefone: 21 97939 3156 
E-mail: convat@convat.com.br 
CNPJ / Razão Social: 00090713000193
Oportunidade: 7004531805
Aquisição de Válvula Globo de Acionam... 7004531805 DFINRI-SUPRIMENTOS Fechado Licitação Púb. Item 14.11.2025 17:00:00 27.11.2025 17:00:00
Fornecedor solicita auxilio para responder oportunidade em processo de habilitação, porem houve bloqueio de acesso.
O fornecedor informa quando houve anteriormente esse bloqueio realizou a carta modelo e teve o acesso desbloqueado, porem em menos de um mês houve o bloqueio novamente e gostaria de saber o motivo e o desbloqueio de seu usuário para participar da oportunidade 7004531805. </t>
  </si>
  <si>
    <t>7004531805</t>
  </si>
  <si>
    <t>MARCELO NICOLAU DA SILVA</t>
  </si>
  <si>
    <t>convat@convat.com.br</t>
  </si>
  <si>
    <t>91370283564748348W QINGDAO NPA INDUSTRY CO. LTD</t>
  </si>
  <si>
    <t>INC54983892</t>
  </si>
  <si>
    <t>Ampliação de Fornecimento</t>
  </si>
  <si>
    <t>Chamado criado pelo área interna do Portal 
 Nome do Contato: WAGNER D AVILA CAVALHEIRO DE OLIVEIRA 
 Usuário: -CW8WAGNER 
 Telefone: 51992691425 
 E-mail: licitacoes@rgsenergia.com.br 
 CNPJ: 46647982000109 
 Razão Social RS ENERGIA E AUTOMAÇÃO LTDA 
 Solicito a inclusão das seguintes linhas de fornecimento:
- M-26 - Subestação elétrica ( 98011834 ) 
- M-39 - [PQ] Painel elétrico de distribuição até 1 kV (BT) ( 98010394 ) 
- M-39 - Painel elétrico acima de 1 kV conforme a norma IEC 62271-200 ( 98012214 ) 
- Montagem de subestações e redes de transmissão e distribuição. ( 99007130 ) 
- M-39 - Quadro elétrico de distribuição ( 98010595 )</t>
  </si>
  <si>
    <t>WAGNER D AVILA CAVALHEIRO DE OLIVEIRA</t>
  </si>
  <si>
    <t>'-CW8WAGNER</t>
  </si>
  <si>
    <t>licitacoes@rgsenergia.com.br</t>
  </si>
  <si>
    <t>46647982000109 -  RS ENERGIA E AUTOMAÇÃO LTDA</t>
  </si>
  <si>
    <t>INC54983780</t>
  </si>
  <si>
    <t>Cancelamento / Descredenciamento de Fornecimento</t>
  </si>
  <si>
    <t>Chamado criado pelo área interna do Portal 
 Nome do Contato: WAGNER D AVILA CAVALHEIRO DE OLIVEIRA 
 Usuário: -CW8WAGNER 
 Telefone: 51992691425 
 E-mail: licitacoes@rgsenergia.com.br 
 CNPJ: 46647982000109 
 Razão Social RS ENERGIA E AUTOMAÇÃO LTDA 
 Solicito a exclusão das seguintes linhas de fornecimento:
99006051 - Serviço de estudo de viabilidade técnica econômica para serviços de engenharia [OPER]
99006066 - Projeto de Sistemas Elétricos com tensão menor que 69KV [CRIT]
99006070 - Projetos de instalações prediais – elétrica, hidráulica e sanitária [CRIT]
99006092 - Projeto de Sistemas Elétricos com tensão igual ou maior que 69KV [CRIT]
99006093 - Projeto de Sistemas de Instrumentação/Automação industrial [CRIT]
99006116 - Projeto de instalações prediais - automação [CRIT]
99006057 - Serviço de integração de sistema de automação industrial [CRIT]
99006105 - Consultoria em engenharia [OPER]
99006623 - Serviços em infraestrutura de cabeamento [OPER]
99006164 - Construção de edificações. [OPER]
99006261 - Construção de estação de tratamento. [OPER]
99008721 - [PQ] Construção e Montagem em Unidades Onshore [ESTR]
99006771 - Manutenção de conversor de frequência. [OPER]
99006911 - Manutenção de Sistema Ininterrupto de Energia (UPS). [OPER]
99007080 - Manutenção de disjuntores [OPER]
99007091 - Instalação ou manutenção de sistemas de refrigeração, ventilação e exaustão, central e individual [OPER]
99007100 - Manutenção de relés digitais de proteção [OPER]
99008020 - [PQ] Paradas de Manutenção de Unidades Industriais [ESTR]
99008300 - Manutenção Industrial Integrada. [ESTR]
99008481 - [PQ] Serviços de Retrofit (Revitalização/modernização) de empreendimentos imobiliários [CRIT]
99008670 - [PQ] Manutenção Industrial Integrada. [ESTR]
99007173 - Descomissionamento de plataformas fixas de petróleo; [OPER]
99007920 - [PQ] Serviços de Manutenção de Plataformas Marítimas de Produção (UEPs) [ESTR]
99008680 - [PQ] Multisserviços e Facilities Prediais [OPER]</t>
  </si>
  <si>
    <t>8001439280</t>
  </si>
  <si>
    <t>INC54983572</t>
  </si>
  <si>
    <t>inclusão de famílias</t>
  </si>
  <si>
    <t>Chamado criado pelo área interna do Portal 
 Nome do Contato: THIAGO STEFAN SOARES ROCHA 
 Usuário: PORTAL_CAJA 
 Telefone: 11 5116-9670 
 E-mail: portal.br@se.com 
 CNPJ: 82743287003553 
 Razão Social SCHNEIDER ELECTRIC BRASIL LTDA 
 Solicitamos atenciosamente que incluam as seguintes familias:
98010456 – Centro de controle de motores (CCM) até 1kV
98010394 – Painel elétrico de distribuição até 1 kV (BT)
98010385 – Centro de Distribuição de Cargas até 1 kV
98010384 – Centro de distribuição de cargas conforme a norma IEC 62271-200
Atenciosamente,</t>
  </si>
  <si>
    <t>ANDRE ALO</t>
  </si>
  <si>
    <t>ANDREAL</t>
  </si>
  <si>
    <t>andre.alo@future.com.br</t>
  </si>
  <si>
    <t>01933257000169 - FUTURE TECHNOLOGIES INFORMATICA LTDA</t>
  </si>
  <si>
    <t>INC54983139</t>
  </si>
  <si>
    <t>Chamado:  INC54983139
 Nome do Contato: VINICIUS FONSECA
 Usuário: EXTREMOEPI
 Telefone: 1121303673
E-mail: contato@extremoepi.com.br
CNPJ / Razão Social: 21049571000190  - VS EQUIPAMENTOS DE SEGURANCA LTDA
Fornecedor(a) solicita auxilio para o desbloqueio de seu usuário que expirou no dia 06/12/2022 e aderi ao perfil de administrador. 
EXTREMOEPI
VINICIUS FONSECA
1121303673 06.12.2022    Bloqueado Exibir  contato@extremoepi.com.br</t>
  </si>
  <si>
    <t>8001439186</t>
  </si>
  <si>
    <t>VINICIUS FONSECA</t>
  </si>
  <si>
    <t>contato@extremoepi.com.br</t>
  </si>
  <si>
    <t>21049571000190 - V. F. DEFANTE EQUIPAMENTOS DE SEGURANCA</t>
  </si>
  <si>
    <t>TH Soluções</t>
  </si>
  <si>
    <t>MUNAHI71</t>
  </si>
  <si>
    <t>atendimento@thsolucoesintegrada.com.br</t>
  </si>
  <si>
    <t>50288431000173 - ATX Soluções Integradas Ltda</t>
  </si>
  <si>
    <t>INC54982857</t>
  </si>
  <si>
    <t xml:space="preserve">Cadastro </t>
  </si>
  <si>
    <t xml:space="preserve">Chamado: INC54982857
Fornecedor(a) entrou em contato para obter informações do cadastro na Petronect e das oportunidades, o mesmo foi orientado pelo atendimento. 
Atenciosamente,
Equipe Petronect
</t>
  </si>
  <si>
    <t>INC54982798</t>
  </si>
  <si>
    <t>Solicitação de desbloqueio de conta – Petronect</t>
  </si>
  <si>
    <t>Chamado criado pela área externa do Portal 
 Nome do Contato: BRUNO MARJACKSON 
 Usuário: CKMACAPA 
 Telefone: 9632170642 
 E-mail: bruno@centerkennedy.com.br 
 CNPJ: 10228674000100 
 Razão Social CENTER KENNEDY COMERCIO LTDA 
 Prezados,
Gostaria de solicitar suporte técnico referente ao acesso da empresa Center Kennedy Comercio Ltda, cadastrada sob o CNPJ: 10.228.674/0001-00.
Concluímos a primeira etapa do cadastro e recebemos as credenciais de acesso via e-mail. No entanto, ao realizar a tentativa de login para prosseguir com o preenchimento dos dados, o sistema retorna a mensagem informando que a "conta se encontra bloqueada".
Poderiam, por gentileza, verificar a ocorrência e realizar o desbloqueio do usuário para que possamos avançar com as etapas obrigatórias do cadastro?
Fico à disposição para o envio de eventuais documentos ou informações adicionais.
Atenciosamente,
Bruno Marjackson
Tel.: (96) 3217-0642 Cel.: (96) 98113-5828
Center Kennedy Comercio Ltda</t>
  </si>
  <si>
    <t>beatriz moreira</t>
  </si>
  <si>
    <t>SOLTRAN</t>
  </si>
  <si>
    <t>soltran@soltran.com.br</t>
  </si>
  <si>
    <t>44690162000174 - SOLTRAN TRANSFORMADORES LTDA</t>
  </si>
  <si>
    <t>INC54982776</t>
  </si>
  <si>
    <t>CHAT BOT - INC54982776 +5541974011503
Nome do Contato: Jeice Martins Sampaio
CNPJ/Razão Social: 90195892001945
CPF: 09965128960
Telefone: 41974011503
E-mail: jeice.sampaio@gpcquimica.com.br
Usuário: USR0068076
Oportunidade: 
------
USR0068076
ELIANE APARECIDA FARINEA
41 2165-6500 vendas@gpcquimica.com.br 27.04.2025    Desbloqueado</t>
  </si>
  <si>
    <t>'+5541974011503</t>
  </si>
  <si>
    <t>ELIANE APARECIDA FARINEA</t>
  </si>
  <si>
    <t>vendas@gpcquimica.com.br</t>
  </si>
  <si>
    <t xml:space="preserve">90195892001945 - </t>
  </si>
  <si>
    <t>INC54982745</t>
  </si>
  <si>
    <t>Nome de contato: Maria
Usuário: TALESALMEIDA
Telefone: 79991313945    
E-mail: contato@gepetroleoegas.com.br  
CNPJ/Razão social: 45294067000114 GE PETRÓLEO E GÁS LTDA
Fornecedor solicita desbloqueio do usuário e a atribuição do perfil de admnistrador, o mesmo encontra-se expirado.
79991313945 14.09.2025 Desbloq. (Senha Expirada)  contato@gepetroleoegas.com.br 
TALESALMEIDA
Exibir  
TALES ANDRADE ALMEIDA</t>
  </si>
  <si>
    <t>INC54982620</t>
  </si>
  <si>
    <t xml:space="preserve">Nome de contato:TH Soluções 
Usuário: MUNAHI71
Telefone: 5522998492804   
E-mail: atendimento@thsolucoesintegrada.com.br  
CNPJ/Razão social: 50288431000173 
</t>
  </si>
  <si>
    <t>INC54982573</t>
  </si>
  <si>
    <t>Nome do Contato: Paulo Emílio Soares Lana
Usuário: VIXFILMES
E-mail: vixfilmes@icloud.com 
Telefone: 27988141467
CNPJ/Razão Social: 24590650000100 - PAULO EMILIO SOARES LANA 05606142686
Fornecedor solicita desbloqueio do usuário VIXFILMES</t>
  </si>
  <si>
    <t>PAULO  EMILIO SOARES LANA</t>
  </si>
  <si>
    <t>VIXFILMES</t>
  </si>
  <si>
    <t>vixfilmes@icloud.com</t>
  </si>
  <si>
    <t>24590650000100 - PAULO EMILIO SOARES LANA 05606142686</t>
  </si>
  <si>
    <t>INC54982553</t>
  </si>
  <si>
    <t>Chamado:  INC54982553
 Nome do Contato: MARCOS ANTONIO VIEIRA LIMA
 Usuário: LONGHISEG
 Telefone: (54) 32121902
E-mail: marcos@longhi.ind.br
CNPJ / Razão Social: 07401652000187 - LONGHI EQUIPAMENTOS DE PROTECAO INDIVIDU
Fornecedor(a) solicitou auxilio para o desbloqueio de seu usuário que expirou no dia 06/12/2022 e aderi ao perfil de administrador. 
LONGHISEG
MARCOS ANTONIO VIEIRA LIMA
(54) 32121902 06.12.2022    Bloq. (Senha Expirada) Exibir  marcos@longhi.ind.br</t>
  </si>
  <si>
    <t>8001439172</t>
  </si>
  <si>
    <t>MARCOS ANTONIO VIEIRA LIMA</t>
  </si>
  <si>
    <t>marcos@longhi.ind.br</t>
  </si>
  <si>
    <t>07401652000187 - LONGHI EQUIPAMENTOS DE PROTECAO INDIVIDU</t>
  </si>
  <si>
    <t>INC54982520</t>
  </si>
  <si>
    <t>Nome do Contato: Rui Alexsandro miranda teodoro
Usuário: RUIMIRA
E-mail: rui.alexsandro@yahoo.com.br 
Telefone: 84999332869
CNPJ/Razão Social: 37029319000150
Fornecedor solicita desbloqueio do usuário RUIMIRA</t>
  </si>
  <si>
    <t>RUI ALEXSANDRO  MIRANDA TEODORO</t>
  </si>
  <si>
    <t>RUIMIRA</t>
  </si>
  <si>
    <t>rui.alexsandro@yahoo.com.br</t>
  </si>
  <si>
    <t>37029319000150</t>
  </si>
  <si>
    <t>INC54982446</t>
  </si>
  <si>
    <t>Alterar senha</t>
  </si>
  <si>
    <t>Chamado criado pela área externa do Portal 
 Nome do Contato: JULIANA 
 Usuário: JULIANA3 
 Telefone: 2237005097 
 E-mail: macedooffshore@gmail.com 
 CNPJ: 41.750.216/0001-51 
 Razão Social  
 Boa tarde, prezados.
Pode nos ajudar com a redefinição da senha do usuario ? o funcionario que era o admnistrador foi desligado e bloqueou meu cadastro, com isso eu perdi o acesso ao petronect. É possivel desbloquear meu usuario e redefinir minha senha ? Agradeço.
Não consigo de jeito nenhum entrar no portal novamente.</t>
  </si>
  <si>
    <t>JULIANA MENDES PEREIRA</t>
  </si>
  <si>
    <t>JULIANA3</t>
  </si>
  <si>
    <t>macedooffshore@gmail.com</t>
  </si>
  <si>
    <t>41750216000151 - J MENDES PEREIRA COMERCIO DE MATERIAIS</t>
  </si>
  <si>
    <t>INC54982335</t>
  </si>
  <si>
    <t>ACESSO A PLATAFORMA</t>
  </si>
  <si>
    <t>Chamado criado pela área externa do Portal 
 Nome do Contato: RUI 
 Usuário: RUIMIRA 
 Telefone: 84 999332869 
 E-mail: rui.alexsandro@yahoo.com.br 
 CNPJ: 37029319000150 
 Razão Social RA ENGENHARIA 
 Não estamos conseguindo ter acesso a Petronect, o usuário RUIMIRA  e esquecemos a senha</t>
  </si>
  <si>
    <t>INC54982315</t>
  </si>
  <si>
    <t xml:space="preserve">Chamado:  INC54982315
 Nome do Contato: TH Soluções
 Usuário: MUNAHI71
 Telefone: -
E-mail: atendimento@thsolucoesintegrada.com.br
CNPJ / Razão Social: 50288431000173   / -  
Oportunidade: 
Fornecedor(a) entrou em conta informando que não estava conseguindo acessar no portal, o mesmo estava no site da minha  Petronect &gt; O mesmo foi orientado acessar o site da Petronect. www.petronect.com.br
Atenciosamente,
Equipe Petronect
</t>
  </si>
  <si>
    <t>INC54982233</t>
  </si>
  <si>
    <t xml:space="preserve">CHAT BOT - INC54982233 +5527999310615
Nome do Contato: Fernanda Barros Silva Knoeller
CNPJ/Razão Social: 31909630000107
CPF: 14599282707
Telefone: 27997356604
E-mail: adm@barrosltda.com.br
Usuário: FERB2910
Oportunidade: 
------
</t>
  </si>
  <si>
    <t>'+5527999310615</t>
  </si>
  <si>
    <t>FERNANDA BARROS SILVA KNOELLER</t>
  </si>
  <si>
    <t>adm@barrosltda.com.br</t>
  </si>
  <si>
    <t xml:space="preserve">31909630000107 - </t>
  </si>
  <si>
    <t>INC54982193</t>
  </si>
  <si>
    <t>Não consigo resetar a senha de acesso ao petronect</t>
  </si>
  <si>
    <t>Chamado criado pela área externa do Portal 
 Nome do Contato: Ramoel Rodolfo Heldt 
 Usuário:  
 Telefone: (51) 984259848 
 E-mail: ramoel@heldtsolucoesindustriais.com.br 
 CNPJ: 05929836000199 
 Razão Social RAFAEL RAMÃO HELDT &amp; CIA LTDA 
 A conta da empresa foi feita por um usuário e não temos mais acesso ao e-mail e senha da conta. Precisamos resetar o e-mail e criar uma nova senha de acesso para poder acessar ao sistema.</t>
  </si>
  <si>
    <t>INC54981522</t>
  </si>
  <si>
    <t xml:space="preserve">CHAT BOT - INC54981522 +5511963126626
Nome do Contato: Cristiane Rodrigues
CNPJ/Razão Social: 13533601000101
CPF: 08208797626
Telefone: 11963126626
E-mail: cadastro@afaplan.com.br
Usuário: USR0068500
Oportunidade: 
------
</t>
  </si>
  <si>
    <t>'+5511963126626</t>
  </si>
  <si>
    <t>FLAVIO  ANDRE RIDE BARREIRO</t>
  </si>
  <si>
    <t>cadastro@afaplan.com.br</t>
  </si>
  <si>
    <t>13533601000101 - AFAPLAN - PLANEJAMENTO E GESTAO DE PROJE</t>
  </si>
  <si>
    <t>INC54981475</t>
  </si>
  <si>
    <t>CADASTRO EM NOVAS FAMÍLIAS DE MATERIAIS</t>
  </si>
  <si>
    <t>Chamado criado pelo área interna do Portal 
 Nome do Contato: RODRIGO CORDEIRO MALUCELLI 
 Usuário: RMALUCELLI 
 Telefone: 42999510748 
 E-mail: contato@metalurgicavolga.com.br 
 CNPJ: 20691413000177 
 Razão Social METALURGICA VOLGA LTDA 
 Olá, boa tarde.
Por gentileza, pode me orientar de como faço para cadastrar a nossa empresa em novas famílias no portal Petronect?
Grato.</t>
  </si>
  <si>
    <t>RODRIGO  CORDEIRO MALUCELLI</t>
  </si>
  <si>
    <t>RMALUCELLI</t>
  </si>
  <si>
    <t>contato@metalurgicavolga.com.br</t>
  </si>
  <si>
    <t>20691413000177 - YURI RAMOS BACH - ME</t>
  </si>
  <si>
    <t>INC54981006</t>
  </si>
  <si>
    <t>CHAT BOT - ARIBA</t>
  </si>
  <si>
    <t xml:space="preserve">CHAT BOT - INC54981006 +5521991470407
Nome do Contato: Emerson Guerra Nunes Gregório
CNPJ/Razão Social: 04963936000179
CPF: 02327178770
Telefone: 2124374993
E-mail: Contemerson.guerra@gmail.com
Usuário: 
Oportunidade: 
------
</t>
  </si>
  <si>
    <t>'+5521991470407</t>
  </si>
  <si>
    <t>INC54980844</t>
  </si>
  <si>
    <t>Suporte para finalizar o cadastro</t>
  </si>
  <si>
    <t>Chamado criado pela área externa do Portal 
 Nome do Contato: Marlon Gonçalves da Silva 
 Usuário: MARLON 
 Telefone: 47 991611710 
 E-mail: mgoncalves@power-equipements.com 
 CNPJ: TAX ID 47991611710 
 Razão Social POWER EQUIPMENTS TRANDIG LLC 
 Solicito suporte para finalizar o nosso cadastro como fornecedor da petrobras.</t>
  </si>
  <si>
    <t>Marlon Gonçalves da Silva</t>
  </si>
  <si>
    <t>mgoncalves@power-equipments.com</t>
  </si>
  <si>
    <t>453856317 - POWER EQUIPMENTS TRADING LLC</t>
  </si>
  <si>
    <t>INC54980408</t>
  </si>
  <si>
    <t>EMISSÃO CRC</t>
  </si>
  <si>
    <t>Chamado criado pelo área interna do Portal 
 Nome do Contato: FERNANDO MESSIAS VIEIRA DOS SANTOS 
 Usuário: FERNANDOCONS 
 Telefone: (38) 99218-9137 
 E-mail: contato@consuldoc.com.br 
 CNPJ: 15626562000112 
 Razão Social CONSULDOC CONSULTORIA E ASSESSORIA LTDA 
 Prezados, boa tarde!
Após o preenchimento dos Questionários da Avaliação, quero saber qual o procedimento para emissão do CRC? Gostaria do passo-a-passo.
Na segunda-feira, dia 12/01/2026, temos uma reunião agendada, seria para apresentação da empresa. Queria saber se está confirmado e se precisaríamos estar com este CRC emitido para realizarmos?
Desde já agradeço e aguardamos retorno.
Att,
Marcus Tadeu
Supervisor de Relacionamento e Qualidade</t>
  </si>
  <si>
    <t>INC54980257</t>
  </si>
  <si>
    <t>Atualização de Cadastro - inclusão de familia</t>
  </si>
  <si>
    <t>Oportunidade CADASTRO 
 Chamado criado pelo área interna do Portal 
 Nome do Contato: VALTER SANTOS LIMA JUNIOR 
 Usuário: USR0000744 
 Telefone: 011 50951200 RAMAL 1231 
 E-mail: licitacao@connectcom.com.br 
 CNPJ: 00308141000176 
 Razão Social CONNECTCOM TELEINFORMATICA COMERCIO E SE 
Boa tarde, tudo bem?
Por gentileza, poderia nos ajudar a incluir a família: Desenvolvimento de soluções e projetos de TIC (ID: 99006614) 
Em anexo os atestados que comprovam nossa experiencia no segmento.
Desde já agradeço.
Obrigada</t>
  </si>
  <si>
    <t xml:space="preserve">8001439135 </t>
  </si>
  <si>
    <t>Valter  Santos Lima Júnior</t>
  </si>
  <si>
    <t>licitacao@connectcom.com.br</t>
  </si>
  <si>
    <t>00308141000176 - CONNECTCOM TELEINFORMATICA COMERCIO E SE</t>
  </si>
  <si>
    <t>INC54940341</t>
  </si>
  <si>
    <t xml:space="preserve"> Ismael Rodrigues Cabral </t>
  </si>
  <si>
    <t>ISMAELRC</t>
  </si>
  <si>
    <t>ismael@supportengenharia.com.br</t>
  </si>
  <si>
    <t>23350882000110</t>
  </si>
  <si>
    <t>INC54979628</t>
  </si>
  <si>
    <t>Nome do Contato: Eduard Muller
Usuário: EDMULLER
E-mail: eduard.mueller@sirax-energy.com
Telefone: 11944485651
CNPJ/Razão Social: 42098489000126 - SIRAX ENERGY SERVICOS LTDA
Fornecedor não consegue redefinir a senha e acessar o portal. Ao trocar a senha a tela fica branca e não salva os dados. Foram passadas as seguintes orientações:
- A nova senha deve ser diferente das 10 anteriores
- Fazer diversas tentativas com senhas diferentes em conformidade com as regras no página
- No campo "Senha atual" digitar a senha recebida por e-mail
- Tentar fazer o procedimento na aba anônima do Google Chrome
- Limpar o cache e tentar de novo
- Tentar trocar o navegar e fazer o acesso pelo Edge
- Tentar aguardar o carregamento
Mesmo assim, o erro persiste. Favor verificar.</t>
  </si>
  <si>
    <t>Eduard Muller</t>
  </si>
  <si>
    <t>EDMULLER</t>
  </si>
  <si>
    <t>eduard.mueller@sirax-energy.com</t>
  </si>
  <si>
    <t xml:space="preserve">42098489000126 - </t>
  </si>
  <si>
    <t>INC54979514</t>
  </si>
  <si>
    <t>AUTORIZAÇÃO DE CESSÃO</t>
  </si>
  <si>
    <t>Chamado criado pela área externa do Portal 
 Nome do Contato: PAULO HENRIQUE DA SILVA RIBEIRO 
 Usuário:  
 Telefone: 996390218 
 E-mail: paulo.ribeiro@
 CNPJ: 00000000000 
 Razão Social  
 O contrato da Transpetro prevê a Cessão, gostaria de saber como é solicitado a autorização de cessão fiduciária dos direitos creditorios da TRanspetro.
obs. não sou fornecedor</t>
  </si>
  <si>
    <t>INC54979161</t>
  </si>
  <si>
    <t xml:space="preserve">Desbloqueio de Usuário </t>
  </si>
  <si>
    <t xml:space="preserve">Bom dia, 
Fornecedor (a) solicita Desbloqueio de Usuário ANDREAL
ANDREAL
André Luis Ribeiro Alô
5524993137337 andre.alo@future.com.br 06.12.2022    Desbloqueado
Chamado/Prot: INC54979161
Nome :  André Luis Ribeiro Alô
Usuário: ANDREAL
Telefone: 5524993137337
E-mail: andre.alo@future.com.br
CNPJ: 01933257000169
Razão Social: FUTURE TECHNOLOGIES INFORMATICA LTDA
</t>
  </si>
  <si>
    <t>INC54979096</t>
  </si>
  <si>
    <t xml:space="preserve">Nome de contato:TH Soluções 
Usuário: MUNAHI71
Telefone: 5522998492804   
E-mail: atendimento@thsolucoesintegrada.com.br  
CNPJ/Razão social: 50288431000173
Fornecedor solicita desbloqueio do usuário e a atribuição do perfil de admnistrador, o mesmo encontra-se expirado.
15.09.2023 Bloqueado  atendimento@thsolucoesintegrada.com.br 
MUNAHI71
Exibir  
TH Soluções 
</t>
  </si>
  <si>
    <t>INC54978944</t>
  </si>
  <si>
    <t xml:space="preserve">CHAT BOT - INC54978944 +5522998125121
Nome do Contato: CIDNEIA TONASSE BIRAL POMPERMAYER
CNPJ/Razão Social: 05537599000110
CPF: 03079396774
Telefone: 22996100906
E-mail: tendasreal@tendasreal.com.br
Usuário: CIDNEA1
Oportunidade: 
------
</t>
  </si>
  <si>
    <t>'+5522998125121</t>
  </si>
  <si>
    <t>INC54978779</t>
  </si>
  <si>
    <t>Edição da Linha de Fornecimento</t>
  </si>
  <si>
    <t>Chamado criado pelo área interna do Portal 
 Nome do Contato: WAGNER D AVILA CAVALHEIRO DE OLIVEIRA 
 Usuário: -CW8WAGNER 
 Telefone: 51992691425 
 E-mail: licitacoes@rgsenergia.com.br 
 CNPJ: 46647982000109 
 Razão Social RS ENERGIA E AUTOMAÇÃO LTDA 
 Preciso realizar a inclusão/exclusão de familias de fornecimento, solicito a liberação para edição.</t>
  </si>
  <si>
    <t>INC54978506</t>
  </si>
  <si>
    <t>Nome do Contato: Flávio Luiz de Barros
Usuário: BARROSSERV
E-mail: flavio.barros@barrosserv.com.br 
Telefone: 22992186468
CNPJ/Razão Social: 47857581000146
Fornecedor solicita desbloqueio do usuário BARROSSERV</t>
  </si>
  <si>
    <t>Flávio  Barros</t>
  </si>
  <si>
    <t>BARROSSERV</t>
  </si>
  <si>
    <t>flavio.barros@barrosserv.com.br</t>
  </si>
  <si>
    <t>47857581000146</t>
  </si>
  <si>
    <t>INC54978290</t>
  </si>
  <si>
    <t>CHAT BOT - INC54978290 +5511990098009
Nome do Contato: Alexia Cristina Neves Viana
CNPJ/Razão Social: 17734901000100
CPF: 429.073.838-92
Telefone: 11990098009
E-mail: qualidade@ohmini.com.br
Usuário: ALEXIA1773
Oportunidade: 
------
ALEXIA1773
ALEXIA CRISTINA NEVES VIANA
113438-8434 qualidade@ohmini.com.br 21.12.2025    Desbloqueado
Prezados(a), fornecedor(a) solicita desbloqueio, atualização de validade e atribuições de perfis de seu usuário: ALEXIA1773</t>
  </si>
  <si>
    <t>'+5511990098009</t>
  </si>
  <si>
    <t>ALEXIA CRISTINA NEVES VIANA</t>
  </si>
  <si>
    <t>ALEXIA1773</t>
  </si>
  <si>
    <t>qualidade@ohmini.com.br</t>
  </si>
  <si>
    <t>17734901000100 - OHMINI COMERCIO, IMPORTACAO E EXPORTACAO</t>
  </si>
  <si>
    <t>INC54978030</t>
  </si>
  <si>
    <t>Chamado:  INC54978030
 Nome do Contato: EMERSON CARUBBI MIRANDA BAPTISTA
 Usuário: AGENCIAE
 Telefone: 9230839980
E-mail: agenciae@agenciae.com.br
CNPJ / Razão Social: 69285104000196  - AGENCIA E GERENCIAMENTO E PROJETOS EIREL
Fornecedor(a) solicitou auxilio para o desbloqueio de seu usuário, foi verificado no SAP que o usuário expirou no dia 06/12/2022, último acesso em 2019. 
AGENCIAE
EMERSON CARUBBI MIRANDA BAPTISTA
30839980 31.12.9999    Bloq. (Senha Expirada) Exibir  agenciae@agenciae.com.br</t>
  </si>
  <si>
    <t>8001439113</t>
  </si>
  <si>
    <t>EMERSON  CARUBBI MIRANDA BAPTISTA</t>
  </si>
  <si>
    <t>AGENCIAE</t>
  </si>
  <si>
    <t>69285104000196  - AGENCIA E GERENCIAMENTO E PROJETOS EIREL</t>
  </si>
  <si>
    <t>VERONICA  MENDONSA</t>
  </si>
  <si>
    <t>VERONMENDO54</t>
  </si>
  <si>
    <t>afservicoetransporte@gmail.com</t>
  </si>
  <si>
    <t>55160565000128 - A&amp;F SERVICOS E LOCACOES LTDA</t>
  </si>
  <si>
    <t>INC54977802</t>
  </si>
  <si>
    <t xml:space="preserve">Nome de contato: Jessica
Usuário: 
Telefone: 5571987871895   
E-mail:  
CNPJ/Razão social: 08824239000279 
</t>
  </si>
  <si>
    <t>Acesso ao Portal</t>
  </si>
  <si>
    <t>INC54977588</t>
  </si>
  <si>
    <t>Chamado criado pela área externa do Portal 
 Nome do Contato: MARCOS BAIÃO 
 Usuário: MARCOSBAI 
 Telefone: 19992026565 
 E-mail: joao.dorta@parametrix.global 
 CNPJ: 48876558000161 
 Razão Social PARAMETRIX GLOBAL 
 Conta bloqueada, sem motivo aparente</t>
  </si>
  <si>
    <t>LUIS GUSTAVO AMARAL</t>
  </si>
  <si>
    <t>MARCOSBAI</t>
  </si>
  <si>
    <t>marcos.baiao@parametrix.global</t>
  </si>
  <si>
    <t xml:space="preserve">48876558000161 - </t>
  </si>
  <si>
    <t>INC54977475</t>
  </si>
  <si>
    <t>CHAT BOT - INC54977475 +5521982116000
Nome do Contato: Janeisa do Rosário Costa
CNPJ/Razão Social: 07656704000166
CPF: 04155828499
Telefone: 83996282930
E-mail: jap@japmetais.com.br
Usuário: C.JARDEL
Oportunidade: 
------
C.JARDEL
Carla Pinheiro
21 35511880 carlapinheiro.rio@gmail.com 17.05.2022    Desbloqueado 
Prezados(a), fornecedor(a) solicita desbloqueio, atualização de validade e atribuições de perfis de seu usuário: C.JARDEL</t>
  </si>
  <si>
    <t>'+5521982116000</t>
  </si>
  <si>
    <t>Carla Pinheiro</t>
  </si>
  <si>
    <t>C.JARDEL</t>
  </si>
  <si>
    <t>carlapinheiro.rio@gmail.com</t>
  </si>
  <si>
    <t>INC54977446</t>
  </si>
  <si>
    <t>Chamado:  INC54977446
 Nome do Contato: RAFAEL ALBINO RIGONATO
 Usuário: USR0063241
 Telefone: 1196382-9790
E-mail: comercial@flamaseguranca.com.br
CNPJ / Razão Social: 04990553000190  - FLAMA SEGURANÇA EIRELI
Fornecedor solicita desbloqueio do usuário e a atribuição do perfil de admnistrador, o mesmo encontra-se expirado.
(11) 96382-9790 21.12.2025 Desbloqueado  comercial@flamaseguranca.com.br 
USR0063241
Exibir  
RAFAEL ALBINO RIGONAT</t>
  </si>
  <si>
    <t>RAFAEL  ALBINO RIGONATO</t>
  </si>
  <si>
    <t>INC54977303</t>
  </si>
  <si>
    <t>fornecer produtos</t>
  </si>
  <si>
    <t>Chamado criado pela área externa do Portal 
 Nome do Contato: JOAO 
 Usuário: HIFEN 
 Telefone: 11963197936 
 E-mail: joao@hifenimportacao.com.br 
 CNPJ: 06311956000190 
 Razão Social FORNECEDOR 
 João – HIFEN Importação
Direto ao ponto: Somos importadores em Guarulhos e trabalhamos com Linha Schedule (SCH 10 ao 160) e Chapas de Aço Carbono.
Material Normatizado: ASTM A106, A53 e API 5L (Tudo com certificado). E MUITO MAIS.
Mix: Tubos SCH (com/sem costura), Tubos Quadrados/Retangulares e Chapas.
Pronta Entrega
João | HIFEN Importação</t>
  </si>
  <si>
    <t>RENATO FABIANO BRUNO</t>
  </si>
  <si>
    <t>renato@hifenimportacao.com.br</t>
  </si>
  <si>
    <t>06311956000190 - HIFEN COMERCIO IMPORTACAO E EXPORTACAO EIRELI</t>
  </si>
  <si>
    <t>INC54977141</t>
  </si>
  <si>
    <t>Solicitação de desbloqueio de conta</t>
  </si>
  <si>
    <t>Chamado criado pela área externa do Portal 
 Nome do Contato: Sanelly Atanazio 
 Usuário: SEAL_BR 
 Telefone: 71991117607 
 E-mail: sanellyatanazio@gmail.com 
 CNPJ: 58539355000133 
 Razão Social SEAL SOLUTIONS MAQUINAS E EQUIPAMENTOS LTD 
 Ao tentar acessar minha conta, foi exibida uma mensagem de bloqueio, impossibilitando o acesso. No entanto, não foi apresentada uma informação clara sobre o motivo do ocorrido.
Diante disso, solicito, por gentileza, a verificação do que houve e as orientações necessárias para a regularização da situação, caso haja alguma pendência.
Fico à disposição para enviar documentos, prestar esclarecimentos ou realizar qualquer procedimento adicional que seja necessário para a análise.
Agradeço a atenção e aguardo retorno.</t>
  </si>
  <si>
    <t>INC54976692</t>
  </si>
  <si>
    <t>Senha</t>
  </si>
  <si>
    <t>Chamado criado pela área externa do Portal 
 Nome do Contato: CLAUDIA FERRARI MULLER 
 Usuário: CLAUDIABLACK 
 Telefone: 1141344001 
 E-mail: claudia.muller@blackbox.com 
 CNPJ: 00017332000289 
 Razão Social BLACK BOX INDÚSTRIA E COMÉRCIO LTDA 
 Toda vez aparece que a senha está errada, posso sair agora, trocar a senha e vai continuar aparecendo que está errada na próxima tentativa de login.</t>
  </si>
  <si>
    <t>CLAUDIABOX</t>
  </si>
  <si>
    <t>00017332000189 - BLACK BOX DO BRASIL IND E COM LTDA</t>
  </si>
  <si>
    <t>INC54974465</t>
  </si>
  <si>
    <t>Cadastro para participar de leilões e licitação.</t>
  </si>
  <si>
    <t>Chamado criado pela área externa do Portal 
 Nome do Contato: Mateus Araújo dos Reis 
 Usuário: MATEUS 
 Telefone: 31995616556 
 E-mail: irmaosterraplanagem2@gmail.com 
 CNPJ: 31142231000163 
 Razão Social IRMÃOS TERRAPLENAGEM 
 Tenho interesse em fazer um  cadastro para , demonstrar meu trabalho em uma possível licitação, e também, quem saiba estar participando de um leilão</t>
  </si>
  <si>
    <t>MATEUS ARAUJO DOS REIS</t>
  </si>
  <si>
    <t>MATEUSARAUJO</t>
  </si>
  <si>
    <t>irmaosterraplanagem2@gmail.com</t>
  </si>
  <si>
    <t xml:space="preserve">31142231000163 - IRMAOS TERRAPLENAGEM LTDA </t>
  </si>
  <si>
    <t>INC54966800</t>
  </si>
  <si>
    <t>Solicitação de Contato telefônico com analista do critério econômICO</t>
  </si>
  <si>
    <t>Oportunidade 7004488812 
 Chamado criado pelo área interna do Portal 
 Nome do Contato: MARESTELA LOSS 
 Usuário: THAIS12 
 Telefone: 27 99989-1976 
 E-mail: comercial@gruposei.com.br 
 CNPJ: 10392232000196 
 Razão Social SEI VIGILANCIA E SEGURANCA LTDA 
 Prezados, boa noite. 
Solicitamos novo contato telefônico do analista do critério econômico, pois na primeira tentativa, foi informado que a representante legal não estava na empresa, para não haver desencontros, segue o nº de celular da Sr. Marestela Loss. 
Tel.Cel.27 99989-1976
Atenciosamente.
E-mail recebido:
De: Cadastro Petrobras &lt;cadastropetrobras@petronect.com.br&gt; 
Enviada em: terça-feira, 23 de dezembro de 2025 16:26
Para: withheld recipients
Assunto: Contato telefônico com analista do critério econôm
SEI VIGILANCIA E SEGURANCA LTDA - 10.392.232/0001-96  
Prezado Fornecedor,
Nodia 23/12/2025, às 16:16h fizemos contatocom o fornecedor através do(s) número(s): 27 33287228, Sra. MARESTELA LOSS
COM SUCESSO, porém ela não estava na empresa. 
Informamos que após as festividades de Natal, em caso de dúvida, entre emcontato com a equipe do Cadastro Petrobras por meio de um dos nossos Canais deAtendimento
-------------------
Informamos que o Critério Econômico teve sua avaliação concluída em 17.12.2025. Solicitamos o término da análise para enviar uma nova solicitação, caso necessite de reabertura do Critério pelos nossos canais de atendimento.
Informamos que para visualizar o resultado da avaliação do critério, a empresa deverá acessar o seguinte caminho:
• www.petronect.com.br
• Informar Usuário ou CPF e Senha de acesso
• Clicar na aba Cadastro na Petrobras
• Resultados da Avaliação/Notas
• Selecionar o tipo de registro de interesse
• Clicar em “ok”                                   
Para os casos em que a empresa for reprovada:
• Clicar na nota reprovada, destacada na cor rosa
• Clicar no bloco da coluna “Comentário” para visualizar o comentário disponível</t>
  </si>
  <si>
    <t xml:space="preserve">8001439103 </t>
  </si>
  <si>
    <t>INC54966007</t>
  </si>
  <si>
    <t xml:space="preserve">Atribuição de Funções </t>
  </si>
  <si>
    <t>Nome do Contato: JOSENILDA SOARES BEZERRA
Usuário: USR0071080
Telefone: 84 3204-5093 
E-mail: josenilda.soares@ale.com.br 
CNPJ / Razão Social: 23314594003045
Fornecedor solicita atribuição das funções, pois não esta com a disponibilidade para realizar atualização de cadastro. 
Empresa com Status: visitante</t>
  </si>
  <si>
    <t>23314594004440 - ALESAT COMBUSTIVEIS S.A.</t>
  </si>
  <si>
    <t>INC54965446</t>
  </si>
  <si>
    <t>Solicitação de Desbloqueio - 05197214000113</t>
  </si>
  <si>
    <t>Prezados, boa Tarde!
Recebi um e-mail da empresa USIMAX USINAGEM USINAGEM , CNPJ: 05197214000113 , solicitando criação de usuário administrador, porém ao buscar aparece a informação que a empresa está com status "Bloqueado".
Peço apoio da Equipe!</t>
  </si>
  <si>
    <t>INC54965293</t>
  </si>
  <si>
    <t>Nome do Contato: VICTOR LUIS CONCEICAO BRANDAO
Usuário: VICTORLUIS
E-mail: comercialvtaa@gmail.com 
Telefone: 41992551644
CNPJ/Razão Social: 20260723000137 - VTA TECNOLOGIA ACESSIVEL LTDA - ME
Fornecedor solicita desbloqueio do usuário VICTORLUIS</t>
  </si>
  <si>
    <t>Victor Brandao</t>
  </si>
  <si>
    <t>comercialvtaa@gmail.com</t>
  </si>
  <si>
    <t>20260723000137 - VTA TECNOLOGIA ACESSIVEL LTDA - ME</t>
  </si>
  <si>
    <t>INC54965165</t>
  </si>
  <si>
    <t>Pagamento boleto.</t>
  </si>
  <si>
    <t xml:space="preserve">Nome do Contato: RAFAEL PIRES DE OLIVEIRA
 Usuário: RAFAPIRESR3S
 Telefone: 199974-4444
 E-mail: rafael@r3s.com.br
 CNPJ: 41317023000101 /R3S SEGURANCA E COMERCIO LTDA. 
Prezados, favor verificar a solicitação do fornecedor, conforme manifestação 8001438483. 
Boa tarde, 
Após pagamento conforme anexo, peço por gentileza o desbloqueio para acesso as oportunidades.
Obrigada  </t>
  </si>
  <si>
    <t>8001438483</t>
  </si>
  <si>
    <t>Incidentes//Cadastro na Petrobras//Suporte//Sócio Fornecedor//Acesso às  Oportunidades Públicas</t>
  </si>
  <si>
    <t>RAFAEL PIRES DE OLIVEIRA</t>
  </si>
  <si>
    <t>RAFAPIRESR3S</t>
  </si>
  <si>
    <t>rafael@r3s.com.br</t>
  </si>
  <si>
    <t xml:space="preserve">41317023000101 /R3S SEGURANCA E COMERCIO LTDA. </t>
  </si>
  <si>
    <t>INC54965137</t>
  </si>
  <si>
    <t>Nome do Contato: Yolanda Christine Lourenço Sousa Ribeiro
Usuário: FFCONTROLE
E-mail: licitacao@seccol.com.br 
Telefone: 62986227852
CNPJ/Razão Social: 11105408000144 - F.F. CONTROLE E CERTIFICAÇÃO LTDA
Fornecedora solicita desbloqueio do usuário FFCONTROLE</t>
  </si>
  <si>
    <t>Fabiano Candido</t>
  </si>
  <si>
    <t>licitacao@seccol.com.br</t>
  </si>
  <si>
    <t>11105408000144 - F.F. CONTROLE E CERTIFICAÇÃO LTDA</t>
  </si>
  <si>
    <t>INC54965067</t>
  </si>
  <si>
    <t>cnpj : 24524503000124
empresa : VALTEC INSTALAÇÃO INDUSTRIAL LTDA ME
nome : VAGNER SACOMAN DE OLIVEIRA
e-mail : vsoliveira@valtecinstalacao.com.br
telefone : 1145491614
usuario : VALTEC-2017
expirado desde : 16.09.2023
INC54965067</t>
  </si>
  <si>
    <t>Vagner Sacoman Oliveira</t>
  </si>
  <si>
    <t>vsoliveira@valtecinstalacao.com.br</t>
  </si>
  <si>
    <t>24524503000124 - VALTEC INSTALAÇÃO INDUSTRIAL LTDA ME</t>
  </si>
  <si>
    <t>INC54964463</t>
  </si>
  <si>
    <t>Nome do Contato: Jair Lopes de Faria Junior
Usuário: INMOTION
E-mail: contato@inmotion.eng.br 
Telefone: 16997100941
CNPJ/Razão Social: 20192445000128 - INMOTION AUTOMACAO INDUSTRIAL EIRELI
Fornecedor solicita desbloqueio do usuário INMOTION</t>
  </si>
  <si>
    <t>LORENA CRUZ DELAZARO</t>
  </si>
  <si>
    <t>contato@inmotion.eng.br</t>
  </si>
  <si>
    <t>20192445000128 - INMOTION AUTOMACAO INDUSTRIAL EIRELI</t>
  </si>
  <si>
    <t>INC54964423</t>
  </si>
  <si>
    <t>menu identificação da empresa</t>
  </si>
  <si>
    <t>Chamado criado pelo área interna do Portal 
 Nome do Contato: HUGO HOLT CASTRO 
 Usuário: HUGOHOLT 
 Telefone: 21974792592 
 E-mail: borrachariarental@gmail.com 
 CNPJ: 45427279000122 
 Razão Social  
 não aparece o menu identificação da empresa após o login. preciso cadastrar os dados e validar CNPJ</t>
  </si>
  <si>
    <t>HUGO HOLT CASTRO</t>
  </si>
  <si>
    <t>HUGOHOLT</t>
  </si>
  <si>
    <t>borrachariarental@gmail.com</t>
  </si>
  <si>
    <t>INC54964419</t>
  </si>
  <si>
    <t>CHAT BOT - INC54964419 +5519996752457
Nome do Contato: Marcos Bardialle
CNPJ/Razão Social: 19978017000146
CPF: 02504652801
Telefone: 19974060139
E-mail: marcos@palazzomoveis.com.br
Usuário: PALAZZO
Oportunidade: 
------
PALAZZO
MARCOS BARDIALLE
19974060139 marcos@palazzomoveis.com.br 16.09.2023    Bloqueado</t>
  </si>
  <si>
    <t>'+5519996752457</t>
  </si>
  <si>
    <t>MARCOS BARDIALLE</t>
  </si>
  <si>
    <t>PALAZZO</t>
  </si>
  <si>
    <t>marcos@palazzomoveis.com.br</t>
  </si>
  <si>
    <t>19978017000146 - R. S. DA CUNHA E CIA LTDA  EPP</t>
  </si>
  <si>
    <t>INC54964236</t>
  </si>
  <si>
    <t>CHAT BOT - INC54964236 +5511986351599
Nome do Contato: Beatriz Moreira
CNPJ/Razão Social: 44690162000174
CPF: 24548310827
Telefone: 11986351599
E-mail: soltran@soltran.com.br
Usuário: SOLTRAN
Oportunidade: 
------
SOLTRAN
beatriz moreira
11 2813 6222 soltran@soltran.com.br 17.05.2022    Bloqueado</t>
  </si>
  <si>
    <t>'+5511986351599</t>
  </si>
  <si>
    <t>MOISES COSTA FAGUNDES</t>
  </si>
  <si>
    <t>comercial@sousasolutions.com</t>
  </si>
  <si>
    <t>31741284000109/SOUSA SOLUTIONS CONSULTORIA EIRELI</t>
  </si>
  <si>
    <t>FABIANA  BERNARDES DA SILVA OLIVEIRA</t>
  </si>
  <si>
    <t>INC54964099</t>
  </si>
  <si>
    <t>Cadastro de novas famílias</t>
  </si>
  <si>
    <t>Chamado criado pelo área interna do Portal 
 Nome do Contato: JOSE OCTAVIO ROCHA NETO 
 Usuário: MIEBRAZIL 
 Telefone: (21) 3400-6731 
 E-mail: petrobras@mielectric.com.br 
 CNPJ: 20458968000173 
 Razão Social M&amp;I ELECTRIC BRAZIL SISTEMAS E SERVICOS 
 Prezados, boa tarde, 
Gostaria de tirar uma dúvida, por gentileza. Qual é o procedimento para vincular/cadastrar nosso perfil em novas famílias?</t>
  </si>
  <si>
    <t>JOSE OCTAVIO ROCHA NETO</t>
  </si>
  <si>
    <t>MIEBRAZIL</t>
  </si>
  <si>
    <t>petrobras@mielectric.com.br</t>
  </si>
  <si>
    <t>20458968000173 - M&amp;I ELECTRIC BRAZIL SISTEMAS E SERVICOS</t>
  </si>
  <si>
    <t>INC54963830</t>
  </si>
  <si>
    <t>Chamado:  INC54963830
 Nome do Contato: THIAGO GASPAR RIBEIRO
 Usuário: F.COOPERATIV
 Telefone: (27) 3328-9243
E-mail: diretoria@coopgraneis.com.br
CNPJ / Razão Social: 36337012000153  - COOPGRANEIS - COOPERATIVA DE TRANSPORTES
Fornecedor(a) solicitou auxilio para o desbloqueio de seu usuário que expirou no dia 16/09/2023 e aderi ao perfil de administrador.
F.COOPERATIV
THIAGO GASPAR RIBEIRO
(27) 3328-9243 16.09.2023    Bloqueado Exibir  diretoria@coopgraneis.com.br</t>
  </si>
  <si>
    <t xml:space="preserve">8001438995 </t>
  </si>
  <si>
    <t>THIAGO  GASPAR RIBEIRO</t>
  </si>
  <si>
    <t>F.COOPERATIV</t>
  </si>
  <si>
    <t>diretoria@coopgraneis.com.br</t>
  </si>
  <si>
    <t>36337012000153  - COOPGRANEIS - COOPERATIVA DE TRANSPORTES</t>
  </si>
  <si>
    <t>INC54963786</t>
  </si>
  <si>
    <t>nome do Contato: Ismael
Usuário: SOUSA1808
Telefone:22981774897   
E-mail:comercial@sousasolutions.com
CNPJ / Razão Social:31741284000109 SOUSA SOLUTIONS LTDA
7004534695 Terceirização de DPV Fechado Dispensa Item 19.11.2025 07:14:49 25.11.2025 17:00:00
Fornecedor(a) entrou em contato solicitando auxilio para verificar o pedido da oportunidade 7004534695 ,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t>
  </si>
  <si>
    <t>7004534695</t>
  </si>
  <si>
    <t>INC54963471</t>
  </si>
  <si>
    <t xml:space="preserve">Nome do Contato: RAMON MOLEZ NETO
Usuário: MOLEZNETO
Telefone: 19 99157-1057 
E-mail: ramon@gmnadv.com.br 
CNPJ / Razão Social:  04791188000194
Boa tarde !
Fornecedora solicita o desbloqueio de seu usuário, para atualização de dados.  
Obrigado. </t>
  </si>
  <si>
    <t>Ramon Molez Neto</t>
  </si>
  <si>
    <t>ramon@gmnadv.com.br</t>
  </si>
  <si>
    <t>04791188000194 - GARIBE E MOLEZ NETO ADVOGADOS ASSOCIADOS</t>
  </si>
  <si>
    <t>INC54963451</t>
  </si>
  <si>
    <t>Chamado: INC54963451
 Nome do Contato: PAULO ULISSES MAIA DANTAS
 Usuário: PD.MOVI
 Telefone: 11  37223691
E-mail: paulodantas@movieart.com.br
CNPJ / Razão Social: 46397220000100  -  MOVI &amp; ART PRODUCOES CINEMATOGRAFICAS LT
Fornecedor(a) solicitou auxilio para o desbloqueio de seu usuário que expirou no dia 16/09/2023 e aderi ao perfil de administrador.
PD.MOVI
PAULO ULISSES MAIA DANTAS
55 11  37223691 16.09.2023    Bloqueado Exibir  paulodantas@movieart.com.br</t>
  </si>
  <si>
    <t>8001438963</t>
  </si>
  <si>
    <t>INC54963395</t>
  </si>
  <si>
    <t xml:space="preserve">CHAT BOT - INC54963395 +5541992553922
Nome do Contato: Tiago Moreno Gonsalves
CNPJ/Razão Social: 02743507000160
CPF: 00761798935
Telefone: 41992553922
E-mail: agnaldo@trieng.com.br
Usuário: TRIE.ADM
Oportunidade: 
------
</t>
  </si>
  <si>
    <t>'+5541992553922</t>
  </si>
  <si>
    <t>AGNALDO SILVA</t>
  </si>
  <si>
    <t>TRIE.ADM</t>
  </si>
  <si>
    <t>agnaldo@trieng.com.br</t>
  </si>
  <si>
    <t>02743507000160 - TRIENG TECNICA INDUSTRIAL LTDA</t>
  </si>
  <si>
    <t>INC54963374</t>
  </si>
  <si>
    <t>Chamado:  INC54963374
 Nome do Contato: ADMIR TEIXEIRA ALEXANDRE
 Usuário: ADMIR_A
 Telefone: -
E-mail: admir.alexandre@emerson.com
CNPJ / Razão Social: 43213776000100  - EMERSON PROCESS MANAGEMENT LTDA
Fornecedor(a) solicita auxilio para o desbloqueio de seu usuário que expirou no dia 14/12/2025.
ADMIR_A
ADMIR TEIXEIRA ALEXANDRE
  14.12.2025    Desbloqueado Exibir  admir.alexandre@emerson.com</t>
  </si>
  <si>
    <t>8001438983</t>
  </si>
  <si>
    <t>ADMIR  TEIXEIRA ALEXANDRE</t>
  </si>
  <si>
    <t>ADMIR_A</t>
  </si>
  <si>
    <t>admir.alexandre@emerson.com</t>
  </si>
  <si>
    <t>INC54962892</t>
  </si>
  <si>
    <t xml:space="preserve">CHAT BOT - INC54962892 +5581981050660
Nome do Contato: Paulo de Tarso Naline Bittencourt
CNPJ/Razão Social: 47414447000170
CPF: 953.312.048-72
Telefone: 81981050660
E-mail: naline.cne@hotmail.com
Usuário: VIAMAR.ECO
Oportunidade: 
------
</t>
  </si>
  <si>
    <t>'+5581981050660</t>
  </si>
  <si>
    <t>PAULO DE TARSO NALINE BITTENCOURT</t>
  </si>
  <si>
    <t>VIAMAR.ECO</t>
  </si>
  <si>
    <t>paulo.naline@viamar.eco.br</t>
  </si>
  <si>
    <t>47414447000170 - VIAMAR SOLAR LTDA</t>
  </si>
  <si>
    <t>ALEXANDER MARQUES RIVAS</t>
  </si>
  <si>
    <t>comercial@contax.com.br</t>
  </si>
  <si>
    <t>67313221000190 - LIQ CORP S.A.</t>
  </si>
  <si>
    <t>INC54962669</t>
  </si>
  <si>
    <t>Cancelamento de Assinatura no Portal</t>
  </si>
  <si>
    <t>Chamado criado pelo área interna do Portal 
 Nome do Contato: FABIO JOSE MARQUES MOURTHE 
 Usuário: USR0068326 
 Telefone: 19 3634-3609 19 9 92718701 
 E-mail: fabio.marques@gruposoufer.com.br 
 CNPJ: 45987062000177 
 Razão Social SOUFER INDUSTRIAL LTDA. 
 Prezados,
Solicitamos por meio deste chamado o cancelamento como fornecedores na Petronect.
Podem nos auxiliar se é feito por meio deste chamado ou se precisamos entrar em contato por outro canal? 
Agradecemos e ficamos no aguardo,</t>
  </si>
  <si>
    <t>FABIO JOSE  MARQUES MOURTHE</t>
  </si>
  <si>
    <t>fabio.marques@gruposoufer.com.br</t>
  </si>
  <si>
    <t>45987062000177 - SOUFER INDUSTRIAL LTDA.</t>
  </si>
  <si>
    <t>INC54962375</t>
  </si>
  <si>
    <t xml:space="preserve">CHAT BOT - INC54962375 +5511992229409
Nome do Contato: Ester Alves da Silva
CNPJ/Razão Social: 12598197000191
CPF: 49487878840
Telefone: 11992229409
E-mail: ester.silva@gep.com
Usuário: GEPME2019
Oportunidade: 
------
</t>
  </si>
  <si>
    <t>'+5511992229409 / 8001438980</t>
  </si>
  <si>
    <t>Glauco Silva</t>
  </si>
  <si>
    <t>glauco.silva@gep.com</t>
  </si>
  <si>
    <t>INC54962364</t>
  </si>
  <si>
    <t>OPORTUNIDADES DE TUBOS DE AÇO</t>
  </si>
  <si>
    <t>Chamado criado pelo área interna do Portal 
 Nome do Contato: RENAN VIZIBELLI MAZUCO 
 Usuário: WC.FERRARIA 
 Telefone: 11 94778 9819 
 E-mail: renan@tubosabc.com.br 
 CNPJ: 05755311000184 
 Razão Social TUBOS ABC COMERCIO DE TUBOS EIRELI 
 Prezados, Feliz Ano Novo!
Boa tarde!
Gostaria de verificar se há alguma previsão para a regularização das oportunidades referentes às famílias de bens de tubos, que teriam sido restabelecidas após a diligência, bem como se existe alguma atualização junto aos fabricantes no nosso CRC Petrobras?
Famílias de produtos:
98011306 - tubo sc API 5CT
98011305 - tubo cc API 5CT
98009997 - tubo API 5L com e sem costura
98010185 - tubo de condução não api
98010234 - tubo estrutural em aço 
98010022 - tubo de condução em aço liga
Pois atualmente não constam oportunidades de tubos, e tampouco identificamos no nosso CRC no Petronect.
Ficamos no aguardo de um posicionamento ou de eventuais orientações adicionais.
Desde já, agradeço a atenção.</t>
  </si>
  <si>
    <t>Renan Mazuco</t>
  </si>
  <si>
    <t>renan@tubosabc.com.br</t>
  </si>
  <si>
    <t>05755311000184 - TUBOS ABC COMERCIO DE PRODUTOS</t>
  </si>
  <si>
    <t>CARLOS JORGE  SILVEIRA PRADO</t>
  </si>
  <si>
    <t>comercial@grupoasserth.com.br</t>
  </si>
  <si>
    <t>10711925000102 QUATRO C GESTAO DE RECEBIVEIS E CONSULTO</t>
  </si>
  <si>
    <t>INC54962075</t>
  </si>
  <si>
    <t xml:space="preserve">CHAT BOT - INC54962075 +5519998220408
Nome do Contato: Paulo Mousinho Da Silva Filho
CNPJ/Razão Social: 58393487000108
CPF: 37338133832
Telefone: 19998220408
E-mail: paulo.mousinho@outlook.com
Usuário: PAULOMOUSI48
Oportunidade: 
------
</t>
  </si>
  <si>
    <t>'+5519998220408</t>
  </si>
  <si>
    <t>PAULO MOUSINHO DA SILVA FILHO</t>
  </si>
  <si>
    <t>PAULOMOUSI48</t>
  </si>
  <si>
    <t>paulo.mousinho@outlook.com</t>
  </si>
  <si>
    <t>58393487000108 - PAULO MOUSINHO DA SILVA FILHO</t>
  </si>
  <si>
    <t>RENATO ESTEBAN DA SILVA CARRASCO</t>
  </si>
  <si>
    <t>concentrica.projeto@gmail.com</t>
  </si>
  <si>
    <t>19147579000148 -  CONCENTRICA PROJETOS INTEGRADOS LTDA</t>
  </si>
  <si>
    <t>INC54961933</t>
  </si>
  <si>
    <t xml:space="preserve">CHAT BOT - INC54961933 +5531991905825
Nome do Contato: MARCELO INÁCIO FERREIRA JÚNIOR
CNPJ/Razão Social: 36127445000184
CPF: 15711568604
Telefone: 31991905825
E-mail: jairo.souza@tecfluid-eng.com.br
Usuário: TECFLUID
Oportunidade: 
------
</t>
  </si>
  <si>
    <t>'+5531991905825</t>
  </si>
  <si>
    <t>JAIRO  FERNANDES DE SOUZA</t>
  </si>
  <si>
    <t>TECFLUID</t>
  </si>
  <si>
    <t>jairo.souza@tecfluid-eng.com.br</t>
  </si>
  <si>
    <t>36127445000184 - TECFLUID IND. COM. E SERVICOS TECNICOS L</t>
  </si>
  <si>
    <t>INC54961371</t>
  </si>
  <si>
    <t xml:space="preserve">CHAT BOT - INC54961371 +5511992523010
Nome do Contato: Rodrigo Gomes Silva
CNPJ/Razão Social: 67313221000190
CPF: 45238267819
Telefone: 11992523010
E-mail: comercial@contax.com.br
Usuário: USR0062594
Oportunidade: 
------
</t>
  </si>
  <si>
    <t>'+5511992523010 / 8001438807</t>
  </si>
  <si>
    <t>INC54960973</t>
  </si>
  <si>
    <t>Solicitação de abertura do Questionário do Critério Econômico 2025</t>
  </si>
  <si>
    <t>Chamado criado pelo área interna do Portal 
 Nome do Contato: RENATO ESTEBAN DA SILVA CARRASCO 
 Usuário: ESTEBAN001 
 Telefone: 62999850073 
 E-mail: concentrica.adm@gmail.com 
 CNPJ: 19147579000148 
 Razão Social CONCENTRICA PROJETOS INTEGRADOS LTDA 
 Solicitamos a abertura do Questionário do Critério Econômico 2025
para envio das Demonstrações Financeiras do exercício de 2024,
visando manutenção da habilitação cadastral para participação
em processos licitatórios.
No momento, não há questionários em aberto para nosso CNPJ.</t>
  </si>
  <si>
    <t xml:space="preserve">8001439013 </t>
  </si>
  <si>
    <t>INC54960565</t>
  </si>
  <si>
    <t>Nome do Contato: Tiago Moreno Gonsalves
Usuário: TRIE.ADM
E-mail: agnaldo@trieng.com.br / tiago@trieng.com.br
Telefone: 41992553922
CNPJ/Razão Social: 02743507000160 - TRIENG TECNICA INDUSTRIAL LTDA
Fornecedor solicita desbloqueio do usuário TRIE.ADM</t>
  </si>
  <si>
    <t>INC54960244</t>
  </si>
  <si>
    <t>Atualização decadastro</t>
  </si>
  <si>
    <t>Chamado criado pelo área interna do Portal 
 Nome do Contato: FLAVIO AIRES DE MORAES SILVA 
 Usuário: VELPEVND1 
 Telefone: 022 - 981122177 
 E-mail: comercial@velpetro.com.br 
 CNPJ: 14148580000173 
 Razão Social VELPETRO LIFTING SOLUTIONS LTDA 
 Prezado bom dia,
Nossa empresa passou por uma reestruturação interna, tendo o quadro societário alterado. Sendo assim solicitamos no dia 12/12/25 a atualização do quadro socientário com a retirada de um dos sócios, este que aparece o nome quando do login no sistema (Flavio Aires de Moraes Silva).
Pedimos a gentileza da atualização, para que tenhamos somente o nome do unico socio da empresa, Luiz Melo de Oliveira Junior.
Agradecemos a atenção.</t>
  </si>
  <si>
    <t>FLAVIO  AIRES DE MORAES SILVA</t>
  </si>
  <si>
    <t>VELPEVND1</t>
  </si>
  <si>
    <t>comercial@velpetro.com.br</t>
  </si>
  <si>
    <t>14148580000173-VELPETRO LIFTING SOLUTIONS LTDA</t>
  </si>
  <si>
    <t>INC54959989</t>
  </si>
  <si>
    <t>Usuário</t>
  </si>
  <si>
    <t xml:space="preserve">Nome do Contato: ELIANE OLIVEIRA DOS SANTOS
Usuário: ELIANEOSANTO
Telefone: 12 99150-2198 
E-mail: eliane.odossantos@gevernova.com 
CNPJ / Razão Social:05356949000142
Fornecedor entrou em contato informando ter feito uma carta modelo para criação de um usuário novo para o CNPJ 05356949000142, mas foi verificador no sistema que o CPF do fornecedor esta vinculado a dois usuários, por conta disso o fornecedor não consegue da continuidade, peço que mantenha somente esse usuário ELIANEOSANTO vinculado ao CPF.
</t>
  </si>
  <si>
    <t>ELIANE  OLIVEIRA DOS SANTOS</t>
  </si>
  <si>
    <t>ELIANEOSANTO</t>
  </si>
  <si>
    <t>eliane.odossantos@gevernova.com</t>
  </si>
  <si>
    <t>05356949000142 - GRID SOLUTIONS TRANSMISSAO DE ENERGIA LT</t>
  </si>
  <si>
    <t>INC54959733</t>
  </si>
  <si>
    <t>Registro de Usuario</t>
  </si>
  <si>
    <t>Chamado criado pelo área interna do Portal 
 Nome do Contato: JOSIVAL CARDOSO 
 Usuário: ADM.SEMANT 
 Telefone: 071993650392 
 E-mail: josemar@semantmanutencao.com.br 
 CNPJ: 10319181000177 
 Razão Social SEMANT SERVIÇOS E MANUTENÇÃO EM EQUIPAME 
 Bom dia, Prezado(as)!
Por gentileza, preciso de uma orientação por telefone, não estou conseguindo fazer autualização no cadastro da empresa.
CNJP:10319181000177</t>
  </si>
  <si>
    <t>JOSIVAL  CARDOSO</t>
  </si>
  <si>
    <t>ADM.SEMANT</t>
  </si>
  <si>
    <t>semant-manutencao@bol.com.br</t>
  </si>
  <si>
    <t>10319181000177 - SEMANT SERVIÇOS E MANUTENÇÃO EM EQUIPAME</t>
  </si>
  <si>
    <t>INC54959613</t>
  </si>
  <si>
    <t>Nome do Contato: Manoel Antonio Barboza Nogueira
Usuário: MANOELSAGA
E-mail: comercial@sagaconstrutora.eng.br 
Telefone: 21969170159
CNPJ/Razão Social: 10948807000104 SAGA CONSTRUTORA LTDA
Fornecedor solicita desbloqueio do usuário MANOELSAGA</t>
  </si>
  <si>
    <t>MANOEL ANTONIO  BARBOZA NOGUEIRA</t>
  </si>
  <si>
    <t>MANOELSAGA</t>
  </si>
  <si>
    <t>comercial@sagaconstrutora.eng.br</t>
  </si>
  <si>
    <t>10948807000104 SAGA CONSTRUTORA LTDA</t>
  </si>
  <si>
    <t>INC54959574</t>
  </si>
  <si>
    <t>Nome do Contato: Carlos Jorge Silveira Prado
Usuário: ASSERTH2023
E-mail: comercial@grupoasserth.com.br 
Telefone: 11984173132
CNPJ/Razão Social: 10711925000102 QUATRO C GESTAO DE RECEBIVEIS E CONSULTO
Fornecedor solicita desbloqueio do usuário ASSERTH2023</t>
  </si>
  <si>
    <t>'+5581999798742</t>
  </si>
  <si>
    <t>INC54959438</t>
  </si>
  <si>
    <t>Urgente - Desbloqueio de Acesso</t>
  </si>
  <si>
    <t>Chamado criado pelo área interna do Portal 
 Nome do Contato: JESSIKA SOUZA FIDELIS DA SILVA 
 Usuário: TPSDISTRIB3 
 Telefone: 2137348862 
 E-mail: info@tpsdistribuidora.com.br 
 CNPJ: 27807613000191 
 Razão Social TPS SOLUCOES EM PRODUTOS CIENTIFICOS SER 
 Prezados senhores, bom dia!
Gostaríamos gentilmente de solicitar mais uma vez a revisão do bloqueio do acesso ao portal.
Verificamos em consultas aos sistemas e cadastros quaisquer registros de penalidades vigentes ou de procedimentos acusatórios em andamento relativos ao nosso CNPJ e/ou aos sócios da empresa, e não constam registros e/ou restrições que impeçam a empresa de participar de licitações ou de celebrar contratos com a Petrobrás. Por este motivo, não há mais nenhum impeditivo para manter a conta bloqueada.
Estamos à disposição para quaisquer novos esclarecimentos e certos de sua compreensão para que esse assunto possa ser sanado o mais brevemente possível.
Cordialmente,
TPS Soluções.</t>
  </si>
  <si>
    <t xml:space="preserve">8001438909 </t>
  </si>
  <si>
    <t>JOAO BATISTA RIBEIRO</t>
  </si>
  <si>
    <t>JOAOBRIBE</t>
  </si>
  <si>
    <t>suelmari@ig.com.br</t>
  </si>
  <si>
    <t>22580716000148 - AGILIZA GERENCIAMENTO DE RESIDUOS SOLIDOS</t>
  </si>
  <si>
    <t>INC54958932</t>
  </si>
  <si>
    <t xml:space="preserve">CHAT BOT - INC54958932 +5511987644088
Nome do Contato: Kele Fabiana Dantas
CNPJ/Razão Social: 62637495000111
CPF: 05650059446
Telefone: 11971786961
E-mail: conexteelvendas@gmail.com
Usuário: CONEXTEEL
Oportunidade: 
------
</t>
  </si>
  <si>
    <t>'+5511987644088</t>
  </si>
  <si>
    <t>KELE FABIANA DANTAS</t>
  </si>
  <si>
    <t>CONEXTEEL</t>
  </si>
  <si>
    <t>conexteelvendas@gmail.com</t>
  </si>
  <si>
    <t>62637495000111 - CONEXTEEL COMÉRCIO DE CONEXÕES</t>
  </si>
  <si>
    <t>INC54958872</t>
  </si>
  <si>
    <t>Usuário atualmente inválido.</t>
  </si>
  <si>
    <t>Chamado criado pela área externa do Portal 
 Nome do Contato: DANIEL ORTIZ 
 Usuário: ORTIZBR 
 Telefone: 21980028093 
 E-mail: daniel.ortiz@ortizengenharia.eng.br 
 CNPJ: 43826135000113 
 Razão Social ORTIZ ENGENHARIA LTDA 
 Prezados ao acessar o portal com login e senha, retorna uma mensagem "usuário atualmente inválido"
Poderia fornecer informações para regularização.
Desde já agradeço</t>
  </si>
  <si>
    <t>Daniel Ortiz</t>
  </si>
  <si>
    <t>ORTIZBR</t>
  </si>
  <si>
    <t>daniel.ortiz@ortizengenharia.eng.br</t>
  </si>
  <si>
    <t xml:space="preserve">43826135000113 - </t>
  </si>
  <si>
    <t>INC54958866</t>
  </si>
  <si>
    <t>Inclusão de Famíla</t>
  </si>
  <si>
    <t>Chamado criado pelo área interna do Portal 
 Nome do Contato: LUCIANA BERNARDO COLARES SILVA 
 Usuário: LUBER175701 
 Telefone: 21966189973 
 E-mail: comercial@nutrimedalimentacao.com.br 
 CNPJ: 02754941000146 
 Razão Social NUTRIMED ALIMENTAÇÃO INDUSTRIAL LTDA 
 Solicito orientações para inclusão de família</t>
  </si>
  <si>
    <t>comercial@nutrimedalimentacao.com.br</t>
  </si>
  <si>
    <t>02754941000146 - NUTRIMED ALIMENTAÇÃO INDUSTRIAL LTDA</t>
  </si>
  <si>
    <t>INC54958807</t>
  </si>
  <si>
    <t>Nome do Contato: Eleve11 Inteligencia em Compras
Usuário: ELEVE11
E-mail: contato@eleve11.com.br 
Telefone: 6232950448
CNPJ/Razão Social: 26259211000137
Fornecedor solicita desbloqueio do usuário ELEVE11</t>
  </si>
  <si>
    <t>INC54958780</t>
  </si>
  <si>
    <t>Nome do Contato: GUILHERME LYRAAZEVEDO
Usuário: MAVIA_2020
Telefone: 21974474728
E-mail: adm.mavia@gmail.com 
CNPJ / Razão Social: 09059975000160
Bom Dia 
Fornecedora solicita o desbloqueio de seu usuário, para atualização de cadastro
Obrigado.</t>
  </si>
  <si>
    <t>GUILHERME LYRAAZEVEDO</t>
  </si>
  <si>
    <t>adm.mavia@gmail.com</t>
  </si>
  <si>
    <t>09059975000160 - MAVIA COMERCIO DE MATERIAIS RECICLÁVEIS</t>
  </si>
  <si>
    <t>INC54958731</t>
  </si>
  <si>
    <t>Nome do Contato: JOSE CARLOSLYRA
Usuário: MARA_2020
Telefone: 2126640696
E-mail: compras.marajoara@gmail.com 
CNPJ / Razão Social: 16903745000109
Bom Dia 
Fornecedora solicita o desbloqueio de seu usuário, para atualização de cadastro
Obrigado.</t>
  </si>
  <si>
    <t>JOSE CARLOSLYRA</t>
  </si>
  <si>
    <t>compras.marajoara@gmail.com</t>
  </si>
  <si>
    <t>16903745000109 - MARAJOARA ARTEFATOS DE AÇOS LTDA</t>
  </si>
  <si>
    <t>INC54958697</t>
  </si>
  <si>
    <t>não recebimento de notificação de entrada no portal</t>
  </si>
  <si>
    <t>Chamado criado pela área externa do Portal 
 Nome do Contato: THIAGO TASSIS 
 Usuário: TVTASSIS 
 Telefone: 27998969888 
 E-mail: thiagotassis@hotmail.com 
 CNPJ: 26683988000124 
 Razão Social T.V.TASSIS FISIOTERAPIA LTDA 
 Não estou recebendo o e-mail de confirmação de 6 digitos para a segurança do site, já fiz o teste no meu e-mail e está normal, recebendo de outros usuarios os e-mails</t>
  </si>
  <si>
    <t>INC54958680</t>
  </si>
  <si>
    <t xml:space="preserve">CHAT BOT - INC54958680 +5561981997229
Nome do Contato: Danielle Amarilha Sousa
CNPJ/Razão Social: 50113551000130
CPF: 725.529.801-04
Telefone: 61981997229
E-mail: danielle.jus@hotmail.com
Usuário: DAMARILHA81
Oportunidade: 
------
</t>
  </si>
  <si>
    <t>'+5561981997229</t>
  </si>
  <si>
    <t>DANIELLE AMARILHA SOUSA</t>
  </si>
  <si>
    <t>DAMARILHA81</t>
  </si>
  <si>
    <t>danielle.jus@hotmail.com</t>
  </si>
  <si>
    <t>50113551000130 - EDGE DO BRASIL LTDA</t>
  </si>
  <si>
    <t>INC54958552</t>
  </si>
  <si>
    <t>Nome do Contato: Kometro
Usuário: BFMETROLOGIA
E-mail: comercial@kometro.com.br 
Telefone: 24988095115
CNPJ/Razão Social: 43582665000163 B&amp;F LABORATÓRIO DE METROLOGIA LTDA
Fornecedor solicita desbloqueio do usuário BFMETROLOGIA</t>
  </si>
  <si>
    <t>FELIPE  KOVAGS PINTO</t>
  </si>
  <si>
    <t>BFMETROLOGIA</t>
  </si>
  <si>
    <t>comercial@kometro.com.br</t>
  </si>
  <si>
    <t>43582665000163 B&amp;F LABORATÓRIO DE METROLOGIA LTDA</t>
  </si>
  <si>
    <t>INC54958437</t>
  </si>
  <si>
    <t>CHAT BOT - INC54958437 +5511984738130
Nome do Contato: Graziella Moreira
CNPJ/Razão Social: 68112283000105 / 91360300733935751T
CPF: 30609724860
Telefone: 11989250301
E-mail: graziella.moreira@neotrade.ind.br
Usuário: XINTAOCHINA
Oportunidade: 
------
XINTAOCHINA
Graziella Moreira
1198925-0301 graziella.moreira@neotrade.ind.br 16.09.2023    Bloqueado
Prezados(a), fornecedor(a) solicita desbloqueio, atualização de validade e atribuições de perfis de seu usuário: XINTAOCHINA</t>
  </si>
  <si>
    <t>'+5511984738130</t>
  </si>
  <si>
    <t>Graziella Moreira</t>
  </si>
  <si>
    <t>XINTAOCHINA</t>
  </si>
  <si>
    <t>graziella.moreira@neotrade.ind.br</t>
  </si>
  <si>
    <t>91360300733935751T - JIANGXI XINTAO TECHNOLOGY CO.,LTD.</t>
  </si>
  <si>
    <t>INC54958370</t>
  </si>
  <si>
    <t>INC54958356</t>
  </si>
  <si>
    <t>nome do Contato: Kevedo 
Usuário:ANITA0611
Telefone:(11)981653754 
E-mail: maq1395@gmail.com
CNPJ / Razão Social:38353091000111 MAQFLEX  SOLUÇOES EM TUBOS E ELETRODUTOS FLEXIVEIS LTDA
Informamos que o ARIBA - SAP Business Network (Ariba Network) é uma nova ferramenta da Petrobras.
Para maiores informações acesse o https://support.ariba.com
–Web: Seção de atendimento  ao fornecedor no
– Telefone: +55 21 38767070
Canal Fornecedor (https://canalfornecedor.petrobras.com.br)</t>
  </si>
  <si>
    <t>MARCO ANTONIO QUEVEDO</t>
  </si>
  <si>
    <t>maq1395@gmail.com</t>
  </si>
  <si>
    <t>38353091000111 / MAQFLEX  SOLUÇOES EM TUBOS E ELETRODUTOS</t>
  </si>
  <si>
    <t>INC54958272</t>
  </si>
  <si>
    <t>CHAT BOT - INC54958272 +5579999047230
Nome do Contato: Sebastiao Garcez de Castro Doria
CNPJ/Razão Social: 15055650000101
CPF: 171.143.815-49
Telefone: 79999265232
E-mail: metalferro@infonet.com.br
Usuário: GARCEZ
Oportunidade: 31684
------
Tubos diversos – Valorec 31684 DLOG-PGEA Publicado Modo Disp Aberta DIR 07.01.2026 14:00:00 31.12.9999 00:00:00
GARCEZ
SEBASTIAO GARCEZ DE CASTRO DORIA
(079) 3241-1944 metalferro@infonet.com.br 28.12.2025    Desbloq. (Senha Expirada)
Prezados(a), fornecedor(a) solicita desbloqueio, atualização de validade e atribuições de perfis de seu usuário: GARCEZ</t>
  </si>
  <si>
    <t>'+5579999047230 / 31684</t>
  </si>
  <si>
    <t>SEBASTIAO GARCEZ DE CASTRO DORIA</t>
  </si>
  <si>
    <t>GARCEZ</t>
  </si>
  <si>
    <t>metalferro@infonet.com.br</t>
  </si>
  <si>
    <t>15055650000101 - METAL FERRO LTDA</t>
  </si>
  <si>
    <t>INC54958235</t>
  </si>
  <si>
    <t xml:space="preserve">Nome de contato: VALDOMIRO ALVES RAMALHO
Usuário: USR0067050
Telefone: 11 94460-6199   
E-mail: valdomiro.ramalho@turotest.com.br  
CNPJ/Razão social: 60769577000194  TUROTEST MEDIDORES LTDA
Fornecedor solicita desbloqueio do usuário e a atribuição do perfil de admnistrador, o mesmo encontra-se expirado.
VALDOMIRO ALVES RAMALHO
11 94460-6199 14.07.2024 Bloqueado  valdomiro.ramalho@turotest.com.br 
USR0067050
</t>
  </si>
  <si>
    <t>VALDOMIRO  ALVES RAMALHO</t>
  </si>
  <si>
    <t>valdomiro.ramalho@turotest.com.br</t>
  </si>
  <si>
    <t>60769577000194 - TUROTEST MEDIDORES LTDA</t>
  </si>
  <si>
    <t>INC54958203</t>
  </si>
  <si>
    <t>Chamado criado pela área externa do Portal 
 Nome do Contato: Pietra Della Torre 
 Usuário:  
 Telefone: 19971434651 
 E-mail: pietra.dellatorre@ynner.com.br 
 CNPJ: 10309285000109 
 Razão Social  
 Tentamos realizar o cadastro diversas vezes, porém toda vez a senha que chega na hora de fazer login consta como errada, mesmo tentando redefinir a senha, não funciona</t>
  </si>
  <si>
    <t>Pietra DellaTorre</t>
  </si>
  <si>
    <t>pietra.dellatorre@ynner.com.br</t>
  </si>
  <si>
    <t xml:space="preserve">10309285000109 - </t>
  </si>
  <si>
    <t>INC54957818</t>
  </si>
  <si>
    <t xml:space="preserve">nome do Contato: Jose -15981405029
Usuário:GRAFIKA   
Telefone:15 3019 7275 
E-mail: vendas@sinallink.com.br
CNPJ / Razão Social:09490366000160 SINAL LINK ACESSIBILIDADE LTDA
Consult. de acessibilidade arquiteton... 7004550381 DRGN-UN-AGN Ativo Dispensa Total 06.01.2026 17:00:00 13.01.2026 12:00:00
Fornecedor(a) entrou em contato solicitando auxilio para acessar o portal mas quando ele põe o código de confirmação a tela a volta para a tela inicial , mesmo após a limpeza de navegador o mesmo looping permanece.
Já tentou fazer pelo celular e por outros navegadores  e não funcionou.
Podem verificar por gentileza 
</t>
  </si>
  <si>
    <t>7004550381</t>
  </si>
  <si>
    <t>MARCOS ROBERTO GUEDES ALENCAR</t>
  </si>
  <si>
    <t>GRAFIKA</t>
  </si>
  <si>
    <t>vendas@sinallink.com.br</t>
  </si>
  <si>
    <t>09490366000160 - A.G.ALENCAR SERVICOS GRAFICOS - ME</t>
  </si>
  <si>
    <t>INC54957609</t>
  </si>
  <si>
    <t>CHAT BOT - Download de arquivos</t>
  </si>
  <si>
    <t xml:space="preserve">CHAT BOT - INC54957609 +5521984380119
Nome do Contato: Alexandre Armiliato
CNPJ/Razão Social: 17970430000139
CPF: 09543263779
Telefone: 21984380092
E-mail: alexandre@ataxtransportes.com.br
Usuário: ALEXANDRE100
Oportunidade: 
------
</t>
  </si>
  <si>
    <t>'+5521984380119</t>
  </si>
  <si>
    <t>Incidentes//Cadastro na Petrobras//Suporte//Registro//Download de arquivos</t>
  </si>
  <si>
    <t>Download de arquivos</t>
  </si>
  <si>
    <t>ALEXANDRE ARMILIATO</t>
  </si>
  <si>
    <t>alexandre@ataxtransportes.com.br</t>
  </si>
  <si>
    <t>17970430000139 - ATAX SERVIÇOS E TRANSPORTES LTDA</t>
  </si>
  <si>
    <t>INC54956793</t>
  </si>
  <si>
    <t>CADASTRO FORNECEDOR</t>
  </si>
  <si>
    <t>Chamado criado pelo área interna do Portal 
 Nome do Contato: JOHNATAN BATISTA DA SILVA 
 Usuário: FIVEAIR 
 Telefone: 21 97872-0655 
 E-mail: contratos@fiveair.com.br 
 CNPJ: 40073525000171 
 Razão Social FIVE AIR CLIMATIZAÇÃO COMERCIO E SERVIÇO 
 Prezados, bom dia!
Gostaria de uma posição dos senhores quanto ao cadastro de minha empresa, visto que até o presente momento permanece em análise.
Aguardo um retorno para darmos andamento aos próximos passos.</t>
  </si>
  <si>
    <t>JOHNATAN BATISTA DA SILVA</t>
  </si>
  <si>
    <t>FIVEAIR</t>
  </si>
  <si>
    <t>atendimento@fiveair.com.br</t>
  </si>
  <si>
    <t>40073525000171 FIVE AIR CLIMATIZAÇÃO COMERCIO E SERVIÇOS LTDA</t>
  </si>
  <si>
    <t>INC54956218</t>
  </si>
  <si>
    <t>Certificado de Registro Cadastral vencimento 27/01/2026</t>
  </si>
  <si>
    <t>Chamado criado pelo área interna do Portal 
 Nome do Contato: RENATA CRISPIM SILVA 
 Usuário: RECRISPIM 
 Telefone: 01146068800 
 E-mail: RENATA@TUBAL.COM.BR 
 CNPJ: 60633211000193 
 Razão Social TUBAL TUBOS ALETADOS LTDA. 
 Prezados, bom dia!
Referente ao CRC que vence no próximo dia 27/01/2026, poderia me informar o procedimento para renovação, se é a atualização do balanço patrimonial/DRE de 2025 ou se todos os questionários têm que ser respondidos novamente? 
Aproveito para solicitar extensão nesse prazo de 27/01/2026, nosso balanço Patrimonial de 2025 não estará pronto nesse tempo, pode ser que fique em 3 meses, o que poderá ser feito em relação a esse vencimento?</t>
  </si>
  <si>
    <t>RENATA  CRISPIM SILVA</t>
  </si>
  <si>
    <t>RECRISPIM</t>
  </si>
  <si>
    <t>renata@tubal.com.br</t>
  </si>
  <si>
    <t>60633211000193 - TUBAL TUBOS ALETADOS LTDA.</t>
  </si>
  <si>
    <t>INC54945673</t>
  </si>
  <si>
    <t>Fornecedor Não sabia informar CNPJ cadstrado, nem usuário, orientado verificar internamente e retornar contato.</t>
  </si>
  <si>
    <t>INC54945421</t>
  </si>
  <si>
    <t>E-mail com a senha</t>
  </si>
  <si>
    <t>Nome do Contato: ANA CAROLINA BELMONTE
Usuário: RJERMBRASIL
E-mail: ermbrazilcomercial@erm.com
Telefone: 1150957920
CNPJ/Razão Social: 65456832000162 - ERM BRASIL LTDA
Fornecedor informa que não recebe o e-mail com a senha provisória, nem na pasta spam. Favor verificar e anexar o log.</t>
  </si>
  <si>
    <t>ANA CAROLINA BELMONTE</t>
  </si>
  <si>
    <t>RJERMBRASIL</t>
  </si>
  <si>
    <t>ermbrazilcomercial@erm.com</t>
  </si>
  <si>
    <t>65456832000162 - ERM BRASIL LTDA</t>
  </si>
  <si>
    <t>INC54944859</t>
  </si>
  <si>
    <t>cnpj : 35698322000130
empresa : DEEPSEA TECHNOLOGIES EQUIPAMENTOS INDUST
nome : EDUARDO SESSA ALVES
telefone : 21998782570
e-mail : esessa@deepsea-tech.com
usuario : ESESSADTI
expirado desde : 06.07.2025
INC54944859</t>
  </si>
  <si>
    <t>EDUARDO  SESSA ALVES</t>
  </si>
  <si>
    <t>ESESSADTI</t>
  </si>
  <si>
    <t>esessa@deepsea-tech.com</t>
  </si>
  <si>
    <t>35698322000130-DEEPSEA TECHNOLOGIES EQUIPAMENTOS INDUST</t>
  </si>
  <si>
    <t>INC54944656</t>
  </si>
  <si>
    <t>Agendamento</t>
  </si>
  <si>
    <t xml:space="preserve">Nome do Contato: THAWANE DA SILVA BENEDITO
Usuário: THAWANE
Telefone: 1146349000
E-mail: gcontratos@induscabos.com.br 
CNPJ / Razão Social: 48063416000185
Agendamento
Fornecedor solicita auxílio para o processo de agendamento.
Foi informado que o processo e agendamento pode ser realizar para duvidas em geral de processos Petronect havendo a possibilidade de agendar ate 3 pessoas. </t>
  </si>
  <si>
    <t>INC54944119</t>
  </si>
  <si>
    <t>Nome do Contato: MARCELO INÁCIO FERREIRA JÚNIOR
Usuário: TECFLUID
E-mail: jairo.souza@tecfluid-eng.com.br 
Telefone: 31991905825
CNPJ/Razão Social: 36127445000184
Fornecedor solicita desbloqueio do usuário TECFLUID</t>
  </si>
  <si>
    <t>INC54944114</t>
  </si>
  <si>
    <t xml:space="preserve">Chamado: INC54944114
 Nome do Contato: JOAO BATISTA RIBEIRO
 Usuário: JOAOBRIBE
 Telefone: 031988862553
E-mail: suelmari@ig.com.br
CNPJ / Razão Social: 22580716000148  - AGILIZA GERENCIAMENTO DE RESIDUOS SOLIDO
Fornecedor(a) solicitou auxilio para o preenchimento dos questionários, o mesmo foi orientado abri um chamado com analista.
Fornecedora solicita contato para esclarecimentos referente às pendências deste critério.
Fornecedora foi orientada no seguinte procedimento:
Cadastro na Petrobras
Fale conosco
Criar novo chamado
Solicitação: Critério XXX  
Assunto: Contato com Analista 
Contato:
The:
E-mail:
Orientada a aguardar o retorno do setor responsável.
Atenciosamente,
Equipe Petronect
</t>
  </si>
  <si>
    <t>INC54944036</t>
  </si>
  <si>
    <t xml:space="preserve">Nome do Contato: Wesley Joaquim Henrique Correia
Usuário: NATANAEL01
E-mail: suporte@conectafluid.com.br 
Telefone: 27993090202
CNPJ/Razão Social: 54441448000170
Fornecedor solicita desbloqueio do usuário NATANAEL01 </t>
  </si>
  <si>
    <t>Natanael  Souza</t>
  </si>
  <si>
    <t>suporte@conectafluid.com.br</t>
  </si>
  <si>
    <t>54441448000170</t>
  </si>
  <si>
    <t>INC54943979</t>
  </si>
  <si>
    <t xml:space="preserve">CHAT BOT - INC54943979 +5571999320113
Nome do Contato: Pericles Mascarenhas Magalhaes
CNPJ/Razão Social: 03695461000386
CPF: 88809005520
Telefone: 7199320113
E-mail: pericles.magalhaes@gpssa.com.br
Usuário: PERICLES.GPS
Oportunidade: 
------
</t>
  </si>
  <si>
    <t>INC54943871</t>
  </si>
  <si>
    <t>Nome de contato: GREICE FABIANE DA SILVA TEIXEIRA
Usuário: GFABIANE
Telefone: 47 33901512    
E-mail: greicefabiane@altera-ocyan.com  
CNPJ/Razão social: 22027876000164 OOGTK LIBRA PRODUÇÃO DE PETROLEO LTDA
Fornecedor solicita desbloqueio do usuário, o mesmo encontra-se expirado.
GREICE FABIANE DA SILVA TEIXEIRA
47 33901512 26.05.2024 Bloqueado  greicefabiane@altera-ocyan.com 
GFABIANE</t>
  </si>
  <si>
    <t>Greice  Fabiane da Silva Teixeira</t>
  </si>
  <si>
    <t>greicefabiane@altera-ocyan.com</t>
  </si>
  <si>
    <t>21873988000173 - OOGTK LIBRA GMBH &amp; CO KG</t>
  </si>
  <si>
    <t>INC54943854</t>
  </si>
  <si>
    <t>CHAT BOT - INC54943854 +5519992443328
Nome do Contato: FERNANDO PECCIM
CNPJ/Razão Social: 14764001000117
CPF: 26574161878
Telefone: 19992443328
E-mail: fernando.peccim@centrimotion.com.br
Usuário: FPECCIM
Oportunidade: 
------
FPECCIM
FERNANDO PECCIM
19992443328 fernando.peccim@centrimotion.com.br 16.11.2025    Desbloq. (Senha Expirada)
Prezados(a), fornecedor(a) solicita desbloqueio, atualização de validade e atribuições de perfis de seu usuário: FPECCIM</t>
  </si>
  <si>
    <t>'+5519992443328</t>
  </si>
  <si>
    <t>FERNANDO PECCIM</t>
  </si>
  <si>
    <t>FPECCIM</t>
  </si>
  <si>
    <t>fernando.peccim@centrimotion.com.br</t>
  </si>
  <si>
    <t>14764001000117 - CENTRIMOTION CENTRIFUGAS IMPORTACAO E EX</t>
  </si>
  <si>
    <t>INC54943769</t>
  </si>
  <si>
    <t>Recuperação de Acesso</t>
  </si>
  <si>
    <t>Chamado criado pela área externa do Portal 
 Nome do Contato: Luiza Raquel 
 Usuário:  
 Telefone: 1130597000 
 E-mail: lrsantos@grupogp.com 
 CNPJ: 
 Razão Social 
 Boa tarde,
Gostaria de solicitar apoio para a recuperação de acesso à plataforma vinculada ao CNPJ informado.
Trata-se de um acesso empresarial e, em razão de recentes reestruturações no quadro de colaboradores, não dispomos das informações de usuário e e-mail cadastrados, que são solicitadas na opção "Esqueci minha senha".
Diante disso, peço, por gentileza, orientações sobre como proceder para a recuperação do acesso e quais são os procedimentos necessários para regularizar essa situação.
Fico no aguardo e desde já agradeço a atenção.
Atenciosamente,
Luiza Raquel - Grupo GP</t>
  </si>
  <si>
    <t>INC54943699</t>
  </si>
  <si>
    <t>Recuperar acesso</t>
  </si>
  <si>
    <t>Chamado criado pela área externa do Portal 
 Nome do Contato: Luiza Raquel 
 Usuário:  
 Telefone: 1130597000 
 E-mail: lrsantos@grupogp.com 
 CNPJ: 50087022000290 
 Razão Social GP GUARDA PATRIMONIAL DE SÃO PAULO LTDA 
 Boa tarde,
Gostaria de solicitar apoio para a recuperação de acesso à plataforma vinculada ao CNPJ informado.
Trata-se de um acesso empresarial e, em razão de recentes reestruturações no quadro de colaboradores, não dispomos das informações de usuário e e-mail cadastrados, que são solicitadas na opção “Esqueci minha senha”.
Diante disso, peço, por gentileza, orientações sobre como proceder para a recuperação do acesso e quais são os procedimentos necessários para regularizar essa situação.
Fico no aguardo e desde já agradeço a atenção.
Atenciosamente,
Luiza Raquel - Grupo GP</t>
  </si>
  <si>
    <t>MAURICIO PELEGRINO DE CASTRO</t>
  </si>
  <si>
    <t>GPMAURICIO</t>
  </si>
  <si>
    <t>gpsp-comercialsolucoes@grupogp.com</t>
  </si>
  <si>
    <t>50087022000290 - GP GUARDA PATRIMONIAL DE SÃO PAULO LTDA</t>
  </si>
  <si>
    <t>INC54943571</t>
  </si>
  <si>
    <t>Nome do Contato: vinicius luiz cabrini
Usuário: VINICIUSCABR
E-mail: araucaria.madeireira@hotmail.com 
Telefone: 19992897825
CNPJ/Razão Social: 15288938000126 -  FORTMAN MADEIRA E MATERIAL PARA CONSTRUC
Fornecedor informa que não recebe o e-mail com a senha provisória. Por favor, verifiquem se há alguma falha no envio da senha para o usuário VINICIUSCABR e anexem o log.</t>
  </si>
  <si>
    <t>VINICIUS  LUIZ CABRINI</t>
  </si>
  <si>
    <t>VINICIUSCABR</t>
  </si>
  <si>
    <t>araucaria.madeireira@hotmail.com</t>
  </si>
  <si>
    <t>15288938000126 -  FORTMAN MADEIRA E MATERIAL PARA CONSTRUC</t>
  </si>
  <si>
    <t>INC54943540</t>
  </si>
  <si>
    <t xml:space="preserve">CHAT BOT - INC54943540 / INC54943682 +5521968816543
Nome do Contato: AUREA SOLUÇÕES E SERVIÇOS LTDA
CNPJ/Razão Social: 19079325000130
CPF: 08035853732
Telefone: 2137461350
E-mail: comercial@aureario.com.br
Usuário: NPATELECOM
Oportunidade: 
------
</t>
  </si>
  <si>
    <t xml:space="preserve">'+5521968816543 / INC54943682 </t>
  </si>
  <si>
    <t>DANIELE DA SILVA DO NASCIMENTO</t>
  </si>
  <si>
    <t>NPATELECOM</t>
  </si>
  <si>
    <t>novanpatelecom@gmail.com</t>
  </si>
  <si>
    <t>19079325000130 - NPA TELECOM E TI EIRELI ME</t>
  </si>
  <si>
    <t>INC54943516</t>
  </si>
  <si>
    <t xml:space="preserve">CHAT BOT - INC54943516 +5519989972562
Nome do Contato: Rodrigo Farias da Silva
CNPJ/Razão Social: 28902020000177
CPF: 33770452879
Telefone: 19989972562
E-mail: rodrigo@prodem-ind.com
Usuário: RF.PRODEM
Oportunidade: 
------
</t>
  </si>
  <si>
    <t>'+5519989972562</t>
  </si>
  <si>
    <t>RODRIGO FARIAS DA SILVA</t>
  </si>
  <si>
    <t>RF.PRODEM</t>
  </si>
  <si>
    <t>rodrigo@prodem-ind.com</t>
  </si>
  <si>
    <t xml:space="preserve">28902020000177 - </t>
  </si>
  <si>
    <t>LUIZ  CZANK JUNIOR</t>
  </si>
  <si>
    <t>MANDICON</t>
  </si>
  <si>
    <t>contato@mandiconsultoria.com.br</t>
  </si>
  <si>
    <t>22527679000104 MARIANA MIRANDA ZANETTI</t>
  </si>
  <si>
    <t>INC54943135</t>
  </si>
  <si>
    <t>Nome do Contato: Alex Rodrigues
Usuário: IKT70844
E-mail: eletroforte@terra.com.br 
Telefone: 51993163584
CNPJ/Razão Social: 05507225000152 - ELETROFORTE MATERIAIS ELETRICOS LTDA - M
Fornecedor solicita desbloqueio do usuário IKT70844</t>
  </si>
  <si>
    <t>INC54942907</t>
  </si>
  <si>
    <t xml:space="preserve">CHAT BOT - INC54942907 +5519989972562
Nome do Contato: Rodrigo Farias da Silva
CNPJ/Razão Social: 28902020000177
CPF: 33770452879
Telefone: 19989972562
E-mail: rodrigo@prodem-ind.com
Usuário: RF.PRODEM
Oportunidade: 
------
</t>
  </si>
  <si>
    <t>INC54942738</t>
  </si>
  <si>
    <t xml:space="preserve">CHAT BOT - INC54942738 +5519981831238
Nome do Contato: Marisergio Anilton Manzatto
CNPJ/Razão Social: 15182865000193
CPF: 06856687893
Telefone: 19981831238
E-mail: marisergio_manzatto@hotmail.com
Usuário: MARISERGIO
Oportunidade: 
------
</t>
  </si>
  <si>
    <t>'+5519981831238</t>
  </si>
  <si>
    <t>Marisergio Manzatto</t>
  </si>
  <si>
    <t>MARISERGIO</t>
  </si>
  <si>
    <t>marisergio_manzatto@hotmail.com</t>
  </si>
  <si>
    <t>15182865000193 - MARISERGIO ANILTON MANZATTO - ME</t>
  </si>
  <si>
    <t>INC54942456</t>
  </si>
  <si>
    <t>Nome de contato: TATIANE GALINDO
Usuário: E.GALINDO
Telefone: 11-945916038   
E-mail: vendas@tag7.com.br  
CNPJ/Razão social: 11717637000110 TATIANE GALINDO SERVIÇOS ADMINISTRATIVOS
Fornecedor solicita desbloqueio do usuário e a atribuição do perfil de admnistrador, o mesmo encontra-se expirado.
TATIANE GALINDO
11-945916038 20.04.2025 Bloqueado  vendas@tag7.com.br 
E.GALINDO</t>
  </si>
  <si>
    <t>Tatiane Galindo</t>
  </si>
  <si>
    <t>E.GALINDO</t>
  </si>
  <si>
    <t>vendas@tag7.com.br</t>
  </si>
  <si>
    <t>11717637000110 - TATIANE GALINDO SERVIÇOS ADMINISTRATIVOS</t>
  </si>
  <si>
    <t>INC54942206</t>
  </si>
  <si>
    <t xml:space="preserve">CHAT BOT - INC54942206 87dd477f-5611-c295-6494-0a8bc23fa6fe
Nome do Contato: Lais Dias Barreto lima
CNPJ/Razão Social: 62312426000723
CPF: 43147552888
Telefone: 1124138072
E-mail: lais.barreto@hci.ind.br
Usuário: HCI.INDUSTR
Oportunidade: 
------
</t>
  </si>
  <si>
    <t>87dd477f-5611-c295-6494-0a8bc23fa6fe</t>
  </si>
  <si>
    <t>LAIS DIAS BARRETO LIMA</t>
  </si>
  <si>
    <t>HCI.INDUSTR</t>
  </si>
  <si>
    <t>lais.barreto@hci.ind.br</t>
  </si>
  <si>
    <t>62312426000723 - H.C.I HIDRAULICA CONEXOES INDUSTRIAIS LT</t>
  </si>
  <si>
    <t>INC54941231</t>
  </si>
  <si>
    <t>Nome do Contato: Marcelo Magalhães Valente
Usuário: USR0009070
E-mail: marcelo.valente@m2engenharia.com.br 
Telefone: 24981255922
CNPJ/Razão Social: 03449117000145 - M2 ENGENHARIA LTDA
Fornecedor solicita desbloqueio do usuário USR0009070</t>
  </si>
  <si>
    <t>Marcelo M.  Valente</t>
  </si>
  <si>
    <t>marcelo.valente@m2engenharia.com.br</t>
  </si>
  <si>
    <t>03449117000145 - M2 ENGENHARIA LTDA</t>
  </si>
  <si>
    <t>INC54941177</t>
  </si>
  <si>
    <t xml:space="preserve">CHAT BOT - INC54941177 +5511977778933
Nome do Contato: Samuel Gubitosi de Sá
CNPJ/Razão Social: 43205386000180
CPF: 26588241810
Telefone: 11977778933
E-mail: samuel@axiumconsultoria.com
Usuário: AXIUMSAMU
Oportunidade: 
------
</t>
  </si>
  <si>
    <t>'+5511977778933</t>
  </si>
  <si>
    <t>SAMUEL GUBITOSI DE SA</t>
  </si>
  <si>
    <t>AXIUMSAMU</t>
  </si>
  <si>
    <t>samuel@axiumconsultoria.com</t>
  </si>
  <si>
    <t>43205386000180 - TECMAC FERRAMENTAS E SERVIÇOS LTDA.</t>
  </si>
  <si>
    <t>INC54940825</t>
  </si>
  <si>
    <t>Usupario expirado</t>
  </si>
  <si>
    <t>Nome do Contato: Priscila
Usuário: USR0050931
E-mail: veronica@h2so4.com.br 
Telefone: 19 3289-3489 / 19996832231
CNPJ/Razão Social: 05845650000151 MB CATALISADORES - COMERCIO E SERVICOS L
Fornecedora solicita desbloqueio do usuário USR0050931</t>
  </si>
  <si>
    <t>Veronica  Beer</t>
  </si>
  <si>
    <t>veronica@h2so4.com.br</t>
  </si>
  <si>
    <t xml:space="preserve"> 05845650000151 - MB CATALISADORES - COMERCIO E SERVICOS L</t>
  </si>
  <si>
    <t>INC54940583</t>
  </si>
  <si>
    <t xml:space="preserve">Nome do Contato: GREICE FABIANE DA SILVA TEIXEIRA
Usuário: ANAAGUIA01
Telefone: 21 38506517  
E-mail: anapaula.aguiar@altera-ocyan.com 
CNPJ / Razão Social: 22027876000164
Boa tarde !
Fornecedora solicita o desbloqueio de seu usuário,  para atualizar informações cadastrais 
Obrigado. </t>
  </si>
  <si>
    <t>ANA PAULA  AGUIAR BARREIRA</t>
  </si>
  <si>
    <t>anapaula.aguiar@altera-ocyan.com</t>
  </si>
  <si>
    <t>22027876000164 - OOGTK LIBRA PRODUÇÃO DE PETROLEO LTDA</t>
  </si>
  <si>
    <t>INC54940390</t>
  </si>
  <si>
    <t xml:space="preserve">Dados Bancários </t>
  </si>
  <si>
    <t xml:space="preserve">Chamado: INC54940390
 Nome do Contato: JOAO BATISTA RIBEIRO
 Usuário: JOAOBRIBE
 Telefone: 031988862553
E-mail: suelmari@ig.com.br
CNPJ / Razão Social: 22580716000148  -  AGILIZA GERENCIAMENTO DE RESIDUOS SOLIDO
Fornecedor(a) solicitou auxilio para cadastra os dados bancários, o mesmo foi informado do código correto do banco do Banco do Brasil 0019, o mesmo conseguiu realizar o procedimento. 
Atenciosamente,
Equipe Petronect
</t>
  </si>
  <si>
    <t>Incidentes//Cadastro na Petrobras//Suporte//Fale Conosco//Outros</t>
  </si>
  <si>
    <t>Taxa de acesso - Assinatura</t>
  </si>
  <si>
    <t>Chamado criado pelo área interna do Portal 
 Nome do Contato: ISMAEL RODRIGUES CABRAL 
 Usuário: ISMAELRC 
 Telefone: 71996801001 
 E-mail: ismael@supportengenharia.com.br 
 CNPJ: 23350882000110 
 Razão Social  
 Bom dia,
Olá por um equivoco meu, em vez se escolher 1 mês na escolha da minha assinatura, não observei ficou 5 meses...
BOLETO PARA PAGAMENTO Nº 174860 - Referência 0000639776
Emitido em 06/01/2026
gostaria de saber como faço pra excluir esse boleto (5 meses), criar novo, somente com assinatura de 1 mes.
desculpas pelo erro.
fico no aguardo,
Ismael</t>
  </si>
  <si>
    <t>INC54940276</t>
  </si>
  <si>
    <t>cnpj: 21873988000173 
usuario: OOGTK LIBRA GMBH &amp; CO KG 
nome : GREICE FABIANE TEIXEIRA DE FARIAS
e-mail : greicefabiane@altera-ocyan.com
usuario expirado desde : 25.05.2025
telefone : 47 33901512 
INC54940276</t>
  </si>
  <si>
    <t>INC54940152</t>
  </si>
  <si>
    <t>Cadastro de Fornecedor</t>
  </si>
  <si>
    <t>Chamado criado pelo área interna do Portal 
 Nome do Contato: ABRAAO HENRIQUE DA SILVA JUNIOR 
 Usuário: ABRAAOH 
 Telefone: 12991092626 
 E-mail: abraplan@abraplan.com 
 CNPJ: 05204780000105 
 Razão Social ESTALEIRO BIBI EIRELI 
 Solicitação e Abertura de cadastro para inclusão de família e atualização de documentos</t>
  </si>
  <si>
    <t>ABRAAO HENRIQUE DA SILVA JUNIOR</t>
  </si>
  <si>
    <t>ABRAAOH</t>
  </si>
  <si>
    <t>abraplan@abraplan.com</t>
  </si>
  <si>
    <t>05204780000105 - ESTALEIRO BIBI EIRELI</t>
  </si>
  <si>
    <t>INC54940149</t>
  </si>
  <si>
    <t>cnpj: 11412274000104
usuario: EGMEVETOS 
nome : EGM EVENTOS
e-mail : egm.eventosoficial@gmail.com 
usuario expirado desde : 24.08.2025
telefone : 12 97407-2301 
fornecedora  Michele  entra em contato 
INC54940149</t>
  </si>
  <si>
    <t>EGM EVENTOS</t>
  </si>
  <si>
    <t xml:space="preserve">EGMEVETOS </t>
  </si>
  <si>
    <t>egm.eventosoficial@gmail.com</t>
  </si>
  <si>
    <t>INC54940147</t>
  </si>
  <si>
    <t>Atualização de cadastro Petronect</t>
  </si>
  <si>
    <t>Chamado criado pela área externa do Portal 
 Nome do Contato: Ana Paula Aguiar Barreira 
 Usuário: ANA PAULA 
 Telefone: 21991330373 
 E-mail: anapaula.aguiar@altera-ocyan.com 
 CNPJ: 22.027.876/0001
 Razão Social OOGTK LIBRA PRODUÇÃO DE PETROLEO LTDA 
 Desejo atualizar o e-mail de meu cadastro com novo e-mail.</t>
  </si>
  <si>
    <t>INC54940051</t>
  </si>
  <si>
    <t>Inclusão de número SAP no registro do fornecedor na Petronect.</t>
  </si>
  <si>
    <t>Bom dia!!! Feliz Ano Novo!!!
Solicito a inclusão no registro do fornecedor na Petronect, AMIGOS BUFFET E SERVIÇOS DE BARES E REST, CNPJ 48439396000102, do seu número SAP de fornecedor 10251079 e de BP 3320009. (Solicitação Francisco Cleyton). 
Roberval Ernesto Schiffler Filho
Profissional Petrobras de Nível Superior Master
SUPRIMENTOS/RMF/RFDQ/RM</t>
  </si>
  <si>
    <t>INC54939724</t>
  </si>
  <si>
    <t xml:space="preserve">CHAT BOT - INC54939724 +5581999798742
Nome do Contato: João Rodrigues
CNPJ/Razão Social: 28906412000104
CPF: 42795508400
Telefone: 81999798742
E-mail: Prazeresborrachas@yahoo.com
Usuário: RODRIGUES100
Oportunidade: 
------
</t>
  </si>
  <si>
    <t>joao rodrigues</t>
  </si>
  <si>
    <t>prazeresborracha@yahoo.com</t>
  </si>
  <si>
    <t xml:space="preserve">28906412000104 - </t>
  </si>
  <si>
    <t>INC54939582</t>
  </si>
  <si>
    <t>Nome do Contato: Christiano alves oliveira
Usuário: VIPLITORAL
E-mail: christiano@viplitoral.com 
Telefone: 22999630528
CNPJ/Razão Social: 13097450000196 AGIR CONSTRUCOES E SERVICOS LTDA
Fornecedor solicita desbloqueio do usuário VIPLITORAL</t>
  </si>
  <si>
    <t>CHRISTIANO  ALVES OLIVEIRA</t>
  </si>
  <si>
    <t>VIPLITORAL</t>
  </si>
  <si>
    <t>christiano@viplitoral.com</t>
  </si>
  <si>
    <t>13097450000196 AGIR CONSTRUCOES E SERVICOS LTDA</t>
  </si>
  <si>
    <t>INC54939539</t>
  </si>
  <si>
    <t xml:space="preserve">CHAT BOT - INC54939539 +5581997122650
Nome do Contato: Roberto Pereira
CNPJ/Razão Social: 59562930000181
CPF: 49395521449
Telefone: 81997122650
E-mail: jrpereira@essencialsuprimentos.com
Usuário: JCRDDJ26
Oportunidade: 
------
</t>
  </si>
  <si>
    <t>'+5581997122650</t>
  </si>
  <si>
    <t>Roberto Pereira</t>
  </si>
  <si>
    <t>JCRDDJ26</t>
  </si>
  <si>
    <t>jrpereira@essencialsuprimentos.com</t>
  </si>
  <si>
    <t xml:space="preserve">59562930000181 - </t>
  </si>
  <si>
    <t>INC54939312</t>
  </si>
  <si>
    <t>dificuldade em acessar</t>
  </si>
  <si>
    <t>Chamado criado pela área externa do Portal 
 Nome do Contato: João Rodrigues 
 Usuário:  
 Telefone: 81999798742 
 E-mail: prazeresborrachas@yahoo.com 
 CNPJ: 28906412000104 
 Razão Social PRAZERES BORRACHA LTDA ME 
 bom dia! apos o cadastro nao consigo acessar o portal.</t>
  </si>
  <si>
    <t>João Rodrigues</t>
  </si>
  <si>
    <t>28906412000104 - PRAZERES BORRACHAS LTDA</t>
  </si>
  <si>
    <t>INC54939101</t>
  </si>
  <si>
    <t>Primeiros passos</t>
  </si>
  <si>
    <t>Chamado criado pela área externa do Portal 
 Nome do Contato: Roberto 
 Usuário: JCRDDJ26 
 Telefone: 81997122650 
 E-mail: jrpereira@essencialsuprimentos.com 
 CNPJ: 59562930000181 
 Razão Social ESSENCIAL SUPRIMENTOS INDUSTRIAIS 
 Bom dia..
No primeiro acesso, onde coloco o usuário e a troca da senha para definitiva, o portal fecha e fica apenas o endereço acima Petronect.. e a página em branco, o que esta errado?</t>
  </si>
  <si>
    <t xml:space="preserve">59562930000181 - ESSENCIAL SUPRIMENTOS INDUSTRIAIS LTDA </t>
  </si>
  <si>
    <t>14ca1313-75be-59f3-89f2-982faf368b5d</t>
  </si>
  <si>
    <t>ROMUALDO BATISTA DE MELO</t>
  </si>
  <si>
    <t>romualdo.batista@jituniformes.com.br</t>
  </si>
  <si>
    <t>73300444000116 - JUST IN TIME CRIACOES DA MODA LTDA-</t>
  </si>
  <si>
    <t>INC54938955</t>
  </si>
  <si>
    <t xml:space="preserve">CHAT BOT - INC54938955 +5579999282870
Nome do Contato: Marcus Roberto de Castro Monteiro
CNPJ/Razão Social: 41456965000170
CPF: 77640497515
Telefone: 79999466565
E-mail: adm.kalmedica@gmail.com
Usuário: KALMEDICA
Oportunidade: 
------
</t>
  </si>
  <si>
    <t>'+5579999282870</t>
  </si>
  <si>
    <t>MARCUS ROBERTO DE CASTRO MONTEIRO</t>
  </si>
  <si>
    <t>KALMEDICA</t>
  </si>
  <si>
    <t>adm.kalmedica@gmail.com</t>
  </si>
  <si>
    <t>41456965000170 - KALMEDICA PRODUTOS MEDICOS LTDA</t>
  </si>
  <si>
    <t>INC54938719</t>
  </si>
  <si>
    <t>Chamado criado pela área externa do Portal 
 Nome do Contato: Ana Paula Aguiar Barreira 
 Usuário: ANA PAULA 
 Telefone: 21991330373 
 E-mail: anapaula.aguiar@altera-ocyan.com 
 CNPJ: 22.027.876/0002-45 
 Razão Social OOGTK LIBRA PRODUCAO DE PETROLEO LTDA 
 Desejo atualizar o e-mail de meu cadastro com seu novo e-mail.</t>
  </si>
  <si>
    <t>INC54938563</t>
  </si>
  <si>
    <t>Funcionário Petrobras solicita informações sobre o cadastro , o mesmo não possui os dados para verificação, orientado a verificar internamente com a empresa.</t>
  </si>
  <si>
    <t>INC54938512</t>
  </si>
  <si>
    <t>CHAT BOT - INC54938512 +5592991746249
Nome do Contato: Monik Saldanha Costa
CNPJ/Razão Social: 53051028000114
CPF: 01110342217
Telefone: 92991746249
E-mail: moniksaldanha@gmail.com
Usuário: SALDANHA.ENG
Oportunidade: 
------
SALDANHA.ENG
Monik Saldanha
  moniksaldanha@gmail.com 04.08.2024    Bloqueado
Prezados(a), fornecedor(a) solicita desbloqueio, atualização de validade e atribuições de perfis de seu usuário: SALDANHA.ENG</t>
  </si>
  <si>
    <t>'+5592991746249</t>
  </si>
  <si>
    <t>Monik Saldanha</t>
  </si>
  <si>
    <t>SALDANHA.ENG</t>
  </si>
  <si>
    <t>moniksaldanha@gmail.com</t>
  </si>
  <si>
    <t xml:space="preserve">53051028000114 - </t>
  </si>
  <si>
    <t>INC54938451</t>
  </si>
  <si>
    <t>CHAT BOT - INC54938451 +5547997520014
Nome do Contato: Gabriel
CNPJ/Razão Social: 79386249000137
CPF: 00702736937
Telefone: 47997520014
E-mail: kaneco.comercial@gmail.com
Usuário: KANECOBNU
Oportunidade: 
------
KANECOBNU
Gabriel WGomes
  kaneco.comercial@gmail.com 13.07.2025    Desbloqueado
Prezados(a), fornecedor(a) solicita desbloqueio, atualização de validade e atribuições de perfis de seu usuário: KANECOBNU</t>
  </si>
  <si>
    <t xml:space="preserve">'+5547997520014 / 8001438598 </t>
  </si>
  <si>
    <t>Gabriel  WGomes</t>
  </si>
  <si>
    <t>KANECOBNU</t>
  </si>
  <si>
    <t>kaneco.comercial@gmail.com</t>
  </si>
  <si>
    <t xml:space="preserve">79386249000137 - </t>
  </si>
  <si>
    <t>INC54938293</t>
  </si>
  <si>
    <t xml:space="preserve">CHAT BOT - INC54938293 +5511945717372
Nome do Contato: Renata de Carvalho
CNPJ/Razão Social: 15868550000102
CPF: 393.821.908-48
Telefone: 11945717372
E-mail: posvendas@vettor.com.br
Usuário: VTPECAS-4409
Oportunidade: 
------
</t>
  </si>
  <si>
    <t>'+5511945717372</t>
  </si>
  <si>
    <t>MARIANE MAURE GARCIA</t>
  </si>
  <si>
    <t>posvendas3@vettor.com.br</t>
  </si>
  <si>
    <t>15868550000102 - VETTOR PECAS E TUBOS INDUSTRIA E COMERCIO LTDA.</t>
  </si>
  <si>
    <t>INC54937943</t>
  </si>
  <si>
    <t>CHAT BOT - INC54937943 +5513997397424
Nome do Contato: Vilma Maria Cavinato Rivero
CNPJ/Razão Social: 04333947000175
CPF: 01171415850
Telefone: 13997379572
E-mail: adm@econsultt.com.br
Usuário: MEIROCAS
Oportunidade: 
------
MEIROCAS
Vilma Maria Cavinatto Rivero
1333837417 comercial@econsultt.com.br 06.12.2022    Bloqueado
Prezados(a), fornecedor(a) solicita desbloqueio, atualização de validade e atribuições de perfis de seu usuário: MEIROCAS</t>
  </si>
  <si>
    <t>'+5513997397424</t>
  </si>
  <si>
    <t>INC54937885</t>
  </si>
  <si>
    <t xml:space="preserve">Chamado:  INC54937885
 Nome do Contato: DIMAS XAVIER BARBOSA JUNIOR
 Usuário: ED.DIMAS
 Telefone: (81) 37255175/ 982719770
E-mail: edsonsucatao@hotmail.com
CNPJ / Razão Social: 07371494000160 /  -
Fornecedor(a)  entrou em contato para informar que tem um leilão para participar porém estava dando bloqueado ao tentar acessar no portal, o mesmo foi informado que no sistema não consta nem um bloqueio. Foi orientado a redefinir a senha.
As regras para a redefinição da senha são as seguintes:
1. A nova senha deve ser diferente das 10 (dez) últimas senhas utilizadas.
2. Deve ter entre 8 (oito) e 20 (vinte) caracteres.
3. Deve possuir, no mínimo, um dos caracteres de cada uma das categorias abaixo:
- Alfabético maiúsculo (ex.: A, Z)
- Alfabético minúsculo (ex.: a, z)
- Numérico (ex.: 0, 9)
4. O nome do Usuário não pode ser usado como parte da "Senha".
5. Os 3 (três) primeiros caracteres da "Senha" não podem ser iguais (ex.: 111, Aaa, etc).
6. Ela não deve conter espaços em branco.
7. Não deve conter caracteres especiais (ex: %, &amp;, #, @, etc).
Outras informações importantes:
- A mudança da senha será solicitada pelo sistema a cada 90 dias.
- A senha é pessoal, intransferível e mantê-la em sigilo é responsabilidade do usuário.
- Os campos de "Nova senha" aceitam o limite máximo de 20 caracteres. Ao atingir o limite, o campo é bloqueado, não permitindo que sejam informados mais caracteres.
- Como a senha contém caracteres alfanuméricos, é importante verificar se a tecla "Caps Lock" do teclado está ativa.
Dica: Caso tenha dificuldade em redefinir a senha nos campos "Nova Senha" e "Confirmar Nova Senha", é recomendado utilizar o Bloco de Notas e copiar e colar a nova senha nesses campos.
Atenciosamente,
Equipe Petronect
</t>
  </si>
  <si>
    <t>INC54937813</t>
  </si>
  <si>
    <t>Nome do Contato: Alan morais
Usuário: MAL.GHS
Telefone: 21 24715960 
E-mail: magnoaugusto@ghsbrasil.com 
CNPJ / Razão Social:01797423000147
Fornecedor entrou em contato informando que a conta esta bloqueada, foi verificado no sistema que o usuário esta desbloqueado, Pedimos ao fornecedor que pedisse uma senha provisória e fizesse todo procedimento</t>
  </si>
  <si>
    <t>MAGNO AUGUSTO  RIBEIRO LACERDA</t>
  </si>
  <si>
    <t>MAL.GHS</t>
  </si>
  <si>
    <t>magnoaugusto@ghsbrasil.com</t>
  </si>
  <si>
    <t>01797423000147 - GHS INDUSTRIA E SERVICOS LTDA</t>
  </si>
  <si>
    <t>INC54929149</t>
  </si>
  <si>
    <t>Impossibilidade de adição de família - 99006138</t>
  </si>
  <si>
    <t>Oportunidade 7004530697 
 Chamado criado pelo área interna do Portal 
 Nome do Contato: EDSON MEDEIROS DOS SANTOS 
 Usuário: EDSON.BIGU 
 Telefone: 22998857902 
 E-mail: edson.bigu@trimateq.com.br 
 CNPJ: 21025535000197 
 Razão Social TRIMATEQ SOLUCOES LTDA 
 Não esta aparecendo o icone para a adição da família 99006138, como devo prosseguir para adiciona-lá, uma vez que tenho até amanhã, 06/01 para submeter a documentação da oportunidade 7004530697.</t>
  </si>
  <si>
    <t>8001438539</t>
  </si>
  <si>
    <t>EDSON MEDEIROS DOS SANTOS</t>
  </si>
  <si>
    <t>EDSON.BIGU</t>
  </si>
  <si>
    <t>edson.bigu@trimateq.com.br</t>
  </si>
  <si>
    <t>21025535000197 - TRIMATEQ SOLUCOES LTDA - EPP</t>
  </si>
  <si>
    <t>INC54926614</t>
  </si>
  <si>
    <t>Nome do Contato: Mariana Miranda Zanetti
Usuário: MANDICON
E-mail: contato@mandiconsultoria.com.br 
Telefone: 11950267960
CNPJ/Razão Social: 22527679000104 MARIANA MIRANDA ZANETTI
Fornecedor solicita desbloqueio do usuário MANDICON</t>
  </si>
  <si>
    <t>INC54926332</t>
  </si>
  <si>
    <t>CHAT BOT- Questionários</t>
  </si>
  <si>
    <t xml:space="preserve">Nome de contato: Marcelo Meirelles Tenório
Usuário: BIOINFRA marcelomeirelles1990@gmail.com 5521999426375 
CPF:12523988755
Telefone:21971660551
E-mail:marcelomeirelles1990@gmail.com
CNPJ/Razão social:16606994000124 BIOINFRA ENGENHARIA LTDA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t>
  </si>
  <si>
    <t>26adc86b-b443-467b-9f17-588b3e022958</t>
  </si>
  <si>
    <t xml:space="preserve"> MARCELO MAURO  BARBOZA TENORIO</t>
  </si>
  <si>
    <t>BIOINFRA</t>
  </si>
  <si>
    <t>marcelomeirelles1990@gmail.com</t>
  </si>
  <si>
    <t>16606994000124 BIOINFRA ENGENHARIA LTDA</t>
  </si>
  <si>
    <t>INC54925850</t>
  </si>
  <si>
    <t>Nome do Contato: Carmen Paulo Ziehlsdorff
Usuário: J7SINALIZA
E-mail: financeiro@j7s.com.br 
Telefone: 47991775047
CNPJ/Razão Social: 82962127000156
Fornecedor solicita desbloqueio do usuário J7SINALIZA</t>
  </si>
  <si>
    <t>Carmen  PauloZiehlsdorff</t>
  </si>
  <si>
    <t>J7SINALIZA</t>
  </si>
  <si>
    <t>financeiro@j7s.com.br</t>
  </si>
  <si>
    <t>82962127000156</t>
  </si>
  <si>
    <t>INC54925582</t>
  </si>
  <si>
    <t>Nome do Contato: Rogério Campanini Belinelli
Usuário: RC.PAPEL
E-mail: rogerio@penha.com.br 
Telefone: 19999282713
CNPJ/Razão Social: 49912199000113 - FABRICA DE PAPEL E PAPELAO NOSSA SENHORA
Fornecedor solicita desbloqueio do usuário RC.PAPEL</t>
  </si>
  <si>
    <t>Rogerio  Campanini</t>
  </si>
  <si>
    <t>RC.PAPEL</t>
  </si>
  <si>
    <t>rogerio@penha.com.br</t>
  </si>
  <si>
    <t>49912199000113 - FABRICA DE PAPEL E PAPELAO NOSSA SENHORA</t>
  </si>
  <si>
    <t>INC54925459</t>
  </si>
  <si>
    <t>Critério Técnico - Não conformidade do Certificado ISO 9000</t>
  </si>
  <si>
    <t>Oportunidade: TODAS 
Chamado criado pelo área interna do Portal 
 Nome do Contato: HELENO CARDOSO SANTOS 
 Usuário: HELENOTRIBA 
 Telefone: 54-3520-1100 
 E-mail: comercialve@trielht.com.br 
 CNPJ: 89422042000124 
 Razão Social TRIEL-HT INDUSTRIAL E PARTICIPACOES S/A 
 Boa tarde.
Conforme arquivo anexos, estamos com Nota baixa no critério técnico conforme não conformidades apontadas pela Petrobras, no nosso certificado ISO 9000. 
Verificamos no proprio questionário que o Certificado anexado está correto, portanto solicitamos que façam a verificação para que seja excluida esta não conformidade e consequentemente a atualização do nosso cadastro.
Anexo a este chamado enviamos o mesmo certificado Iso 9000 que consta no nosso cadastro.
At.
Triel-HT.</t>
  </si>
  <si>
    <t>HELENO  CARDOSO SANTOS</t>
  </si>
  <si>
    <t>HELENOTRIBA</t>
  </si>
  <si>
    <t>comercialve@trielht.com.br</t>
  </si>
  <si>
    <t>89422042000124 - TRIEL-HT INDUSTRIAL E PARTICIPACOES</t>
  </si>
  <si>
    <t>INC54925383</t>
  </si>
  <si>
    <t xml:space="preserve">Nome do Contato: Wesley Silva Lima Lima
Usuário: 92985488574
E-mail: wfdistribuidoranegocios@gmail.com
Telefone: 92985488574
CNPJ/Razão Social: 63642334000189 
Fornecedor solicita alteração do e-mail que foi cadastrado com erro de digitação.
E-mail cadastrado: wfdistribuidoranegocio@gmail.com 
E-mail correto: wfdistribuidoranegocios@gmail.com
Também solicita prorrogação da validade do usuário </t>
  </si>
  <si>
    <t>Weldson Correa</t>
  </si>
  <si>
    <t>WFCIMENTO</t>
  </si>
  <si>
    <t>wfdistribuidoranegocios@gmail.com</t>
  </si>
  <si>
    <t xml:space="preserve">63642334000189 - </t>
  </si>
  <si>
    <t>INC54925267</t>
  </si>
  <si>
    <t xml:space="preserve">Nome do Contato: FABIANA BERNARDES DA SILVA OLIVEIRA
Usuário: ADM.DEEPSEAA
Telefone: 
E-mail: contratos@estrategiaconsulting.com.br 
CNPJ / Razão Social: 35698322000130
Fornecedora solicita auxilio para acesso ao portal, pois consta conta bloqueado.
Ao verificar o usuário esta bloqueado sim, porem um usuário interno ao verificar com a supervia fui orientado a realizar esse chamado para verificação do bloqueio. 
fornecedora informa que tem o acesso, podem confirmar se é bloqueio Petrobrás?
</t>
  </si>
  <si>
    <t xml:space="preserve">FABIANA  BERNARDES DA SILVA OLIVEIRA </t>
  </si>
  <si>
    <t>ADM.DEEPSEAA</t>
  </si>
  <si>
    <t>ADM.DEEPSEAA@petronect.com.br</t>
  </si>
  <si>
    <t>INC54925144</t>
  </si>
  <si>
    <t>CHAT BOT - INC54925144 4574b6b4-1d6a-516a-5850-4951ea2ef229
Nome do Contato: João Paulo Leite Esteves Junior
CNPJ/Razão Social: 29919352000127
CPF: 11472747704
Telefone: 24981101261
E-mail: jp.trafos@gmail.com
Usuário: JPEMANUT
Oportunidade: 
------
JPEMANUT
JoãoPaulo Esteves
24981101261 jp.trafos@gmail.com 06.12.2022    Bloq. (Senha Expirada)
Prezados(a), fornecedor(a) solicita desbloqueio, atualização de validade e atribuições de perfis de seu usuário: JPEMANUT</t>
  </si>
  <si>
    <t>8001438447 / 4574b6b4-1d6a-516a-5850-495</t>
  </si>
  <si>
    <t>INC54925111</t>
  </si>
  <si>
    <t>Nome de contato: LILIA VILAS BOAS MOREIRA PIFFER
Usuário: MUTANT05
Telefone: 011 99756-4923   
E-mail: sales@mutant.com.br 
CNPJ/Razão social: 06928340000163 - INTERAXA BRASIL TECNOLOGIA E INFORMÁTICA
Oportunidade: 7004523278</t>
  </si>
  <si>
    <t>7004523278</t>
  </si>
  <si>
    <t>Incidentes//Cadastro na Petrobras//Suporte//Sócio Fornecedor//Pagamento</t>
  </si>
  <si>
    <t>LILIA VILAS BOAS MOREIRA PIFFER</t>
  </si>
  <si>
    <t>sales@mutant.com.br</t>
  </si>
  <si>
    <t>06928340000163 - INTERAXA BRASIL TECNOLOGIA E INFORMÁTICA</t>
  </si>
  <si>
    <t>INC54924990</t>
  </si>
  <si>
    <t>CHAT BOT - INC54924990 14ca1313-75be-59f3-89f2-982faf368b5d
Nome do Contato: Romualdo Batista de Melo
CNPJ/Razão Social: 73300444000116
CPF: 72497165734
Telefone: 2422350249
E-mail: romualdo.batista@jituniformes.com.br
Usuário: USR0066561
Oportunidade: 
------
USR0066561
ROMUALDO BATISTA DE MELO
24 9 8828 2204 romualdo.batista@jituniformes.com.br 04.01.2026    Desbloq. (Senha Expirada)
Prezados(a), fornecedor(a) solicita desbloqueio, atualização de validade e atribuições de perfis de seu usuário: USR0066561</t>
  </si>
  <si>
    <t>INC54924907</t>
  </si>
  <si>
    <t>Erro no preenchimento de dados bancários - Finalização de cadastro</t>
  </si>
  <si>
    <t>Chamado criado pelo área interna do Portal 
 Nome do Contato: ELIANE NOBREGA DE SOUZA 
 Usuário: ENS_NOBRE28 
 Telefone: 1126280795 
 E-mail: ATENDIMENTO@NOBREDEMOLIDORA.COM.BR 
 CNPJ: 55899262000121 
 Razão Social ENS DEMOLICAO E CONSTRUCAO LTDA 
 Prezados(as)
Estou em processo de finalização do meu cadastro na plataforma Petronect para habilitação junto à Petrobras, porém estou enfrentando um problema na aba de dados bancários. 
Ao inserir as informações solicitadas, o sistema apresenta mensagem de erro, mesmo após a conferência e a isenção correta dos dados, conforme informado pelo meu banco. 
Gostaria, por gentileza, de orientações sobre como proceder para corrigir esse erro ou, se necessário, verificar se há alguma instabilidade no sistema ou regra específica para o preenchimento dessas informações. 
Fico no aguardo das orientações para concluir meu cadastro. 
Desde já, agradeço a atenção. 
Atenciosamente, 
ENS DEMOLICAO E CONSTRUCAO LTDA.</t>
  </si>
  <si>
    <t>ELIANE NOBREGA DE SOUZA</t>
  </si>
  <si>
    <t>ENS_NOBRE28</t>
  </si>
  <si>
    <t>ATENDIMENTO@NOBREDEMOLIDORA.COM.BR</t>
  </si>
  <si>
    <t>55899262000121 -  ENS DEMOLICAO E CONSTRUCAO LTDA</t>
  </si>
  <si>
    <t>INC54924514</t>
  </si>
  <si>
    <t>Nome do Contato: Guilherme Mangussi
Usuário: GUILH3RMEIKN
E-mail: arqueacao@iknengenharia.com.br 
Telefone: 11995449155
CNPJ/Razão Social: 27384962000148 IKN ENGENHARIA LTDA
Fornecedor solicita desbloqueio do usuário GUILH3RMEIKN</t>
  </si>
  <si>
    <t>GUILHERME  MANGUSSI</t>
  </si>
  <si>
    <t>GUILH3RMEIKN</t>
  </si>
  <si>
    <t>arqueacao@iknengenharia.com.br</t>
  </si>
  <si>
    <t>27384962000148 IKN ENGENHARIA LTDA</t>
  </si>
  <si>
    <t>INC54924496</t>
  </si>
  <si>
    <t xml:space="preserve">CHAT BOT - INC54924496 +5581988741153
Nome do Contato: IAM CARLOS BERNARDO DA SILVA
CNPJ/Razão Social: 24329811000107
CPF: 83235531491
Telefone: 81986085343
E-mail: Vendas@oficinabatalha.com.br
Usuário: BATALHA
Oportunidade: 
------
</t>
  </si>
  <si>
    <t>'+5581988741153</t>
  </si>
  <si>
    <t>IAM CARLOS BERNARDO DA SILVA</t>
  </si>
  <si>
    <t>BATALHA</t>
  </si>
  <si>
    <t>vendas@oficinabatalha.com.br</t>
  </si>
  <si>
    <t>24329811000107 - EDNEIA DE CASTRO METALURGICA ME</t>
  </si>
  <si>
    <t>INC54924416</t>
  </si>
  <si>
    <t xml:space="preserve">CHAT BOT - INC54924416 +5581988741153
Nome do Contato: IAM CARLOS BERNARDO DA SILVA
CNPJ/Razão Social: 24329811000107
CPF: 83235531491
Telefone: 81986085343
E-mail: Vendas@oficinabatalha.com.br
Usuário: BATALHA
Oportunidade: 
------
</t>
  </si>
  <si>
    <t>INC54924255</t>
  </si>
  <si>
    <t xml:space="preserve">CHAT BOT - INC54924255 +5551981632531
Nome do Contato: Iohana Schernokuj
CNPJ/Razão Social: 88460985000189
CPF: 03549680090
Telefone: 51999850234
E-mail: martin@ferramentascanoas.com.br
Usuário: FERCAN1904
Oportunidade: 
------
</t>
  </si>
  <si>
    <t>'+5551981632531</t>
  </si>
  <si>
    <t>MARTIM KLEIN</t>
  </si>
  <si>
    <t>martin@ferramentascanoas.com.br</t>
  </si>
  <si>
    <t>88460985000189 - FERRAMENTAS CANOAS LTDA</t>
  </si>
  <si>
    <t>INC54924236</t>
  </si>
  <si>
    <t xml:space="preserve">Chamado: INC54924236
 Nome do Contato: ALINE BARROS
 Usuário: ABARROSNP4
 Telefone: -
E-mail: aline.barros@bakerhughes.com
CNPJ / Razão Social: P1004550000060  - 
Fornecedor(a) entrou em contato para obter informações se pode acessar no portal pelo celular, a mesma foi orientada pelo atendimento.
Atenciosamente,
Equipe Petronect
</t>
  </si>
  <si>
    <t>ALINE DE FREITAS BARROS</t>
  </si>
  <si>
    <t>ABARROS4</t>
  </si>
  <si>
    <t>42876468200020 - Thermodyn SAS</t>
  </si>
  <si>
    <t>INC54924091</t>
  </si>
  <si>
    <t xml:space="preserve">CHAT BOT - INC54924091 +5522997957506
Nome do Contato: Elaine Fonseca da silva
CNPJ/Razão Social: 32483217000196
CPF: 11349699705
Telefone: 22997957506
E-mail: Contato@efxgroup.com.br
Usuário: ELAINE08
Oportunidade: 
------
</t>
  </si>
  <si>
    <t>'+5522997957506</t>
  </si>
  <si>
    <t>ELAINE FONSECA DA SILVA</t>
  </si>
  <si>
    <t>elaine@efxgroup.com.br</t>
  </si>
  <si>
    <t>32483217000196 - EFX GROUP TREINAMENTOS INDUSTRIAIS E SER</t>
  </si>
  <si>
    <t>INC54924001</t>
  </si>
  <si>
    <t>Reiniciar palavra passe</t>
  </si>
  <si>
    <t>Chamado criado pela área externa do Portal 
 Nome do Contato: Juliana 
 Usuário: JULIANA3 
 Telefone: 22370005097 
 E-mail: macedooffshore@gmail.com 
 CNPJ: 41750216000151 
 Razão Social  
 Boa tarde prezados.
Pode me ajudar a entrar na conta? 
Pode reinicializar minha senha para poder entrar no portal ? não estou conseguindo por aqui.</t>
  </si>
  <si>
    <t>INC54923660</t>
  </si>
  <si>
    <t xml:space="preserve">CHAT BOT - INC54923660 +5521981422430
Nome do Contato: Tiago Demolinari
CNPJ/Razão Social: 05842161000146
CPF: 08316853795
Telefone: 21981422430
E-mail: ygrem@ygrem.con
Usuário: YGREMMARC
Oportunidade: 
------
</t>
  </si>
  <si>
    <t>'+5521981422430</t>
  </si>
  <si>
    <t>LUBEC  PONTES WANDERLEY</t>
  </si>
  <si>
    <t>YGREMMARC</t>
  </si>
  <si>
    <t>ygrem@ygrem.com</t>
  </si>
  <si>
    <t>05842161000146 - YGREM MARCENARIA LTDA ME</t>
  </si>
  <si>
    <t>INC54923446</t>
  </si>
  <si>
    <t>CHAT BOT - INC54923446 +5535999936722
Nome do Contato: Lucas de Niemeyer Barreira Mancilha
CNPJ/Razão Social: 03721311000138 
CPF: 10287622673
Telefone: 35999936722
E-mail: lucas.mancilha@rioterra.org.br
Usuário: TELVAMALTE16
Oportunidade: 
------
TELVAMALTE16
VERA LUCIA DE ALMEIDA
69999847317 rioterra@rioterra.org.br 04.05.2025    Desbloqueado
Prezados(a), fornecedor(a) solicita desbloqueio, atualização de validade e atribuições de perfis de seu usuário: TELVAMALTE16</t>
  </si>
  <si>
    <t>'+5535999936722</t>
  </si>
  <si>
    <t>VERA LUCIA DE ALMEIDA</t>
  </si>
  <si>
    <t>TELVAMALTE16</t>
  </si>
  <si>
    <t>rioterra@rioterra.org.br</t>
  </si>
  <si>
    <t>03721311000138 - CENTRO DE ESTUDOS DA CULTURA E DO MEIO A</t>
  </si>
  <si>
    <t>INC54923239</t>
  </si>
  <si>
    <t>CHAT BOT - INC54923239 +5519981831238
Nome do Contato: Marisergio Anilton Manzatto
CNPJ/Razão Social: 15182865000193
CPF: 06856687893
Telefone: 19981831238
E-mail: marisergio_manzatto@hotmail.com
Usuário: MARISERGIO
Oportunidade: 
------
MARISERGIO
Marisergio Manzatto
19 9 81831238 marisergio_manzatto@hotmail.com 06.12.2022    Bloqueado
Prezados(a), fornecedor(a) solicita desbloqueio, atualização de validade e atribuições de perfis de seu usuário: MARISERGIO</t>
  </si>
  <si>
    <t>'+5519981831238 / 8001438445</t>
  </si>
  <si>
    <t>INC54923098</t>
  </si>
  <si>
    <t>Nome do Contato: Roberto Jose da Silva
Usuário: SISMARTINS
E-mail: comercial@sistermi.com.br 
Telefone: 27999215116
CNPJ/Razão Social: 27535996000196 - SISTERMI LOCACAO DE MAQUINAS E EQUIPAMEN
Fornecedor solicita desbloqueio do usuário SISMARTINS</t>
  </si>
  <si>
    <t>Fernanda Martins</t>
  </si>
  <si>
    <t>SISMARTINS</t>
  </si>
  <si>
    <t>comercial@sistermi.com.br</t>
  </si>
  <si>
    <t>27535996000196 - SISTERMI LOCACAO DE MAQUINAS E EQUIPAMEN</t>
  </si>
  <si>
    <t>INC54922387</t>
  </si>
  <si>
    <t>Nome do Contato: Verônica Alves Tavares Mendonsa
Usuário: VERONMENDO54
E-mail: afservicoetransporte@gmail.com 
Telefone: 22999060354
CNPJ/Razão Social: 55160565000128 A&amp;F SERVICOS E LOCACOES LTDA
Fornecedora solicita desbloqueio do usuário VERONMENDO54</t>
  </si>
  <si>
    <t>INC54922260</t>
  </si>
  <si>
    <t>Nome do Contato: IAM CARLOS BERNARDO DA SILVA
Usuário: BATALHA
E-mail: vendas@oficinabatalha.com.br 
Telefone: 81986085343
CNPJ/Razão Social: 24329811000107 - EDNEIA DE CASTRO METALURGICA ME
Fornecedor não consegue redefinir a senha e acessar o portal, pois ao fazer login com a senha recebida por e-mail o portal solicita realizar a verificação de identidade com o código MFA. Porém o fornecedor informa que o código demora mais de 15 minutos em chegar, e ao redigitar os dados e colocar o último código recebido o portal volta para a página inicial e não abre a tela para criar a nova senha.
Por favor, verifiquem</t>
  </si>
  <si>
    <t>INC54922212</t>
  </si>
  <si>
    <t xml:space="preserve">Nome do Contato: Juliana Hayden
Usuário: USR0069762
Telefone: 92 3083-9980 
E-mail: juliana@agenciae.com.br 
CNPJ / Razão Social: 69285104000196
Fornecedor solicita revalidação de seu usuário USR0069762, para atualização de dados. </t>
  </si>
  <si>
    <t>Juliana  Hayden</t>
  </si>
  <si>
    <t>juliana@agenciae.com.br</t>
  </si>
  <si>
    <t>INC54922066</t>
  </si>
  <si>
    <t>Nome do Contato: Geraldo Luiz Alves de Azeredo
Usuário: GERALDOASP
E-mail: geraldo.azeredo@macaefibra.com.br 
Telefone: 22997490445
CNPJ/Razão Social: 23967561000160 MACAÉ FIBRA COMERCIO E SERVIÇOS LTDA
Fornecedor solicita desbloqueio do usuário GERALDOASP</t>
  </si>
  <si>
    <t>GERALDO LUIZ  ALVES DE AZEREDO</t>
  </si>
  <si>
    <t>GERALDOASP</t>
  </si>
  <si>
    <t>geraldo.azeredo@macaefibra.com.br</t>
  </si>
  <si>
    <t>23967561000160 MACAÉ FIBRA COMERCIO E SERVIÇOS LTDA</t>
  </si>
  <si>
    <t>INC54921884</t>
  </si>
  <si>
    <t xml:space="preserve">Nome do Contato: CATERINE  -- - VANDERLEI SERGIO CARDOSO
Usuário: V.BELPRINT
Telefone: (11) 947307363
E-mail: katarine@graficabelprint.com.br
CNPJ / Razão Social: 04866848000159 BELPRINT COMERCIO E SERVICOS LTDA
Oportunidade:
Descrição do problema: Segue o resumo do atendimento: Sra. Katerine entrou em contato informando que mesmo redefinindo senha aparece a mensagem de LOGIN/SENHA INVÁLIDO. Orientada a aguardar o setor responsável.
</t>
  </si>
  <si>
    <t>VANDERLEI SERGIO  CARDOSO</t>
  </si>
  <si>
    <t>V.BELPRINT</t>
  </si>
  <si>
    <t>katarine@graficabelprint.com.br</t>
  </si>
  <si>
    <t>04866848000159 BELPRINT COMERCIO E SERVICOS LTDA</t>
  </si>
  <si>
    <t>INC54921794</t>
  </si>
  <si>
    <t>QUESTIONARIO DE AVALIAÇÃO.</t>
  </si>
  <si>
    <t>Chamado criado pelo área interna do Portal 
 Nome do Contato: FERNANDO MESSIAS VIEIRA DOS SANTOS 
 Usuário: FERNANDOCONS 
 Telefone: (38) 99218-9137 
 E-mail: contato@consuldoc.com.br 
 CNPJ: 15626562000112 
 Razão Social CONSULDOC CONSULTORIA E ASSESSORIA LTDA 
 Prezados, estou realizando o Cadastro de Fornecedor e estou no Questionário para Avaliação Econômico. Nossos dados estão corretos e conforme os documentos em anexo, porém não estou conseguindo gravar, pois está informando que os dados estão incorretos. Preciso da orientação de vocês para darmos continuidade o mais rápido possível. Em anexo, segue as informações sobre o erro. Aguardamos retorno urgente. Desde já agradeço. Atenciosamente, 
Marcus Tadeu
Supervisor de Relacionamento e Qualidade</t>
  </si>
  <si>
    <t xml:space="preserve">8001438484 </t>
  </si>
  <si>
    <t>INC54921589</t>
  </si>
  <si>
    <t>Nome do Contato: Ederson Varussa Me
Usuário: VARUSSA1594
E-mail: varussa.planejados@gmail.com 
Telefone: 1935248127
CNPJ/Razão Social: 21734619000108
Fornecedor solicita desbloqueio do usuário VARUSSA1594</t>
  </si>
  <si>
    <t>EDERSON  VARUSSA</t>
  </si>
  <si>
    <t>VARUSSA1594</t>
  </si>
  <si>
    <t>varussa.planejados@gmail.com</t>
  </si>
  <si>
    <t>21734619000108</t>
  </si>
  <si>
    <t>INC54921467</t>
  </si>
  <si>
    <t>Chamado:  INC54921467
 Nome do Contato: PSICOCLINICAPARANA PSICOPAR
 Usuário: PSICOPAR
 Telefone: 413076-5400
E-mail: psicoclinicapr@yahoo.com.br
CNPJ / Razão Social: 79081188000108  /  PSICOCLINICAPARANA PSICOPAR
Fornecedor(a) solicitou auxilio para o desbloqueio de seu usuário que expirou no dia 06/12/2022 e aderi ao perfil de administrador. 
PSICOPAR
PSICOCLINICAPARANA PSICOPAR
413076-5400 06.12.2022    Bloqueado Exibir  psicoclinicapr@yahoo.com.br</t>
  </si>
  <si>
    <t>PSICOCLINICAPARANA  PSICOPAR</t>
  </si>
  <si>
    <t>PSICOPAR</t>
  </si>
  <si>
    <t>psicoclinicapr@yahoo.com.br</t>
  </si>
  <si>
    <t xml:space="preserve">79081188000108  /  - </t>
  </si>
  <si>
    <t>INC54921410</t>
  </si>
  <si>
    <t>CHAT BOT - INC54921410 e15f208b-1f56-a4a9-496a-7f612f55b8bf
Nome do Contato: kathllen olivera santos
CNPJ/Razão Social: 82429556000162
CPF: 44799514822
Telefone: 1148620719
E-mail: kathllen.oliveira@cenofisco.com.br
Usuário: USR0066150
Oportunidade: 
------
USR0066150
KATHLLEN OLIVEIRA SANTOS
11 48620719 kathllen.oliveira@cenofisco.com.br 07.09.2025    Desbloq. (Senha Expirada)
Prezados(a), fornecedor(a) solicita desbloqueio, atualização de validade e atribuições de perfis de seu usuário: USR0066150</t>
  </si>
  <si>
    <t>e15f208b-1f56-a4a9-496a-7f612f55b8bf</t>
  </si>
  <si>
    <t>KATHLLEN OLIVEIRA SANTOS</t>
  </si>
  <si>
    <t>kathllen.oliveira@cenofisco.com.br</t>
  </si>
  <si>
    <t>82429556000162 - CENOFISCO EDITORA DE PUBLICACOES TRIBUTA</t>
  </si>
  <si>
    <t>INC54921347</t>
  </si>
  <si>
    <t>Chamado criado pelo área interna do Portal 
 Nome do Contato: RODOLFO BENEVIDES GONCALVES 
 Usuário: RODOLFO1978 
 Telefone: 81998836171 
 E-mail: rodolfo_bene@hotmail.com 
 CNPJ: 57147484000113 
 Razão Social BENEVIDES AGÊNCIA DE TREINAMENTOS E SERV 
cadastro de Fornecedor</t>
  </si>
  <si>
    <t xml:space="preserve">8001438357 </t>
  </si>
  <si>
    <t>RODOLFO BENEVIDES GONCALVES</t>
  </si>
  <si>
    <t>RODOLFO1978</t>
  </si>
  <si>
    <t>rodolfo_bene@hotmail.com</t>
  </si>
  <si>
    <t xml:space="preserve">57147484000113 - BENEVIDES AGÊNCIA DE TREINAMENTOS E SERV </t>
  </si>
  <si>
    <t>INC54921321</t>
  </si>
  <si>
    <t>Nome do Contato: Fernanda Silva 
Usuário: RI.PETROTITE
Telefone: 11 50119549 
E-mail: petrotite@petrotite.com.br 
CNPJ / Razão Social: 01507285000114
Fornecedor solicita auxilio para acesso ao portal. pois ao tentar realizar a redefinição e solicitado a confirmação de identidade, pois ao colocar o código volta para tela inicial do portal.
Foi orientada a realizar limpeza de dados, e realizar o procedimento novamente. 
E a fornecedor solicitou a mudança do e-mail, porem foi orientada que o pode ser realizada a mudança o próprio fornecedor ou gerar um novo usuário através da carta modelo.</t>
  </si>
  <si>
    <t>Ricardo  Lago Oliveira</t>
  </si>
  <si>
    <t>RI.PETROTITE</t>
  </si>
  <si>
    <t>petrotite@petrotite.com.br</t>
  </si>
  <si>
    <t>01507285000114 PETROTITE DO BRASIL LTDA - ME</t>
  </si>
  <si>
    <t>INC54921237</t>
  </si>
  <si>
    <t>Nome do Contato: Gustavo Henrique Rodrigues Quintiliano
Usuário: GQASTRAL
E-mail: gquinti@me.com 
Telefone: 21988811060
CNPJ/Razão Social: 08356001000185  - GQ SERVIÇOS EMPRESARIAIS LTDA
Fornecedor solicita desbloqueio do usuário GQASTRAL</t>
  </si>
  <si>
    <t>Gustavo  Quintiliano</t>
  </si>
  <si>
    <t>GQASTRAL</t>
  </si>
  <si>
    <t>gquinti@me.com</t>
  </si>
  <si>
    <t>08356001000185  - GQ SERVIÇOS EMPRESARIAIS LTDA</t>
  </si>
  <si>
    <t>INC54920679</t>
  </si>
  <si>
    <t xml:space="preserve">CHAT BOT - INC54920679 +5521978822551
Nome do Contato: joao pedro guedes machado
CNPJ/Razão Social: 02281654000166
CPF: 17603686792
Telefone: 21978822551
E-mail: comercial@parafusospolifix.com.br
Usuário: DISPEX001838
Oportunidade: 
------
</t>
  </si>
  <si>
    <t>'+5521978822551</t>
  </si>
  <si>
    <t>ADEMAR ROMERO VALLE</t>
  </si>
  <si>
    <t>adm@parafusospolifix.com.br</t>
  </si>
  <si>
    <t>02281654000166 - POLIFIX ENGENHARIA MONTAGEM INDUSTRIA E</t>
  </si>
  <si>
    <t>INC54920639</t>
  </si>
  <si>
    <t>Famílias do CRC Emitido</t>
  </si>
  <si>
    <t>Chamado criado pelo área interna do Portal 
 Nome do Contato: GABRIEL DE ABREU CASTELLAR 
 Usuário: C.GABRIEL 
 Telefone: 1935410324 
 E-mail: engenharia3@sealvalve.com.br 
 CNPJ: 18127028000150 
 Razão Social SEAL VALVE VALVULAS E EQUIPAMENTOS INDUS 
 Olá bom dia!
Verifiquei que foi emitido o novo CRC hoje! Porém tenho algumas dúvidas a respeito das famílias atreladas à ele;
-&gt; Nós já ofertamos retenção Dupla portinhola para vocês, os pedidos referência são: 4513982401 / 4513932580 /  e 4514812934. Gostaríamos que estivesse mencionando no CRC.
-&gt; Para a família de válvula globo de controle, vi que consta apenas 900Lbs com faixa de 8 a 12pol. Este 900Lbs é apenas essa classe ou de 150 a 900lbs? Contudo, conseguimos ofertar de 150 a 2500Lbs, de 1 Polegada até 16 Polegadas. Este, apesar de não possuir pedidos, já foram ofertados em oportunidades antigas.</t>
  </si>
  <si>
    <t>GABRIEL DE ABREU CASTELLAR</t>
  </si>
  <si>
    <t>C.GABRIEL</t>
  </si>
  <si>
    <t>engenharia3@sealvalve.com.br</t>
  </si>
  <si>
    <t>18127028000150 - SEAL VALVE VALVULAS E EQUIPAMENTOS INDUS</t>
  </si>
  <si>
    <t>INC54920533</t>
  </si>
  <si>
    <t>CHAT BOT - INC54920533 d669ddd9-af9d-582f-bcd0-831d6d16fece
Nome do Contato: Heitor Nalon Pereira
CNPJ/Razão Social: 42415585000150
CPF: 11148856650
Telefone: 32999505929
E-mail: Alamedaplantas@gmail.com
Usuário: HEITORNALON
Oportunidade: 
------
HEITORNALON
HEITOR NALON PEREIRA
32999154793 alamedaplantas@gmail.com 16.09.2023    Bloq. (Senha Expirada) Exibir 
Prezados(a), fornecedor(a) solicita desbloqueio, atualização de validade e atribuições de perfis de seu usuário: HEITORNALON</t>
  </si>
  <si>
    <t>d669ddd9-af9d-582f-bcd0-831d6d16fece</t>
  </si>
  <si>
    <t>HEITOR NALON PEREIRA</t>
  </si>
  <si>
    <t>HEITORNALON</t>
  </si>
  <si>
    <t>alamedaplantas@gmail.com</t>
  </si>
  <si>
    <t>42415585000150 - ALAMEDA PLANTAS COMÉRCIO DE MUDAS LTDA</t>
  </si>
  <si>
    <t>INC54920506</t>
  </si>
  <si>
    <t>Chamado: INC54920506
 Nome do Contato: Claudio Sampaio
 Usuário: CAPSBOLSAS
 Telefone:  - 
E-mail: capsbolsas@gmail.com
CNPJ / Razão Social: 54697013000190  /  - 
Fornecedor(a) solicita auxilio para o desbloqueio de seu usuário que expirou no dia 07/09/2025 e aderi ao perfil de administrador.
CAPSBOLSAS
Claudio Sampaio
  07.09.2025    Desbloqueado Exibir  capsbolsas@gmail.com</t>
  </si>
  <si>
    <t>8001438422</t>
  </si>
  <si>
    <t xml:space="preserve"> Claudio  Sampaio</t>
  </si>
  <si>
    <t>CAPSBOLSAS</t>
  </si>
  <si>
    <t>capsbolsas@gmail.com</t>
  </si>
  <si>
    <t xml:space="preserve">54697013000190  /  - </t>
  </si>
  <si>
    <t>INC54920464</t>
  </si>
  <si>
    <t>CHAT BOT - INC54920464 +5551981632531
Nome do Contato: Iohana Schernokuj Oliveira
CNPJ/Razão Social: 88460985000189
CPF: 03549680090
Telefone: 51999850234
E-mail: vendas5@ferramentascanoas.com.br
Usuário: FERCAN1904
Oportunidade: 
------
FERCAN1904
Martim Klein
51 34723150 martin@ferramentascanoas.com.br 06.12.2022    Bloqueado
Prezados(a), fornecedor(a) solicita desbloqueio, atualização de validade e atribuições de perfis de seu usuário: FERCAN1904</t>
  </si>
  <si>
    <t>INC54919884</t>
  </si>
  <si>
    <t xml:space="preserve">CHAT BOT - INC54919884 5bb5d5a4-84b1-cf0d-eb23-e30438b6b1ec
Nome do Contato: NIANE ALVES DE SANTANA
CNPJ/Razão Social: 00314192000100
CPF: 00287939197
Telefone: 24988576106
E-mail: orcamento@easeengenharia.com.br
Usuário: MARIO.EASE
Oportunidade: 
------
</t>
  </si>
  <si>
    <t>5bb5d5a4-84b1-cf0d-eb23-e30438b6b1ec</t>
  </si>
  <si>
    <t>SERGIO FERREIRA</t>
  </si>
  <si>
    <t>MARIO.EASE</t>
  </si>
  <si>
    <t>orcamento@easeengenharia.com.br</t>
  </si>
  <si>
    <t>00314192000100 - EASE ENGENHARIA LTDA</t>
  </si>
  <si>
    <t>INC54919601</t>
  </si>
  <si>
    <t>BID Transporte</t>
  </si>
  <si>
    <t>Oportunidade TRANSPORTE 
 Chamado criado pelo área interna do Portal 
 Nome do Contato: RUBIA FRAGA ALVES 
 Usuário: RUBIAFRAGA 
 Telefone: 48996906190 
 E-mail: RUBIAFRAGAALVES@GMAIL.COM 
 CNPJ: 05399163000102 
 Razão Social E.K. DE SOUZA &amp; CIA LTDA 
 Bom Dia Senhores 
Realizamos o cadastro na PETRONECT,
Gostaríamos de saber sobre a efetivação ?
Aguardamos 
Muito Obrigada</t>
  </si>
  <si>
    <t>INC54919115</t>
  </si>
  <si>
    <t>Não consigo acessa aba cadastro petrobras</t>
  </si>
  <si>
    <t>Chamado criado pelo área interna do Portal 
 Nome do Contato: BRUNO CHAVES KAHN 
 Usuário: BRUNOCKAHN 
 Telefone: 2135750212 
 E-mail: bruno.kahn@nov.com 
 CNPJ: 13812133000376 
 Razão Social NOV FLEXIBLES EQUIPAMENTOS E SERVIÇOS LT 
 Não consigo acessa aba cadastro petrobras</t>
  </si>
  <si>
    <t>BRUNO CHAVES KAHN</t>
  </si>
  <si>
    <t>BRUNOCKAHN</t>
  </si>
  <si>
    <t>bruno.kahn@nov.com</t>
  </si>
  <si>
    <t>INC54904691</t>
  </si>
  <si>
    <t>SENHA</t>
  </si>
  <si>
    <t>Chamado criado pela área externa do Portal 
 Nome do Contato: CARMELO MACCAGNANO 
 Usuário: MR 
 Telefone: (11)99999-04-07 
 E-mail: mrmangeura@uol.com.br 
 CNPJ: 02.986.320.0001-98 
 Razão Social MR MANUTENÇÃO DE EQUIPAMENTOS LTDA - ME 
 POR FAVOR ME INFORMEM O PASSO A PASSO PARA ALTERAR SENHA.
AGUARDO.
OBRIGADO.
CARMELO.</t>
  </si>
  <si>
    <t xml:space="preserve">CARMELO  MACCAGNANO </t>
  </si>
  <si>
    <t>RIGAMONTI</t>
  </si>
  <si>
    <t>mrmangeura@uol.com.br</t>
  </si>
  <si>
    <t>02986320000198 - MR MANUTENÇÃO DE EQUIPAMENTOS LTDA. ME</t>
  </si>
  <si>
    <t>INC54883671</t>
  </si>
  <si>
    <t>Espelhamento da empresa</t>
  </si>
  <si>
    <t>Nome do Contato: Ricardo Roque
Usuário: H8279-GL
E-mail: h8279-gl@accor.com 
Telefone: 1148560080
CNPJ/Razão Social: 80732928003115 ATRIO HOTEIS S.A.
Fornecedor solicita geração do código SAP e espelhamento dos dados da empresa para realizar a adesão da empresa ao portal ARIBA</t>
  </si>
  <si>
    <t xml:space="preserve">8001438354 </t>
  </si>
  <si>
    <t>RICARDO  ROQUE DE SOUZA</t>
  </si>
  <si>
    <t>H8279-GL</t>
  </si>
  <si>
    <t>h8279-gl@accor.com</t>
  </si>
  <si>
    <t>80732928003115 ATRIO HOTEIS S.A.</t>
  </si>
  <si>
    <t>INC54883526</t>
  </si>
  <si>
    <t>Alteração de dados bancários</t>
  </si>
  <si>
    <t>Oportunidade ALTERAÇÃO 
 Chamado criado pelo área interna do Portal 
 Nome do Contato: DANIELA DE SOUZA LIMA BULGARELLI 
 Usuário: BULGARELLI 
 Telefone: 19974148698 
 E-mail: madeirasfort.daniela@gmail.com 
 CNPJ: 15288938000126 
 Razão Social FORTMAN MADEIRA E MATERIAL PARA CONSTRUC 
 Banco Sicred
Agencia: 0730
Conta: 41782-0
CNPJ: 15.288.938.0001-26</t>
  </si>
  <si>
    <t>DANIELA DE SOUZA LIMA BULGARELLI</t>
  </si>
  <si>
    <t>BULGARELLI</t>
  </si>
  <si>
    <t>madeirasfort.daniela@gmail.com</t>
  </si>
  <si>
    <t>INC54882809</t>
  </si>
  <si>
    <t>Chamado:  INC54882809
 Nome do Contato: JOZIMAR LIMA DA SILVA
 Usuário: JOZIMARLIMA
 Telefone: 21 99614 7334
E-mail: jozimar@expansaodobrasil.com.br
CNPJ / Razão Social: 09602663000150   /  -
Fornecedor(a) solicita auxilio para o desbloqueio de seu usuário que expirou no dia 28/09/2025 e aderi ao perfil de administrador. 
JOZIMARLIMA
JOZIMAR LIMA DA SILVA
21 99614 7334 28.09.2025    Desbloq. (Senha Expirada) Exibir  jozimar@expansaodobrasil.com.br</t>
  </si>
  <si>
    <t>8001438342</t>
  </si>
  <si>
    <t>INC54882634</t>
  </si>
  <si>
    <t xml:space="preserve">
Nome de contato: FRANKLIN VENTURA RIBEIRO
Usuário: FRANKLIN01
Telefone: (21)2724-2730    
E-mail: contatomundodoacrilico@gmail.com 
CNPJ/Razão social: 03954733000153 F.F COMERCIO E SERVIÇOS EMPRESARIAS EIRE
Fornecedor solicita desbloqueio do usuário e a atribuição do perfil de admnistrador, o mesmo encontra-se expirado.
FRANKLIN VENTURA RIBEIRO
(21)2724-2730 28.01.2024 Bloq. (Senha Expirada)  contatomundodoacrilico@gmail.com 
FRANKLIN01
</t>
  </si>
  <si>
    <t>Franklin Ribeiro</t>
  </si>
  <si>
    <t>contatomundodoacrilico@gmail.com</t>
  </si>
  <si>
    <t>03954733000153 - F.F COMERCIO E SERVIÇOS EMPRESARIAS EIRE</t>
  </si>
  <si>
    <t>INC54882489</t>
  </si>
  <si>
    <t xml:space="preserve">Número da contabilidade </t>
  </si>
  <si>
    <t xml:space="preserve">Chamado:  INC54882489
Fornecedor(a) entrou em contato solicitando o número do telefone da contabilidade da Petronect. O mesmo foi informado que não temos acesso.
Atenciosamente,
Equipe Petronect
</t>
  </si>
  <si>
    <t>INC54882420</t>
  </si>
  <si>
    <t>Chamado criado pela área externa do Portal 
 Nome do Contato: Gabriel Rocha Da Costa 
 Usuário: GABILEU 
 Telefone: 92993514714 
 E-mail: gdmengenharia2@gmail.com 
 CNPJ: 55936233000192 
 Razão Social GDM ENGENHARIA E SERVIÇOS 
 Nao consigo acessar a conta</t>
  </si>
  <si>
    <t>Gabriel Rocha</t>
  </si>
  <si>
    <t>GABILEU</t>
  </si>
  <si>
    <t>gdmengenharia2@gmail.com</t>
  </si>
  <si>
    <t xml:space="preserve">55936233000192 - G. R. DA COSTA LTDA </t>
  </si>
  <si>
    <t>INC54881491</t>
  </si>
  <si>
    <t>CHAT BOT - INC54881491 +5542984132879
Nome do Contato: guilherme dos santos pacheco
CNPJ/Razão Social: 52364964000112
CPF: 10897924924
Telefone: 42984132879
E-mail: guisan.p@hotmail.com
Usuário: 14587916G
Oportunidade: 
------
14587916G
guilherme pacheco
  guisan.p@hotmail.com 16.11.2025    Desbloqueado
Prezados(a), fornecedor solicita desbloqueio, atualização de validade e atribuições de perfis de seu usuário: 14587916G</t>
  </si>
  <si>
    <t>'+5542984132879</t>
  </si>
  <si>
    <t>guilherme pacheco</t>
  </si>
  <si>
    <t>14587916G</t>
  </si>
  <si>
    <t>guisan.p@hotmail.com</t>
  </si>
  <si>
    <t xml:space="preserve">52364964000112 - </t>
  </si>
  <si>
    <t>INC54881419</t>
  </si>
  <si>
    <t>CHAT BOT - INC54881419 +5562999280972
Nome do Contato: Jaine Rodrigues de Souza
CNPJ/Razão Social: 07831813000172
CPF: 63385430100
Telefone: 62999280972
E-mail: jaine.consultora@gmail.com
Usuário: JAINE.SOUZA
Oportunidade: 
------
JAINE.SOUZA
Jaine RodriguesdeSouza
  jaine.auditora@gmail.com 06.12.2022    Bloqueado
Prezados(a), fornecedor solicita desbloqueio, atualização de validade e atribuições de perfis de seu usuário: JAINE.SOUZA</t>
  </si>
  <si>
    <t>'+5562999280972 / 8001438331</t>
  </si>
  <si>
    <t>Jaine RodriguesdeSouza</t>
  </si>
  <si>
    <t>JAINE.SOUZA</t>
  </si>
  <si>
    <t>jaine.auditora@gmail.com</t>
  </si>
  <si>
    <t xml:space="preserve">07831813000172 - </t>
  </si>
  <si>
    <t>INC54881166</t>
  </si>
  <si>
    <t>Chamado: INC54881166
 Nome do Contato: Carlos Augusto Batalha
 Usuário: USR0061252
 Telefone: 11-985361050 / 11-30498300
E-mail: carlos.batalha@ul.com
CNPJ / Razão Social: 02839483000148 - UL DO BRASIL LTDA
Fornecedor(a) solicitou auxilio para o desbloqueio de seu usuário que expirou no dia 06/12/2022 e aderi  ao perfil de administrador. 
USR0061252
Carlos Augusto Batalha
11-985361050 / 11-30498300 06.12.2022    Bloqueado Exibir  carlos.batalha@ul.com</t>
  </si>
  <si>
    <t xml:space="preserve">8001438285 </t>
  </si>
  <si>
    <t>Carlos  Augusto Batalha</t>
  </si>
  <si>
    <t>carlos.batalha@ul.com</t>
  </si>
  <si>
    <t xml:space="preserve"> 02839483000148 - UL DO BRASIL LTDA</t>
  </si>
  <si>
    <t>INC54880544</t>
  </si>
  <si>
    <t>Nome do Contato: Armazém Náutico Ltda
Usuário: ARM40022
E-mail: contatos@armazemnautico.com.br 
Telefone: 21989003887
CNPJ/Razão Social: 10405398000108 ARMAZEM NAUTICO LTDA
Fornecedor solicita desbloqueio do usuário ARM40022</t>
  </si>
  <si>
    <t>ArmazemNautico LTDA</t>
  </si>
  <si>
    <t>contatos@armazemnautico.com.br</t>
  </si>
  <si>
    <t>10405398000108 ARMAZEM NAUTICO LTDA</t>
  </si>
  <si>
    <t>INC54880251</t>
  </si>
  <si>
    <t>ISO - Critério econômico</t>
  </si>
  <si>
    <t>Chamado criado pelo área interna do Portal 
 Nome do Contato: CARLOS AUGUSTO POLI 
 Usuário: CA.HTOSP 
 Telefone: 11 55054060 
 E-mail: comercial@hpt.com.br 
 CNPJ: 04301551000146 
 Razão Social HPT TORRES DE RESFRIAMENTO LTDA - EPP 
 Prezados , bom dia
Tomamos a liberdade de enviar nossa ISO 9001 , retificada em um pequeno detalhe , após observação da Petrobras.
Como não temos o critério tecnico aberto para inclusão da mesma , recorremos a este canal para agilizar.
Nossa ISO 9001 original foi enviada em MAIO/2025 , e só em DEZ./2025 fomos informados do detalhe que travou a aprovação ...
Muito obrigado ( se pudermos incluir no criterio tecnico , melhor)</t>
  </si>
  <si>
    <t xml:space="preserve">8001438309 </t>
  </si>
  <si>
    <t>INC54880202</t>
  </si>
  <si>
    <t>Participação em evento</t>
  </si>
  <si>
    <t>Chamado criado pela área externa do Portal 
 Nome do Contato: Enzo Simões 
 Usuário: ESIMOES 
 Telefone: 31983361583 
 E-mail: esimoes@realnetworks.com 
 CNPJ: 07976444662 
 Razão Social REALNETWORKS 
 Bom dia, 
Tentei cadastrar meu interesse em participar do evento 7004535171 e nao foi possível a pagina permanece carregando e não registra. Fui pelo caminho inverso e criei uma conta com meu nome e CPF porém nao me da a opção de participar do evento da mesma forma. Pode me ajudar?</t>
  </si>
  <si>
    <t>ENZO SIMOES GRAMISCELLI FERREIRA DE MELLO</t>
  </si>
  <si>
    <t>ESIMOES</t>
  </si>
  <si>
    <t>esimoes@realnetworks.com</t>
  </si>
  <si>
    <t>05772060000146 - REAL NETWORKS</t>
  </si>
  <si>
    <t>INC54880043</t>
  </si>
  <si>
    <t>Chamado:  INC54880043
 Nome do Contato: Elizandra Flores
 Usuário: CLFLORES2213
 Telefone: -
E-mail: clflores.work@gmail.com
CNPJ / Razão Social: 59184729000108 /  - 
Fornecedor(a) solicita o desbloqueio de seu usuário que expirou no dia 25/05/2025 e aderi ao perfil de administrador.
CLFLORES2213
Elizandra Flores
  25.05.2025    Desbloqueado Exibir  clflores.work@gmail.com</t>
  </si>
  <si>
    <t>Elizandra  Flores</t>
  </si>
  <si>
    <t>CLFLORES2213</t>
  </si>
  <si>
    <t>clflores.work@gmail.com</t>
  </si>
  <si>
    <t xml:space="preserve">9184729000108 /  - </t>
  </si>
  <si>
    <t>INC54878779</t>
  </si>
  <si>
    <t>Nome de contato: ROBERTO CAMPOS REIS
Usuário: RC.BITELA
Telefone: 71987009645   
E-mail: bitela.comercio@uol.com.br  
CNPJ/Razão social: 02277651000159 BITELA COMÉRCIO INTERNACIONAL LTDA.
Fornecedor solicita desbloqueio do usuário e a atribuição do perfil de admnistrador, o mesmo encontra-se expirado.
ROBERTO CAMPOS REIS
71987009645 26.10.2025 Desbloq. (Senha Expirada)  bitela.comercio@uol.com.br 
RC.BITELA</t>
  </si>
  <si>
    <t>INC54878721</t>
  </si>
  <si>
    <t>CHAT BOT - INC54878721 +5531994224326
Nome do Contato: Wagner Ulhoa
CNPJ/Razão Social: 05909318000103
CPF: 60923156615
Telefone: 31999819885
E-mail: wagner@redecall.com.br
Usuário: REDECALL
Oportunidade: 
------
REDECALL
wagner ulhoa
  wagner@redecall.com.br 28.12.2025    Desbloq. (Senha Expirada)
Prezados(a), fornecedor solicita desbloqueio, atualização de validade e atribuições de perfis de seu usuário: REDECALL</t>
  </si>
  <si>
    <t>'+5531994224326</t>
  </si>
  <si>
    <t>wagner ulhoa</t>
  </si>
  <si>
    <t>REDECALL</t>
  </si>
  <si>
    <t>wagner@redecall.com.br</t>
  </si>
  <si>
    <t xml:space="preserve">05909318000103 - </t>
  </si>
  <si>
    <t>INC54878457</t>
  </si>
  <si>
    <t>Validação de ECNPJ / Atribuir perfil de cotação</t>
  </si>
  <si>
    <t>Chamado: INC54878457
Nome: YURI DA SILVA MAIA
Usuário: USR0071022
E-mail; yuri@institutocidadeviva.org.br
Telefone: 2122333690 | 21999550296
02403554000165 - INSTITUTO CULTURAL CIDADE VIVA
Bom dia, HD.
Favor priorizar este proativo. O fornecedor acima está precisando de suporte para validação do e-CNPJ e para atribuição do perfil de cotação.</t>
  </si>
  <si>
    <t>YURI DA SILVA MAIA</t>
  </si>
  <si>
    <t>yuri@institutocidadeviva.org.br</t>
  </si>
  <si>
    <t>02403554000165 - INSTITUTO CULTURAL CIDADE VIVA</t>
  </si>
  <si>
    <t>INC54878377</t>
  </si>
  <si>
    <t>outraos</t>
  </si>
  <si>
    <t xml:space="preserve">Fornecedor ligou solicitando o auxilio, mas o mesmo não sabia as informação necessárias para vali8dação de segurança
</t>
  </si>
  <si>
    <t>INC54854040</t>
  </si>
  <si>
    <t>BLOQUEIO DO USUARIO</t>
  </si>
  <si>
    <t>Chamado criado pelo área interna do Portal 
 Nome do Contato: ERIVELTO SILVA DAL COL 
 Usuário: 28911309 
 Telefone: 027995280316 
 E-mail: compras02.espsantohospitalares@gmail.com 
 CNPJ: 28911309000152 
 Razão Social ASCLE BRASIL LTDA 
 Bom dia,
Estamos com acesso limitado, devido algum bloqueio, solicito suporte para liberação .</t>
  </si>
  <si>
    <t xml:space="preserve">8001438290 </t>
  </si>
  <si>
    <t>INC54852367</t>
  </si>
  <si>
    <t>TECNÓLOGO  DESENHO   PROJETOS</t>
  </si>
  <si>
    <t>Chamado criado pela área externa do Portal 
 Nome do Contato: Renato cesar rodrigues chaves 
 Usuário: JHONWESTCUCO 
 Telefone: 19.983092712 
 E-mail: forcacontrole11@gmail.com 
 CNPJ: 10.974.455.0001-61 
 Razão Social CLABDD 
 VENHO A VOSSA EXCELENCIA EXCELENTÍSSIMA PETRONECT CADASTRO PETROBRAS S.A. 
PLATAFORMA PETRONECT ..TROCO A SENHA ..LOGO APOS BLOQUEIA A SENHA,..INFORMA SENHA INVALIDAE ..,REQUERO MOTIVO DO BLOQUEIO..,SOLICITO ACESSO A PLATAFORMA.</t>
  </si>
  <si>
    <t>RENATO CESAR RODRIGUES CHAVES</t>
  </si>
  <si>
    <t>JHONWESTCUCO</t>
  </si>
  <si>
    <t>forcacontrole11@gmail.com</t>
  </si>
  <si>
    <t>10974455000161 - INSPETOR DE FABRICAÇÃO CONSTRUÇÃO E MONTAGEM ELETROTECNICA.</t>
  </si>
  <si>
    <t>INC54842472</t>
  </si>
  <si>
    <t>INC54843629</t>
  </si>
  <si>
    <t xml:space="preserve">Nome do Contato: DANIEL IZAIAS NOGUEIRA JUNIOR
Usuário: 01.ALQUIMIA
Telefone: (31)3476-7778 
E-mail: alquimia@alquimiacientifica.com.br 
CNPJ / Razão Social: 06927518000151
Fornecedor solicita o revalidar de seu usuário para atualizar informações cadastrais. </t>
  </si>
  <si>
    <t>DANIEL  IZAIAS NOGUEIRA JUNIOR</t>
  </si>
  <si>
    <t>alquimia@alquimiacientifica.com.br</t>
  </si>
  <si>
    <t>06927518000151 - ALQUIMIA CIENTIFICA PRODUTOS PARA</t>
  </si>
  <si>
    <t>ENC: SDDI x Petronect - totalidade das bases</t>
  </si>
  <si>
    <t>Boa tarde a todos ! 
Pedi para Conformidade analisar e foram encontradas divergências com as informações que hoje são consultadas no HanaBO do cadastro. 
Precisamos analisar o assinto com atenção. As informações do HAnaBo são consultadas pelo TCU e demais orgãos de controle.
Seguem comentários da Conformidade e em anexo relatório comparativo gerado pelo Jorge.
Semana que vêm estou saindo de férias, então estou incluindo na cópia Jorge Rabello que pode validar com as informações recuperadas pela Conformidade. 
Atenciosamente,
Dino Octavio Junior
SUPRIMENTOS/RMF/DQF/GCF</t>
  </si>
  <si>
    <t>INC54659160</t>
  </si>
  <si>
    <t>INC54841122</t>
  </si>
  <si>
    <t xml:space="preserve">Indisponibilidade de Acesso  Hana BO </t>
  </si>
  <si>
    <t>Prezados, bom dia.
 Ao tentar acessar o Hana BO, aparece a mensagem conforme imagem abaixo. Por gentileza, poderiam verificar?
Desde já agradeço o apoio e fico à disposição para quaisquer informações adicionais.
Atenciosamente,
Carolina Costa,
Telefone:  +55 (61) 99338-8197</t>
  </si>
  <si>
    <t>#RITM2592560</t>
  </si>
  <si>
    <t>Carolina Esteves da Costa</t>
  </si>
  <si>
    <t>FNRP</t>
  </si>
  <si>
    <t>INC54839943</t>
  </si>
  <si>
    <t>Nome do Contato: SERGIO ROBERTO RIBEIRO
Usuário: S.REALRRSS
Telefone: (21) 2544-0607 
E-mail: daniel@realpublicidade.com.br 
CNPJ / Razão Social: 01308567000192
Fornecedor informa que recebeu um notificação de oportunidade e deseja participar, porem ao acessar solicita confirmação de identidade, entretanto o usuário cadastrado já faleceu e cotas CPF invalido.
Foi orientado a realizar o procedimento de carata modelo, para gerar um novo acesso e participar da oportunidade.</t>
  </si>
  <si>
    <t>SERGIO ROBERTO  RIBEIRO</t>
  </si>
  <si>
    <t>S.REALRRSS</t>
  </si>
  <si>
    <t>daniel@realpublicidade.com.br</t>
  </si>
  <si>
    <t>01308567000192 - REAL SRR PUBLICIDADE E MARKETING LTDA</t>
  </si>
  <si>
    <t>INC54838671</t>
  </si>
  <si>
    <t xml:space="preserve">Bloqueio pelo administrador </t>
  </si>
  <si>
    <t xml:space="preserve">Chamado: INC54838671
 Nome do Contato: MATHEUS FERREIRA SILVA
 Usuário: USR39871
 Telefone: 1148228510
E-mail: matheus@ruspristeel.com.br
CNPJ / Razão Social: 09379357000105 - RUSPRISTEEL COMERCIO E INDUSTRIA DE META
Fornecedor(a) entrou em contato informando que o usuário esta bloqueado, foi verificado o bloqueio foi realizado pelo administrador. O mesmo informou que acessa com o usuário do administrador foi solicitada o usuário porém o mesmo informou que não precisava mas que tinha conseguido acessar o portal. 
Atenciosamente,
Equipe Petronect
</t>
  </si>
  <si>
    <t>MATHEUS FERREIRA SILVA</t>
  </si>
  <si>
    <t>USR39871</t>
  </si>
  <si>
    <t>matheus@ruspristeel.com.br</t>
  </si>
  <si>
    <t>09379357000105 - RUSPRISTEEL COMERCIO E INDUSTRIA DE META</t>
  </si>
  <si>
    <t>INC54829278</t>
  </si>
  <si>
    <t xml:space="preserve">Nome do Contato: Fabio Blasy
Usuário: 19F08B73
Telefone: 5511934101983
E-mail: fabio.blasy@athontelecom.com.br 
CNPJ / Razão Social: 58157489000190
Fornecedor informa que ao tentar realizar redefinição de senha consta tela branca.
Foi orientada a realizar a redefinição em aba anônima e ser uma senha totalmente diferente das ultimas 10, porem continua o seguinte erro em print.
Limpeza de dados  realizada em linha .
Acesso em outro navegador.
Fornecedor informado que o devido erro de tela branca pode ser lixo de navegação e reutilização de  senha precedida com as 10 ultimas,  porem o mesmo insiste em uma analise  e que esta utilizando uma diferente </t>
  </si>
  <si>
    <t>Fabio  Blasy</t>
  </si>
  <si>
    <t>fabio.blasy@athontelecom.com.br</t>
  </si>
  <si>
    <t>58157489000190-</t>
  </si>
  <si>
    <t>INC54828833</t>
  </si>
  <si>
    <t>Bloqueio de acesso</t>
  </si>
  <si>
    <t>Chamado criado pelo área interna do Portal 
 Nome do Contato: FABIO SOUTO TEIXEIRA 
 Usuário: BRBPOTEC 
 Telefone: 6130355013 
 E-mail: departamento.comercial@brbpo.com.br 
 CNPJ: 24913412000180 
 Razão Social BR BPO TECNOLOGIA E SERVIÇOS S.A 
 Estamos com o acesso ao portal bloqueado e gostaríamos de entender o motivo do bloqueio, e o que fazer para regularizar o acesso.</t>
  </si>
  <si>
    <t xml:space="preserve">8001438093 </t>
  </si>
  <si>
    <t>FÁBIO SOUTO TEIXEIRA</t>
  </si>
  <si>
    <t>departamento.comercial@brbpo.com.br</t>
  </si>
  <si>
    <t>24913412000180 - BR BPO TECNOLOGIA E SERVIÇOS S.A</t>
  </si>
  <si>
    <t>FABIANO CARDOSO CUNHA</t>
  </si>
  <si>
    <t>FACUNHA</t>
  </si>
  <si>
    <t>comercial@fastimport.com.br</t>
  </si>
  <si>
    <t>64007385000100 -  FAST IMPORT COMMERCE OFFSHORE LTDA</t>
  </si>
  <si>
    <t>INC54828297</t>
  </si>
  <si>
    <t>Dúvidas</t>
  </si>
  <si>
    <t>Chamado criado pelo área interna do Portal 
 Nome do Contato: FABIANO CARDOSO CUNHA 
 Usuário: FACUNHA 
 Telefone: 22999034444 
 E-mail: comercial@fastimport.com.br 
 CNPJ: 64007385000100 
 Razão Social FAST IMPORT COMMERCE OFFSHORE LTDA 
 Tenho algumas dúvidas sobre a plataforma.
Planos e valores?
Posso participar de licitações gratuitamente?
Recebo convites no plano gratuito?
Para gerenciamento de pedidos, agendamentos, preciso de algo para me cadastrar? (Ariba suppliers, agendamento petrobras...)</t>
  </si>
  <si>
    <t>Incidentes//Cadastro na Petrobras//Suporte//Sócio Fornecedor</t>
  </si>
  <si>
    <t>INC54828288</t>
  </si>
  <si>
    <t xml:space="preserve">CHAT BOT - INC54828288 +5521994552511
Nome do Contato: Matheus Franco da Costa
CNPJ/Razão Social: 07391921000171
CPF: 17865533764
Telefone: 21994552511
E-mail: matheusdacosta@centaurotelecom.com.br
Usuário: CENT.ADM0134
Oportunidade: 
------
</t>
  </si>
  <si>
    <t>'+5521994552511</t>
  </si>
  <si>
    <t>ana.silva@Petronect</t>
  </si>
  <si>
    <t>Ana Silva</t>
  </si>
  <si>
    <t>INC54827134</t>
  </si>
  <si>
    <t>Nome do Contato: Benvida
Usuário:DIPL.ADM0002 
Telefone: 21-38903263 
E-mail: familiasobroza@gmail.com 
CNPJ / Razão Social: 42223685000185
Fornecedor(a) solicita auxílio para redefinição de senha. Foi orientado passo a passo:
- Clicar em "Esqueceu sua senha?", confirme os dados, será enviado a senha automática para o e-mail informado.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t>
  </si>
  <si>
    <t>Denise Guimarães Sobroza</t>
  </si>
  <si>
    <t>familiasobroza@gmail.com</t>
  </si>
  <si>
    <t>42223685000185 - DIPLOMATA INDUSTRIA E COMERCIO DE PAPEIS</t>
  </si>
  <si>
    <t>INC54825226</t>
  </si>
  <si>
    <t xml:space="preserve">nome do Contato:Adrielly   
SR_PETRO
petrobras@srgrupoempresarial.com.br
2131903884
Fornecedor(a) solicitou contato proativo 11:50
</t>
  </si>
  <si>
    <t>INC54825174</t>
  </si>
  <si>
    <t>Nome do Contato: URSULA FERNANDES DO NASCIMENTO
Usuário: U.URSULANOV
Telefone: (21) 2212-6499 
E-mail: diretoria@novamoinhos.com.br 
CNPJ / Razão Social: 04226531000158
Fornecedor entrou em contato informando que estava dando login e senha invalido
Foi orientado a pedi uma senha provisória, entrar com essa senha provisória e mudar a senha novamente.</t>
  </si>
  <si>
    <t>URSULA  FERNANDES DO NASCIMENTO</t>
  </si>
  <si>
    <t>U.URSULANOV</t>
  </si>
  <si>
    <t>diretoria@novamoinhos.com.br</t>
  </si>
  <si>
    <t>04226531000158 - NOVA MOINHOS COMUNICACOES LTDA - EPP</t>
  </si>
  <si>
    <t>INC54825038</t>
  </si>
  <si>
    <t>Chamado aberto pela URA
Usuário:RJA0006
CPF:16914216770
Taxnum:41833637000146
E-mail:rja286464@gmail.com
Seu chamado foi registrado. Estamos lhe transferindo para o atendimento especializado.</t>
  </si>
  <si>
    <t>INC54824814</t>
  </si>
  <si>
    <t xml:space="preserve">CHAT BOT - INC54824814 +5584994211019
Nome do Contato: Matheus Vitor Medeiros Fernandes
CNPJ/Razão Social: 21967785000146
CPF: 104.529.844-16
Telefone: 84994211019
E-mail: fiscal2@reciaco.ind.br
Usuário: USR0070964
Oportunidade: 
------
</t>
  </si>
  <si>
    <t>'+5584994211019</t>
  </si>
  <si>
    <t>MATHEUS VITOR MEDEIROS FERNANDES</t>
  </si>
  <si>
    <t>fiscal2@reciaco.ind.br</t>
  </si>
  <si>
    <t>21967785000146 - RECICLAGEM DE AÇO LTDA</t>
  </si>
  <si>
    <t>INC54824772</t>
  </si>
  <si>
    <t xml:space="preserve">Contrato </t>
  </si>
  <si>
    <t xml:space="preserve">Chamado: INC54824772
 Nome do Contato: RAFAEL ALENCAR OLIVEIRA
 Usuário: RAFAELOLIV
 Telefone: 44998394418
E-mail: rafael.oliveira@radixeng.com
CNPJ / Razão Social: 11677441000149 -  RADIX ENGENHARIA E DESENVOLVIMENTO DE SO
Fornecedor(a) entrou em contato para obter informações do chamado que reabriu referente aos contratos que não consegue visualizar, o mesmo foi orientado a colocar a data entre 01/08/2025 e 10/08/2025. Porém o mesmo informou que não é ele que esta realizando o procedimento e sim diretor, foi orientado a solicitar que o diretor entre em contato para ter um suporte melhor.
Atenciosamente,
Equipe Petronect
</t>
  </si>
  <si>
    <t>INC54751759 / INC54753744</t>
  </si>
  <si>
    <t>Incidentes//Cadastro na Petrobras//Suporte//Emissão - Interface//Contratos</t>
  </si>
  <si>
    <t>Contratos</t>
  </si>
  <si>
    <t>RAFAEL ALENCAR OLIVEIRA</t>
  </si>
  <si>
    <t>OLIVEIRARAFA</t>
  </si>
  <si>
    <t>rafael.oliveira@radixeng.com.br</t>
  </si>
  <si>
    <t>11677441000149 - RADIX ENGENHARIA E DESENVOLVIMENTO DE SO</t>
  </si>
  <si>
    <t>INC54824264</t>
  </si>
  <si>
    <t>Sr. Carlos Cesário entra em contato solicitando informações de como participar de um leilão.
Orientado ao fornecedor que devera primeiro realizar o cadastro no portal Petronect para depois demostrar interesse</t>
  </si>
  <si>
    <t>INC54824105</t>
  </si>
  <si>
    <t>Nome do Contato: MARCIO JANUARIO DE LIMA
Usuário:  VERSATIL2023
Telefone: (92)982528867 
E-mail: adm@versatilengenharia.net 
CNPJ / Razão Social:00408679000152
Fornecedor entrou em contato informando que ao entrar no site da petronect, estava apresentando erro
Mas no meio do atendimento o fornecedor encerrou a ligação.</t>
  </si>
  <si>
    <t>MARCIO JANUARIO DE LIMA</t>
  </si>
  <si>
    <t>adm@versatilengenharia.net</t>
  </si>
  <si>
    <t>00408679000152 VERSATIL ENGENHARIA LTDA</t>
  </si>
  <si>
    <t>INC54822665</t>
  </si>
  <si>
    <t xml:space="preserve">Outros </t>
  </si>
  <si>
    <t xml:space="preserve">Chamado: INC54822665
Fornecedor(a) solicitou auxilio para combustível, a mesma informou um cnpj que não existe.
Atenciosamente,
Equipe Petronect
</t>
  </si>
  <si>
    <t>INC54787806</t>
  </si>
  <si>
    <t xml:space="preserve">Busca das famílias na área externa </t>
  </si>
  <si>
    <t>Chamado: INC54787806
 Nome do Contato: JOSE BRAULIO SILVA JUNIOR
 Usuário: USR0039053
 Telefone: 21 982659044
E-mail: braulio.silva@smdobrasil.com
CNPJ / Razão Social: 09643465000135  - S &amp; M DO BRASIL - CENTRO DE IDIOMAS E CU
Fornecedor(a) esta tentando acessar na área externa do portal para realizar a busca das famílias , porém aparece a mensagem d comportamento inadequado, o mesmo realizou a limpeza do cachê, acessou por outros navegadores e pela aba anônima. Porém ao ter realizado todo procedimento o mesmo não consegue acessar a área externa. Segue o print da tela do fornecedor em anexo, foi solicitado o print da tela toda porém o mesmo informou que na parte de baixo da tela não tem nada.</t>
  </si>
  <si>
    <t>8001437913</t>
  </si>
  <si>
    <t>INC54748887</t>
  </si>
  <si>
    <t>Atualização na Petronect do Guia de Uso</t>
  </si>
  <si>
    <t>Boa tarde a todos
Solicitamos que seja atualizado o Guia de Uso na Petronect em português e Inglês. A migração da nova versão deve ser realizada no último dia do ano (29/12/2025) para valer a partir de 01/01/2026.
O "Guia-de-Uso-Requisitos-da-Qualidade_260101.pdf" é a versão em português que substitui a "Guia-de-Uso-Requisitos-da-Qualidade_250901.pdf".
https://www.petronect.com.br/irj/go/km/docs/pccshrcontent/Site%20Content%20(Legacy)/Portal2018/pt/lista_cep_mod_inspecao.html
O "Quality-Requirements-Usage-Guide_010126.pdf" é a versão em inglês que substitui a "Quality-Requirements-Usage-Guide_090125.pdf".
https://www.petronect.com.br/irj/go/km/docs/pccshrcontent/Site%20Content%20(Legacy)/Portal2018/en/lista_cep_mod_inspecao.html
Atenciosamente,
Maurício Fraga da ROCHA
Engenheiro de Equipamentos Sr. – Mecânica
SUPRIMENTOS/GCQ/GQ
Tel: + 55 51 3415 2799
mauricio.rocha@petrobras.com.br
www.petrobras.com.br
Acesse nosso Qualidade de Bens no Canal do Fornecedor
Requisitos da Qualidade Vídeo Orientativo
Acesse nosso EAD da Qualidade</t>
  </si>
  <si>
    <t>Mauricio Fraga da Rocha</t>
  </si>
  <si>
    <t xml:space="preserve">US1D </t>
  </si>
  <si>
    <t>INC54695123</t>
  </si>
  <si>
    <t>BOLETO SOCIO FORNECEDOR</t>
  </si>
  <si>
    <t>Nome do Contato: FABIANA  BERNARDES DA SILVA OLIVEIRA
Usuário: SUPCON.COM
Telefone: 022999471860
E-mail: fabiana@estrategiaconsulting.com.br
CNPJ/Razão Social: 913300007200824627 - ZHEJIANG SUPCON INSTRUMENT CO., LTD.
Descrição do problema: Prezados, favor verificar a solicitação do fornecedor, conforme manifestação 8001437291. 
Prezados,
Gostaria de ajuda para gerar o boleto para pagamento com prazo de 3 meses.
Como procedemos?
Na aba de Minha assinatura não consta o boleto, está em branco. Não consigo gerar a cobrança, poderiam verificar na tela anexa o erro?
Como podemos proceder para pagar a taxa?
Pelo atendimento no wpp no número informado não reconhece o código de registro da empresa pois não está no formato certo de CNPJ devido a ser uma empresa Cninesa.
Aguardo a solução,
Gratos,
Supcon</t>
  </si>
  <si>
    <t>8001437291</t>
  </si>
  <si>
    <t>SUPCON.COM</t>
  </si>
  <si>
    <t>fabiana@estrategiaconsulting.com.br</t>
  </si>
  <si>
    <t>913300007200824627 - ZHEJIANG SUPCON INSTRUMENT CO., LTD.</t>
  </si>
  <si>
    <t>INC54641532</t>
  </si>
  <si>
    <t>Atualização de Material de Treinamento NOTAS - Área Externa do Portal</t>
  </si>
  <si>
    <t>Equipe, boa tarde.
Favor atualizar o Material de Treinamento NOTAS (anexo), que se encontra na Área Externa do Portal Petronect.
Segue o caminho: Ajuda &gt; Treinamentos &gt; CADASTRO PETROBRAS &gt;  NOTAS
Segue abaixo do link onde se encontra o material: 
https://www.petronect.com.br/irj/go/km/docs/pccshrcontent/Site%20Content%20(Legacy)/Portal2018/pt/Ajuda_Treinamento.html
Obrigada.</t>
  </si>
  <si>
    <t>INC54622182</t>
  </si>
  <si>
    <t>Atualização de Material de Treinamento IDENTIFICAÇÃO DA EMPRESA- Área Externa do Portal</t>
  </si>
  <si>
    <t>Equipe, boa tarde.
Favor atualizar o Material de Treinamento IDENTIFICAÇÃO DA EMPRESA (anexo), que se encontra na Área Externa do Portal Petronect.
Segue o caminho: Ajuda &gt; Treinamentos &gt; CADASTRO PETROBRAS &gt; IDENTIFICAÇÃO DA EMPRESA
Segue abaixo do link onde se encontra o material: 
https://www.petronect.com.br/irj/go/km/docs/pccshrcontent/Site%20Content%20(Legacy)/Portal2018/pt/Ajuda_Treinamento.html
Obrigada.</t>
  </si>
  <si>
    <t>INC54511405</t>
  </si>
  <si>
    <t>Atualização de Material de Treinamento "AVALIAÇÃO" - Área Externa do Portal</t>
  </si>
  <si>
    <t>Equipe, boa tarde.
Favor atualizar o Material de Treinamento "AVALIAÇÃO " (anexo), que se encontra na Área Externa do Portal Petronect.
Segue o caminho na área exterNa: Ajuda &gt; Treinamentos &gt; CADASTRO NA PETROBRAS &gt; AVALIAÇÃO
Segue abaixo do link onde se encontra o material: 
https://www.petronect.com.br/irj/go/km/docs/documents/Petronect/Conteudo_Publico/por/GuiasRapidos/guias/ATD-MT-0058-9%20-%20AVALIACAO_50556237.pdf
OBS.: APÓS ATUALIZAÇÃO NÃO ENCERRAR O CHAMADO, DEVOLVER PARA A FILA "CADASTRO - RELACIONAMENTO COM O CLIENTE".
Obrigada.</t>
  </si>
  <si>
    <t>INC54462726</t>
  </si>
  <si>
    <t xml:space="preserve">Atualização de Material de Treinamento  ACOMPANHE SUA SITUAÇÃO - USUÁRIO PETROBRAS - Área Interna do Portal </t>
  </si>
  <si>
    <t>Equipe, boa tarde.
Favor atualizar o Material de Treinamento "ACOMPANHE SUA SITUAÇÃO - USUÁRIO PETROBRAS" (anexo), que se encontra na Área Interna do Portal Petronect.
Segue o caminho na área logada: Treinamento &gt; Português &gt; Cadastro de Fornecedores &gt; Acompanhe sua situação - Usuário Petrobras
Segue abaixo do link onde se encontra o material: 
https://www.petronect.com.br/irj/go/km/docs/documents/Petronect/Conteudo_Privado/por/PDF/ACOMPANHE%20SUA%20SITUACAO%20-%20USUARIO%20PETROBRAS-41297352.pdf
Obrigada.</t>
  </si>
  <si>
    <t>INC54445013</t>
  </si>
  <si>
    <t>Atualização de Material de Treinamento QUESTIONÁRIOS DE AVALIAÇÃO - Área Externa do Portal</t>
  </si>
  <si>
    <t>Equipe, boa tarde.
Favor atualizar o Material de Treinamento QUESTIONÁRIOS DE AVALIAÇÃO (anexo), que se encontra na Área Externa do Portal Petronect.
Segue o caminho: Ajuda &gt; Treinamentos &gt; CADASTRO PETROBRAS &gt; QUESTIONÁRIOS DE AVALIAÇÃO
Segue abaixo do link onde se encontra o material: 
https://www.petronect.com.br/irj/go/km/docs/pccshrcontent/Site%20Content%20(Legacy)/Portal2018/pt/Ajuda_Treinamento.html
Obrigada.</t>
  </si>
  <si>
    <t>INC54307220</t>
  </si>
  <si>
    <t>Atualização do documento ATD-MT-0231 - MANUAL DE UTILIZAÇÃO DO PAINEL DE SELEÇÃO</t>
  </si>
  <si>
    <t>Prezados, boa tarde.
Favor atualizar o documento ATD-MT-0231 - MANUAL DE UTILIZAÇÃO DO PAINEL DE SELEÇÃO (anexo), que se encontra na área logada do Portal Petronect.
Segue o caminho: Área logada &gt;Treinamento &gt; PORTUGUÊS &gt; Gestão de Compras e Contratações &gt; Painel de Seleção
Segue abaixo do link onde se encontra o material: 
https://www.petronect.com.br/irj/go/km/docs/documents/Petronect/Conteudo_Privado/por/PDF/ATD-MT-0231-MANUAL-UTILIZACAO-PAINEL-SELECAO-25981761.pdf
Obrigada.</t>
  </si>
  <si>
    <t>INC54038805</t>
  </si>
  <si>
    <t>INC54184149</t>
  </si>
  <si>
    <t>Problema em Renovação de Minha Assinatura</t>
  </si>
  <si>
    <t>Chamado criado pelo área interna do Portal 
 Nome do Contato: DEIVISON LIMA CORDEIRO DOS SANTOS 
 Usuário: DLCDSANTOS 
 Telefone: 11989486635 
 E-mail: d.santos@brasco.enterprises 
 CNPJ: 21214809000196 
 Razão Social TEXAS OILTECH LABORATORIES DO BRASIL - A 
 Prezados,
Bom dia!
Estamos há aproximadamente seis dias tentando realizar a renovação de nossa assinatura para participação em licitações. No entanto, o sistema de emissão de boletos permanece fora do ar. Gostaríamos, por gentileza, de solicitar auxílio para que possamos concluir a renovação.</t>
  </si>
  <si>
    <t>DEIVISON LIMA CORDEIRO DOS SANTOS</t>
  </si>
  <si>
    <t>DLCDSANTOS</t>
  </si>
  <si>
    <t>d.santos@brasco.enterprises</t>
  </si>
  <si>
    <t>21214809000196 - TEXAS OILTECH LABORATORIES DO BRASIL - A</t>
  </si>
  <si>
    <t>INC54170574</t>
  </si>
  <si>
    <t>acesso</t>
  </si>
  <si>
    <t>Chamado criado pela área externa do Portal 
 Nome do Contato: ANTONIO CARLOS ALVES SÁ 
 Usuário: GMRESVEND07 
 Telefone: 21 980212221 
 E-mail: sa@gmr.com.br 
 CNPJ: 42270058000448 
 Razão Social GMR EQIUIPAMENTOS ELETRICOS LTDA 
 Prezados, Estou se acesso ao portal, já redefini a senha varias vezes e nada acontece, preciso  tirar o boleto para pagamento da taxa de sócio fornecedor que vence dia 20 do corrente, e estou a 2 dias nesta luta.
Peço por favor o seu auxílio, já falei com o atendimento e não adianta nada.
Fico no aguardo.
At.te</t>
  </si>
  <si>
    <t>ANTONIO CARLOS ALVES SA</t>
  </si>
  <si>
    <t>sa.es@gmr.com.br</t>
  </si>
  <si>
    <t>42270058000448  - G M R EQUIPAMENTOS ELETRICOS LTDA</t>
  </si>
  <si>
    <t>INC54051653</t>
  </si>
  <si>
    <t>Escolher Regionalidade da contratação - Painel de Seleção - Cadastro - PBINC3630983</t>
  </si>
  <si>
    <t xml:space="preserve">Suporte, bom dia.
Chave: WT5T - Usuária Ana Paula Naves Barros.
Segundo a  usuária no funcionamento do painel de seleção na Petronect, a lógica para a filtragem por regionalidade no campo "área de atuação das empresas" é a seguinte: Se nenhuma regionalidade for definida, o sistema retorna todos os fornecedores que atendem ao escopo, sem filtro de região.
Se duas ou mais regionalidades forem assinaladas, o sistema retorna apenas os fornecedores que atendem a *todas* as regionalidades selecionadas. No meu caso, selecionei inicialmente as cidades Juiz de Fora e Ibirité, obtendo 33 fornecedores para a familia 99006079. Ao incluir Canoas, o numero de fornecedores retomados aumentou para 38, o que parece contradizer a regra esperada de que o resultado deveria diminuir ou permanecer igual, pois *a seleção de mais cidades deveria restringir ou manter o filtro, não ampliar* .
Isso pode indicar que o sistema esta tratando as múltiplas seleções de cidades como uma operação "OU" (fornecedores que atendem a Juiz de Fora ou Ibirité ou Canoas) em vez de uma operação "E" (fornecedores que atendem a todas as cidades selecionadas). Ou seja, ao adicionar Canoas, fornecedores que atendem somente a Canoas podem estar sendo incluidos, aumentando o total.
_________________________________________________________________________________________________________________________________________________
Segundo a TIC, conforme orientação do campo, adicionar mais cidades deveria restringir os resultados, não aumentar, verificado que ao incluir 2 cidades (Juiz de Fora e Ibirité), relatório apresenta 33 fornecedores, enquanto ao incluir 3 cidades (Juiz de Fora, Ibirité e Canoas), relatório apresenta 38 fornecedores.
</t>
  </si>
  <si>
    <t>PBINC3630983 / PRB0238201</t>
  </si>
  <si>
    <t>PRB0238201</t>
  </si>
  <si>
    <t>Ana Paula Naves Barros</t>
  </si>
  <si>
    <t>WT5T</t>
  </si>
  <si>
    <t>SLA</t>
  </si>
  <si>
    <t>TMA</t>
  </si>
  <si>
    <t>Contrato</t>
  </si>
  <si>
    <t>Aberto(a)</t>
  </si>
  <si>
    <t>Aberto(a) por</t>
  </si>
  <si>
    <t>Efetivo</t>
  </si>
  <si>
    <t>USR2742</t>
  </si>
  <si>
    <t>José Carlos PISCITELLI</t>
  </si>
  <si>
    <t>USR6256</t>
  </si>
  <si>
    <t>THERMICA225</t>
  </si>
  <si>
    <t>KIRS.ADM1</t>
  </si>
  <si>
    <t>USR78</t>
  </si>
  <si>
    <t>ALIOMAR214</t>
  </si>
  <si>
    <t>_VIVACI226</t>
  </si>
  <si>
    <t>BRUNO7</t>
  </si>
  <si>
    <t>WATSON225</t>
  </si>
  <si>
    <t>METAL_79</t>
  </si>
  <si>
    <t>USR7116</t>
  </si>
  <si>
    <t>AGJ226</t>
  </si>
  <si>
    <t>ROCH.ADM12</t>
  </si>
  <si>
    <t>USR45178</t>
  </si>
  <si>
    <t>PDS22</t>
  </si>
  <si>
    <t>USR454</t>
  </si>
  <si>
    <t>USR58191</t>
  </si>
  <si>
    <t>USR715</t>
  </si>
  <si>
    <t>USR68621</t>
  </si>
  <si>
    <t>DISPEX5659</t>
  </si>
  <si>
    <t>USR6961</t>
  </si>
  <si>
    <t>PROEXPRESS2</t>
  </si>
  <si>
    <t>ALEC.ADM18</t>
  </si>
  <si>
    <t>SEGEX221</t>
  </si>
  <si>
    <t>USR62873</t>
  </si>
  <si>
    <t>ALEC.ADM4</t>
  </si>
  <si>
    <t>EVERTON277</t>
  </si>
  <si>
    <t>ALEC.ADM17</t>
  </si>
  <si>
    <t>BRASIL226</t>
  </si>
  <si>
    <t>USR57243</t>
  </si>
  <si>
    <t>DRILLVEND1</t>
  </si>
  <si>
    <t>ALTD228</t>
  </si>
  <si>
    <t>USR53451</t>
  </si>
  <si>
    <t>ENGTEX214</t>
  </si>
  <si>
    <t>USR45831</t>
  </si>
  <si>
    <t>OPER225MS</t>
  </si>
  <si>
    <t>SPETRI22</t>
  </si>
  <si>
    <t>MPLJOAO225</t>
  </si>
  <si>
    <t>RODA225</t>
  </si>
  <si>
    <t>USR7873</t>
  </si>
  <si>
    <t>FERNANDO678</t>
  </si>
  <si>
    <t>USR74634</t>
  </si>
  <si>
    <t>MORAISDC196</t>
  </si>
  <si>
    <t>USR7154</t>
  </si>
  <si>
    <t>EAGLES225</t>
  </si>
  <si>
    <t>WEES24</t>
  </si>
  <si>
    <t>Em continuidade ao chamado INC54625798 onde a Letícia Mósso pediu prioridade no chamado INC53735479 (HD), que foi fechado por tentativas de contato sem sucesso, o usuário do Cadastro João, retornou com a seguinte informação abaixo:
"Boa tarde,
O fornecedor compareceu a atendimento presencial e informou que a documentação foi liberada, porém a utilização da API ainda não. Foi informado que houve tentativas de contato,  o fornecedor disponibilizou os seguintes contatos para comunicação:
Telefone para contato
(92) 991199575 Júnior
(92) 982528867 Keily
O fornecedor também relatou que responde a todos os e-mails recebidos, entretanto não tem obtido retorno."</t>
  </si>
  <si>
    <t>TKS23251</t>
  </si>
  <si>
    <t>USR6812</t>
  </si>
  <si>
    <t>USR67217</t>
  </si>
  <si>
    <t>EMRODA86</t>
  </si>
  <si>
    <t>AFS221</t>
  </si>
  <si>
    <t>PPDI1</t>
  </si>
  <si>
    <t>GILBERTO26</t>
  </si>
  <si>
    <t>USR719</t>
  </si>
  <si>
    <t>USR7421</t>
  </si>
  <si>
    <t>FMURAD</t>
  </si>
  <si>
    <t>ANDREZA225</t>
  </si>
  <si>
    <t>USR6419</t>
  </si>
  <si>
    <t>223-VENDAS</t>
  </si>
  <si>
    <t>USR64625</t>
  </si>
  <si>
    <t>RAPHASCHOU4</t>
  </si>
  <si>
    <t>DRICA12.</t>
  </si>
  <si>
    <t>USR65946</t>
  </si>
  <si>
    <t>USR61198</t>
  </si>
  <si>
    <t>USR6697</t>
  </si>
  <si>
    <t>VTP11</t>
  </si>
  <si>
    <t>LHR226</t>
  </si>
  <si>
    <t>USR71131</t>
  </si>
  <si>
    <t>MARGO.223</t>
  </si>
  <si>
    <t>USR68443</t>
  </si>
  <si>
    <t>AGR_RH_22</t>
  </si>
  <si>
    <t>USR67538</t>
  </si>
  <si>
    <t>GLAUBER8</t>
  </si>
  <si>
    <t>USR5685-1</t>
  </si>
  <si>
    <t>USR67876</t>
  </si>
  <si>
    <t>USR7726</t>
  </si>
  <si>
    <t>USR66927</t>
  </si>
  <si>
    <t>MIST.ADM4</t>
  </si>
  <si>
    <t>URS67445</t>
  </si>
  <si>
    <t>DIEGO99</t>
  </si>
  <si>
    <t>DISPEX5372</t>
  </si>
  <si>
    <t>USR59566</t>
  </si>
  <si>
    <t xml:space="preserve"> USR7136</t>
  </si>
  <si>
    <t>USR59567AL</t>
  </si>
  <si>
    <t>USR799</t>
  </si>
  <si>
    <t>USR1338</t>
  </si>
  <si>
    <t>NMA99792</t>
  </si>
  <si>
    <t>SELMA269.</t>
  </si>
  <si>
    <t>741491121 VIMETAL COMERCIAL LTDA</t>
  </si>
  <si>
    <t>USR7525</t>
  </si>
  <si>
    <t>FELIPETEC66</t>
  </si>
  <si>
    <t>GNW12-226</t>
  </si>
  <si>
    <t>LUVAL225</t>
  </si>
  <si>
    <t>USR7989</t>
  </si>
  <si>
    <t>MAYARA286</t>
  </si>
  <si>
    <t>ANDREFERRE9</t>
  </si>
  <si>
    <t>USR56623</t>
  </si>
  <si>
    <t>VINICOLIVE1</t>
  </si>
  <si>
    <t>COMERCIAL11</t>
  </si>
  <si>
    <t>VANESGOMES6</t>
  </si>
  <si>
    <t>USR53712</t>
  </si>
  <si>
    <t>USR68834</t>
  </si>
  <si>
    <t>USR2781</t>
  </si>
  <si>
    <t>AUGUSTO496</t>
  </si>
  <si>
    <t>DYNAMIS.1</t>
  </si>
  <si>
    <t>USR7999</t>
  </si>
  <si>
    <t>USR56878</t>
  </si>
  <si>
    <t>PYRE225</t>
  </si>
  <si>
    <t>usr6963</t>
  </si>
  <si>
    <t>USR6836</t>
  </si>
  <si>
    <t>MAG225</t>
  </si>
  <si>
    <t>PTVS1</t>
  </si>
  <si>
    <t xml:space="preserve"> USR31859 </t>
  </si>
  <si>
    <t>USR69486</t>
  </si>
  <si>
    <t>USR6324</t>
  </si>
  <si>
    <t>ABIM.ADM1</t>
  </si>
  <si>
    <t>ENEPLAN223</t>
  </si>
  <si>
    <t>SNO_225PET</t>
  </si>
  <si>
    <t>ADS216</t>
  </si>
  <si>
    <t>OSOLEV212</t>
  </si>
  <si>
    <t>USR3953</t>
  </si>
  <si>
    <t>HTSH221</t>
  </si>
  <si>
    <t>USR6155</t>
  </si>
  <si>
    <t>CS3468</t>
  </si>
  <si>
    <t>CEMACO22</t>
  </si>
  <si>
    <t>TRAN.ADM31</t>
  </si>
  <si>
    <t>USR67215</t>
  </si>
  <si>
    <t>USR122</t>
  </si>
  <si>
    <t>NPA223</t>
  </si>
  <si>
    <t>USR6876</t>
  </si>
  <si>
    <t>FERB291</t>
  </si>
  <si>
    <t>USR685</t>
  </si>
  <si>
    <t>POWER.224</t>
  </si>
  <si>
    <t>USR744</t>
  </si>
  <si>
    <t>USR63241</t>
  </si>
  <si>
    <t>USR63662</t>
  </si>
  <si>
    <t>SOUSA188</t>
  </si>
  <si>
    <t>USR68326</t>
  </si>
  <si>
    <t>GEPME219</t>
  </si>
  <si>
    <t>USR62594</t>
  </si>
  <si>
    <t>ESTEBAN1</t>
  </si>
  <si>
    <t>ASSERTH223</t>
  </si>
  <si>
    <t>LUBER17571</t>
  </si>
  <si>
    <t>MAVIA_22</t>
  </si>
  <si>
    <t>MARA_22</t>
  </si>
  <si>
    <t>ANITA611</t>
  </si>
  <si>
    <t>USR675</t>
  </si>
  <si>
    <t>YNNER225_</t>
  </si>
  <si>
    <t>ALEXANDRE1</t>
  </si>
  <si>
    <t>NATANAEL1</t>
  </si>
  <si>
    <t>GFABIANE1</t>
  </si>
  <si>
    <t>IKT7844</t>
  </si>
  <si>
    <t>USR97</t>
  </si>
  <si>
    <t>USR5931</t>
  </si>
  <si>
    <t>RODRIGUES1</t>
  </si>
  <si>
    <t>VTPECAS-449</t>
  </si>
  <si>
    <t>MUTANT5</t>
  </si>
  <si>
    <t>USR66561</t>
  </si>
  <si>
    <t>FERCAN194</t>
  </si>
  <si>
    <t>ELAINE8</t>
  </si>
  <si>
    <t>USR69762</t>
  </si>
  <si>
    <t>USR6615</t>
  </si>
  <si>
    <t>USR61252</t>
  </si>
  <si>
    <t>USR7122</t>
  </si>
  <si>
    <t>1.ALQUIMIA</t>
  </si>
  <si>
    <t>19F8B73</t>
  </si>
  <si>
    <t>CENT.ADM134</t>
  </si>
  <si>
    <t>USR7964</t>
  </si>
  <si>
    <t>VERSATIL223</t>
  </si>
  <si>
    <t>GMRESVEND7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</si>
</sst>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name val="Calibri"/>
      <family val="2"/>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applyAlignment="1">
      <alignment vertical="top"/>
    </xf>
    <xf numFmtId="0" fontId="1" fillId="0" borderId="0" xfId="0" applyFont="1"/>
    <xf numFmtId="49" fontId="0" fillId="0" borderId="0" xfId="0" applyNumberFormat="1" applyAlignment="1">
      <alignment vertical="top"/>
    </xf>
    <xf numFmtId="0" fontId="0" fillId="0" borderId="0" xfId="0" applyAlignment="1">
      <alignment vertical="top"/>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aique.souza\Downloads\incident_sla%20(17).xlsx" TargetMode="External"/><Relationship Id="rId1" Type="http://schemas.openxmlformats.org/officeDocument/2006/relationships/externalLinkPath" Target="file:///C:\Users\kaique.souza\Downloads\incident_sla%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ilha1"/>
      <sheetName val="Page 1"/>
    </sheetNames>
    <sheetDataSet>
      <sheetData sheetId="0">
        <row r="3">
          <cell r="A3" t="str">
            <v>Rótulos de Linha</v>
          </cell>
          <cell r="B3" t="str">
            <v>Soma de Tempo de negócios decorrido</v>
          </cell>
        </row>
        <row r="4">
          <cell r="A4" t="str">
            <v>INC55000567</v>
          </cell>
          <cell r="B4">
            <v>2287967</v>
          </cell>
        </row>
        <row r="5">
          <cell r="A5" t="str">
            <v>INC55216675</v>
          </cell>
          <cell r="B5">
            <v>1704802</v>
          </cell>
        </row>
        <row r="6">
          <cell r="A6" t="str">
            <v>INC55285237</v>
          </cell>
          <cell r="B6">
            <v>1654623</v>
          </cell>
        </row>
        <row r="7">
          <cell r="A7" t="str">
            <v>INC55285759</v>
          </cell>
          <cell r="B7">
            <v>1647405</v>
          </cell>
        </row>
        <row r="8">
          <cell r="A8" t="str">
            <v>INC55332121</v>
          </cell>
          <cell r="B8">
            <v>1411290</v>
          </cell>
        </row>
        <row r="9">
          <cell r="A9" t="str">
            <v>INC54445013</v>
          </cell>
          <cell r="B9">
            <v>1072001</v>
          </cell>
        </row>
        <row r="10">
          <cell r="A10" t="str">
            <v>INC54462726</v>
          </cell>
          <cell r="B10">
            <v>1039296</v>
          </cell>
        </row>
        <row r="11">
          <cell r="A11" t="str">
            <v>INC54051653</v>
          </cell>
          <cell r="B11">
            <v>989996</v>
          </cell>
        </row>
        <row r="12">
          <cell r="A12" t="str">
            <v>INC54511405</v>
          </cell>
          <cell r="B12">
            <v>984228</v>
          </cell>
        </row>
        <row r="13">
          <cell r="A13" t="str">
            <v>INC54170574</v>
          </cell>
          <cell r="B13">
            <v>921289</v>
          </cell>
        </row>
        <row r="14">
          <cell r="A14" t="str">
            <v>INC54184149</v>
          </cell>
          <cell r="B14">
            <v>877017</v>
          </cell>
        </row>
        <row r="15">
          <cell r="A15" t="str">
            <v>INC54307220</v>
          </cell>
          <cell r="B15">
            <v>876160</v>
          </cell>
        </row>
        <row r="16">
          <cell r="A16" t="str">
            <v>INC54622182</v>
          </cell>
          <cell r="B16">
            <v>873277</v>
          </cell>
        </row>
        <row r="17">
          <cell r="A17" t="str">
            <v>INC54641532</v>
          </cell>
          <cell r="B17">
            <v>826925</v>
          </cell>
        </row>
        <row r="18">
          <cell r="A18" t="str">
            <v>INC55248631</v>
          </cell>
          <cell r="B18">
            <v>655637</v>
          </cell>
        </row>
        <row r="19">
          <cell r="A19" t="str">
            <v>INC55247845</v>
          </cell>
          <cell r="B19">
            <v>620724</v>
          </cell>
        </row>
        <row r="20">
          <cell r="A20" t="str">
            <v>INC55094661</v>
          </cell>
          <cell r="B20">
            <v>381848</v>
          </cell>
        </row>
        <row r="21">
          <cell r="A21" t="str">
            <v>INC55248495</v>
          </cell>
          <cell r="B21">
            <v>312936</v>
          </cell>
        </row>
        <row r="22">
          <cell r="A22" t="str">
            <v>INC55321376</v>
          </cell>
          <cell r="B22">
            <v>229869</v>
          </cell>
        </row>
        <row r="23">
          <cell r="A23" t="str">
            <v>INC54695123</v>
          </cell>
          <cell r="B23">
            <v>210695</v>
          </cell>
        </row>
        <row r="24">
          <cell r="A24" t="str">
            <v>INC55234870</v>
          </cell>
          <cell r="B24">
            <v>145252</v>
          </cell>
        </row>
        <row r="25">
          <cell r="A25" t="str">
            <v>INC55238511</v>
          </cell>
          <cell r="B25">
            <v>131259</v>
          </cell>
        </row>
        <row r="26">
          <cell r="A26" t="str">
            <v>INC55048225</v>
          </cell>
          <cell r="B26">
            <v>128666</v>
          </cell>
        </row>
        <row r="27">
          <cell r="A27" t="str">
            <v>INC55129033</v>
          </cell>
          <cell r="B27">
            <v>127323</v>
          </cell>
        </row>
        <row r="28">
          <cell r="A28" t="str">
            <v>INC55041908</v>
          </cell>
          <cell r="B28">
            <v>116296</v>
          </cell>
        </row>
        <row r="29">
          <cell r="A29" t="str">
            <v>INC55301678</v>
          </cell>
          <cell r="B29">
            <v>112672</v>
          </cell>
        </row>
        <row r="30">
          <cell r="A30" t="str">
            <v>INC54998987</v>
          </cell>
          <cell r="B30">
            <v>110206</v>
          </cell>
        </row>
        <row r="31">
          <cell r="A31" t="str">
            <v>INC55316591</v>
          </cell>
          <cell r="B31">
            <v>104276</v>
          </cell>
        </row>
        <row r="32">
          <cell r="A32" t="str">
            <v>INC54962364</v>
          </cell>
          <cell r="B32">
            <v>103398</v>
          </cell>
        </row>
        <row r="33">
          <cell r="A33" t="str">
            <v>INC55246721</v>
          </cell>
          <cell r="B33">
            <v>102860</v>
          </cell>
        </row>
        <row r="34">
          <cell r="A34" t="str">
            <v>INC55284052</v>
          </cell>
          <cell r="B34">
            <v>96306</v>
          </cell>
        </row>
        <row r="35">
          <cell r="A35" t="str">
            <v>INC55182481</v>
          </cell>
          <cell r="B35">
            <v>94000</v>
          </cell>
        </row>
        <row r="36">
          <cell r="A36" t="str">
            <v>INC55317276</v>
          </cell>
          <cell r="B36">
            <v>91022</v>
          </cell>
        </row>
        <row r="37">
          <cell r="A37" t="str">
            <v>INC54842472</v>
          </cell>
          <cell r="B37">
            <v>90691</v>
          </cell>
        </row>
        <row r="38">
          <cell r="A38" t="str">
            <v>INC54748887</v>
          </cell>
          <cell r="B38">
            <v>88608</v>
          </cell>
        </row>
        <row r="39">
          <cell r="A39" t="str">
            <v>INC54943571</v>
          </cell>
          <cell r="B39">
            <v>88404</v>
          </cell>
        </row>
        <row r="40">
          <cell r="A40" t="str">
            <v>INC55197740</v>
          </cell>
          <cell r="B40">
            <v>83110</v>
          </cell>
        </row>
        <row r="41">
          <cell r="A41" t="str">
            <v>INC54962669</v>
          </cell>
          <cell r="B41">
            <v>80090</v>
          </cell>
        </row>
        <row r="42">
          <cell r="A42" t="str">
            <v>INC55232020</v>
          </cell>
          <cell r="B42">
            <v>78976</v>
          </cell>
        </row>
        <row r="43">
          <cell r="A43" t="str">
            <v>INC54964099</v>
          </cell>
          <cell r="B43">
            <v>70808</v>
          </cell>
        </row>
        <row r="44">
          <cell r="A44" t="str">
            <v>INC55054737</v>
          </cell>
          <cell r="B44">
            <v>68742</v>
          </cell>
        </row>
        <row r="45">
          <cell r="A45" t="str">
            <v>INC54964423</v>
          </cell>
          <cell r="B45">
            <v>68180</v>
          </cell>
        </row>
        <row r="46">
          <cell r="A46" t="str">
            <v>INC54940341</v>
          </cell>
          <cell r="B46">
            <v>66724</v>
          </cell>
        </row>
        <row r="47">
          <cell r="A47" t="str">
            <v>INC55334675</v>
          </cell>
          <cell r="B47">
            <v>65925</v>
          </cell>
        </row>
        <row r="48">
          <cell r="A48" t="str">
            <v>INC54986628</v>
          </cell>
          <cell r="B48">
            <v>64353</v>
          </cell>
        </row>
        <row r="49">
          <cell r="A49" t="str">
            <v>INC55354502</v>
          </cell>
          <cell r="B49">
            <v>63278</v>
          </cell>
        </row>
        <row r="50">
          <cell r="A50" t="str">
            <v>INC55046140</v>
          </cell>
          <cell r="B50">
            <v>60792</v>
          </cell>
        </row>
        <row r="51">
          <cell r="A51" t="str">
            <v>INC55333862</v>
          </cell>
          <cell r="B51">
            <v>59751</v>
          </cell>
        </row>
        <row r="52">
          <cell r="A52" t="str">
            <v>INC55337714</v>
          </cell>
          <cell r="B52">
            <v>59110</v>
          </cell>
        </row>
        <row r="53">
          <cell r="A53" t="str">
            <v>INC55246652</v>
          </cell>
          <cell r="B53">
            <v>50349</v>
          </cell>
        </row>
        <row r="54">
          <cell r="A54" t="str">
            <v>INC55178340</v>
          </cell>
          <cell r="B54">
            <v>49646</v>
          </cell>
        </row>
        <row r="55">
          <cell r="A55" t="str">
            <v>INC55299626</v>
          </cell>
          <cell r="B55">
            <v>49226</v>
          </cell>
        </row>
        <row r="56">
          <cell r="A56" t="str">
            <v>INC55000787</v>
          </cell>
          <cell r="B56">
            <v>49056</v>
          </cell>
        </row>
        <row r="57">
          <cell r="A57" t="str">
            <v>INC55299456</v>
          </cell>
          <cell r="B57">
            <v>48014</v>
          </cell>
        </row>
        <row r="58">
          <cell r="A58" t="str">
            <v>INC55354474</v>
          </cell>
          <cell r="B58">
            <v>47893</v>
          </cell>
        </row>
        <row r="59">
          <cell r="A59" t="str">
            <v>INC55193341</v>
          </cell>
          <cell r="B59">
            <v>47634</v>
          </cell>
        </row>
        <row r="60">
          <cell r="A60" t="str">
            <v>INC55299781</v>
          </cell>
          <cell r="B60">
            <v>46110</v>
          </cell>
        </row>
        <row r="61">
          <cell r="A61" t="str">
            <v>INC55333783</v>
          </cell>
          <cell r="B61">
            <v>46104</v>
          </cell>
        </row>
        <row r="62">
          <cell r="A62" t="str">
            <v>INC54958697</v>
          </cell>
          <cell r="B62">
            <v>45745</v>
          </cell>
        </row>
        <row r="63">
          <cell r="A63" t="str">
            <v>INC55065041</v>
          </cell>
          <cell r="B63">
            <v>45736</v>
          </cell>
        </row>
        <row r="64">
          <cell r="A64" t="str">
            <v>INC55305134</v>
          </cell>
          <cell r="B64">
            <v>45406</v>
          </cell>
        </row>
        <row r="65">
          <cell r="A65" t="str">
            <v>INC55333974</v>
          </cell>
          <cell r="B65">
            <v>45147</v>
          </cell>
        </row>
        <row r="66">
          <cell r="A66" t="str">
            <v>INC54957818</v>
          </cell>
          <cell r="B66">
            <v>44758</v>
          </cell>
        </row>
        <row r="67">
          <cell r="A67" t="str">
            <v>INC55046330</v>
          </cell>
          <cell r="B67">
            <v>44710</v>
          </cell>
        </row>
        <row r="68">
          <cell r="A68" t="str">
            <v>INC55305360</v>
          </cell>
          <cell r="B68">
            <v>44584</v>
          </cell>
        </row>
        <row r="69">
          <cell r="A69" t="str">
            <v>INC55177809</v>
          </cell>
          <cell r="B69">
            <v>44292</v>
          </cell>
        </row>
        <row r="70">
          <cell r="A70" t="str">
            <v>INC55334112</v>
          </cell>
          <cell r="B70">
            <v>43818</v>
          </cell>
        </row>
        <row r="71">
          <cell r="A71" t="str">
            <v>INC55333740</v>
          </cell>
          <cell r="B71">
            <v>43014</v>
          </cell>
        </row>
        <row r="72">
          <cell r="A72" t="str">
            <v>INC55288829</v>
          </cell>
          <cell r="B72">
            <v>42139</v>
          </cell>
        </row>
        <row r="73">
          <cell r="A73" t="str">
            <v>INC55334138</v>
          </cell>
          <cell r="B73">
            <v>42137</v>
          </cell>
        </row>
        <row r="74">
          <cell r="A74" t="str">
            <v>INC55333427</v>
          </cell>
          <cell r="B74">
            <v>42039</v>
          </cell>
        </row>
        <row r="75">
          <cell r="A75" t="str">
            <v>INC55332914</v>
          </cell>
          <cell r="B75">
            <v>41568</v>
          </cell>
        </row>
        <row r="76">
          <cell r="A76" t="str">
            <v>INC55220144</v>
          </cell>
          <cell r="B76">
            <v>41446</v>
          </cell>
        </row>
        <row r="77">
          <cell r="A77" t="str">
            <v>INC55200436</v>
          </cell>
          <cell r="B77">
            <v>40958</v>
          </cell>
        </row>
        <row r="78">
          <cell r="A78" t="str">
            <v>INC55333576</v>
          </cell>
          <cell r="B78">
            <v>40704</v>
          </cell>
        </row>
        <row r="79">
          <cell r="A79" t="str">
            <v>INC55351545</v>
          </cell>
          <cell r="B79">
            <v>40550</v>
          </cell>
        </row>
        <row r="80">
          <cell r="A80" t="str">
            <v>INC55350099</v>
          </cell>
          <cell r="B80">
            <v>39902</v>
          </cell>
        </row>
        <row r="81">
          <cell r="A81" t="str">
            <v>INC55289682</v>
          </cell>
          <cell r="B81">
            <v>39818</v>
          </cell>
        </row>
        <row r="82">
          <cell r="A82" t="str">
            <v>INC55351865</v>
          </cell>
          <cell r="B82">
            <v>39478</v>
          </cell>
        </row>
        <row r="83">
          <cell r="A83" t="str">
            <v>INC55179524</v>
          </cell>
          <cell r="B83">
            <v>39115</v>
          </cell>
        </row>
        <row r="84">
          <cell r="A84" t="str">
            <v>INC55046774</v>
          </cell>
          <cell r="B84">
            <v>38927</v>
          </cell>
        </row>
        <row r="85">
          <cell r="A85" t="str">
            <v>INC54924001</v>
          </cell>
          <cell r="B85">
            <v>38761</v>
          </cell>
        </row>
        <row r="86">
          <cell r="A86" t="str">
            <v>INC55042644</v>
          </cell>
          <cell r="B86">
            <v>38670</v>
          </cell>
        </row>
        <row r="87">
          <cell r="A87" t="str">
            <v>INC55001406</v>
          </cell>
          <cell r="B87">
            <v>38540</v>
          </cell>
        </row>
        <row r="88">
          <cell r="A88" t="str">
            <v>INC55287247</v>
          </cell>
          <cell r="B88">
            <v>38488</v>
          </cell>
        </row>
        <row r="89">
          <cell r="A89" t="str">
            <v>INC55331751</v>
          </cell>
          <cell r="B89">
            <v>38210</v>
          </cell>
        </row>
        <row r="90">
          <cell r="A90" t="str">
            <v>INC55215429</v>
          </cell>
          <cell r="B90">
            <v>37947</v>
          </cell>
        </row>
        <row r="91">
          <cell r="A91" t="str">
            <v>INC54979514</v>
          </cell>
          <cell r="B91">
            <v>37740</v>
          </cell>
        </row>
        <row r="92">
          <cell r="A92" t="str">
            <v>INC55111106</v>
          </cell>
          <cell r="B92">
            <v>37104</v>
          </cell>
        </row>
        <row r="93">
          <cell r="A93" t="str">
            <v>INC55001717</v>
          </cell>
          <cell r="B93">
            <v>36956</v>
          </cell>
        </row>
        <row r="94">
          <cell r="A94" t="str">
            <v>INC55299607</v>
          </cell>
          <cell r="B94">
            <v>36534</v>
          </cell>
        </row>
        <row r="95">
          <cell r="A95" t="str">
            <v>INC55043365</v>
          </cell>
          <cell r="B95">
            <v>36518</v>
          </cell>
        </row>
        <row r="96">
          <cell r="A96" t="str">
            <v>INC54883526</v>
          </cell>
          <cell r="B96">
            <v>36210</v>
          </cell>
        </row>
        <row r="97">
          <cell r="A97" t="str">
            <v>INC55086458</v>
          </cell>
          <cell r="B97">
            <v>35524</v>
          </cell>
        </row>
        <row r="98">
          <cell r="A98" t="str">
            <v>INC55298774</v>
          </cell>
          <cell r="B98">
            <v>35256</v>
          </cell>
        </row>
        <row r="99">
          <cell r="A99" t="str">
            <v>INC55332456</v>
          </cell>
          <cell r="B99">
            <v>35158</v>
          </cell>
        </row>
        <row r="100">
          <cell r="A100" t="str">
            <v>INC55338587</v>
          </cell>
          <cell r="B100">
            <v>35054</v>
          </cell>
        </row>
        <row r="101">
          <cell r="A101" t="str">
            <v>INC55179700</v>
          </cell>
          <cell r="B101">
            <v>34864</v>
          </cell>
        </row>
        <row r="102">
          <cell r="A102" t="str">
            <v>INC55299149</v>
          </cell>
          <cell r="B102">
            <v>33876</v>
          </cell>
        </row>
        <row r="103">
          <cell r="A103" t="str">
            <v>INC55337827</v>
          </cell>
          <cell r="B103">
            <v>33688</v>
          </cell>
        </row>
        <row r="104">
          <cell r="A104" t="str">
            <v>INC55211564</v>
          </cell>
          <cell r="B104">
            <v>33661</v>
          </cell>
        </row>
        <row r="105">
          <cell r="A105" t="str">
            <v>INC55228381</v>
          </cell>
          <cell r="B105">
            <v>33264</v>
          </cell>
        </row>
        <row r="106">
          <cell r="A106" t="str">
            <v>INC55213779</v>
          </cell>
          <cell r="B106">
            <v>33250</v>
          </cell>
        </row>
        <row r="107">
          <cell r="A107" t="str">
            <v>INC55179272</v>
          </cell>
          <cell r="B107">
            <v>32709</v>
          </cell>
        </row>
        <row r="108">
          <cell r="A108" t="str">
            <v>INC55200740</v>
          </cell>
          <cell r="B108">
            <v>32694</v>
          </cell>
        </row>
        <row r="109">
          <cell r="A109" t="str">
            <v>INC55047350</v>
          </cell>
          <cell r="B109">
            <v>32649</v>
          </cell>
        </row>
        <row r="110">
          <cell r="A110" t="str">
            <v>INC55199969</v>
          </cell>
          <cell r="B110">
            <v>32584</v>
          </cell>
        </row>
        <row r="111">
          <cell r="A111" t="str">
            <v>INC55179362</v>
          </cell>
          <cell r="B111">
            <v>32577</v>
          </cell>
        </row>
        <row r="112">
          <cell r="A112" t="str">
            <v>INC55198964</v>
          </cell>
          <cell r="B112">
            <v>32466</v>
          </cell>
        </row>
        <row r="113">
          <cell r="A113" t="str">
            <v>INC55198014</v>
          </cell>
          <cell r="B113">
            <v>32380</v>
          </cell>
        </row>
        <row r="114">
          <cell r="A114" t="str">
            <v>INC55197840</v>
          </cell>
          <cell r="B114">
            <v>32264</v>
          </cell>
        </row>
        <row r="115">
          <cell r="A115" t="str">
            <v>INC55196290</v>
          </cell>
          <cell r="B115">
            <v>32088</v>
          </cell>
        </row>
        <row r="116">
          <cell r="A116" t="str">
            <v>INC55067518</v>
          </cell>
          <cell r="B116">
            <v>32036</v>
          </cell>
        </row>
        <row r="117">
          <cell r="A117" t="str">
            <v>INC55355639</v>
          </cell>
          <cell r="B117">
            <v>32027</v>
          </cell>
        </row>
        <row r="118">
          <cell r="A118" t="str">
            <v>INC54956218</v>
          </cell>
          <cell r="B118">
            <v>32000</v>
          </cell>
        </row>
        <row r="119">
          <cell r="A119" t="str">
            <v>INC55195714</v>
          </cell>
          <cell r="B119">
            <v>31996</v>
          </cell>
        </row>
        <row r="120">
          <cell r="A120" t="str">
            <v>INC55195386</v>
          </cell>
          <cell r="B120">
            <v>31896</v>
          </cell>
        </row>
        <row r="121">
          <cell r="A121" t="str">
            <v>INC54980844</v>
          </cell>
          <cell r="B121">
            <v>31874</v>
          </cell>
        </row>
        <row r="122">
          <cell r="A122" t="str">
            <v>INC54787806</v>
          </cell>
          <cell r="B122">
            <v>31660</v>
          </cell>
        </row>
        <row r="123">
          <cell r="A123" t="str">
            <v>INC55282221</v>
          </cell>
          <cell r="B123">
            <v>31462</v>
          </cell>
        </row>
        <row r="124">
          <cell r="A124" t="str">
            <v>INC55351833</v>
          </cell>
          <cell r="B124">
            <v>31378</v>
          </cell>
        </row>
        <row r="125">
          <cell r="A125" t="str">
            <v>INC55333436</v>
          </cell>
          <cell r="B125">
            <v>31216</v>
          </cell>
        </row>
        <row r="126">
          <cell r="A126" t="str">
            <v>INC54978779</v>
          </cell>
          <cell r="B126">
            <v>31158</v>
          </cell>
        </row>
        <row r="127">
          <cell r="A127" t="str">
            <v>INC55199686</v>
          </cell>
          <cell r="B127">
            <v>31028</v>
          </cell>
        </row>
        <row r="128">
          <cell r="A128" t="str">
            <v>INC55198961</v>
          </cell>
          <cell r="B128">
            <v>30912</v>
          </cell>
        </row>
        <row r="129">
          <cell r="A129" t="str">
            <v>INC55250763</v>
          </cell>
          <cell r="B129">
            <v>30900</v>
          </cell>
        </row>
        <row r="130">
          <cell r="A130" t="str">
            <v>INC55047371</v>
          </cell>
          <cell r="B130">
            <v>30874</v>
          </cell>
        </row>
        <row r="131">
          <cell r="A131" t="str">
            <v>INC54960244</v>
          </cell>
          <cell r="B131">
            <v>30806</v>
          </cell>
        </row>
        <row r="132">
          <cell r="A132" t="str">
            <v>INC55197185</v>
          </cell>
          <cell r="B132">
            <v>30788</v>
          </cell>
        </row>
        <row r="133">
          <cell r="A133" t="str">
            <v>INC55195040</v>
          </cell>
          <cell r="B133">
            <v>30524</v>
          </cell>
        </row>
        <row r="134">
          <cell r="A134" t="str">
            <v>INC54880202</v>
          </cell>
          <cell r="B134">
            <v>30408</v>
          </cell>
        </row>
        <row r="135">
          <cell r="A135" t="str">
            <v>INC55194620</v>
          </cell>
          <cell r="B135">
            <v>30404</v>
          </cell>
        </row>
        <row r="136">
          <cell r="A136" t="str">
            <v>INC54956793</v>
          </cell>
          <cell r="B136">
            <v>30383</v>
          </cell>
        </row>
        <row r="137">
          <cell r="A137" t="str">
            <v>INC55086726</v>
          </cell>
          <cell r="B137">
            <v>30362</v>
          </cell>
        </row>
        <row r="138">
          <cell r="A138" t="str">
            <v>INC55194436</v>
          </cell>
          <cell r="B138">
            <v>30248</v>
          </cell>
        </row>
        <row r="139">
          <cell r="A139" t="str">
            <v>INC55231236</v>
          </cell>
          <cell r="B139">
            <v>30222</v>
          </cell>
        </row>
        <row r="140">
          <cell r="A140" t="str">
            <v>INC54828297</v>
          </cell>
          <cell r="B140">
            <v>30066</v>
          </cell>
        </row>
        <row r="141">
          <cell r="A141" t="str">
            <v>INC55048183</v>
          </cell>
          <cell r="B141">
            <v>29907</v>
          </cell>
        </row>
        <row r="142">
          <cell r="A142" t="str">
            <v>INC55333081</v>
          </cell>
          <cell r="B142">
            <v>29860</v>
          </cell>
        </row>
        <row r="143">
          <cell r="A143" t="str">
            <v>INC55337568</v>
          </cell>
          <cell r="B143">
            <v>29780</v>
          </cell>
        </row>
        <row r="144">
          <cell r="A144" t="str">
            <v>INC55067451</v>
          </cell>
          <cell r="B144">
            <v>29696</v>
          </cell>
        </row>
        <row r="145">
          <cell r="A145" t="str">
            <v>INC55088385</v>
          </cell>
          <cell r="B145">
            <v>29649</v>
          </cell>
        </row>
        <row r="146">
          <cell r="A146" t="str">
            <v>INC55212012</v>
          </cell>
          <cell r="B146">
            <v>29586</v>
          </cell>
        </row>
        <row r="147">
          <cell r="A147" t="str">
            <v>INC54878779</v>
          </cell>
          <cell r="B147">
            <v>29538</v>
          </cell>
        </row>
        <row r="148">
          <cell r="A148" t="str">
            <v>INC55211919</v>
          </cell>
          <cell r="B148">
            <v>29496</v>
          </cell>
        </row>
        <row r="149">
          <cell r="A149" t="str">
            <v>INC55043246</v>
          </cell>
          <cell r="B149">
            <v>29391</v>
          </cell>
        </row>
        <row r="150">
          <cell r="A150" t="str">
            <v>INC54921794</v>
          </cell>
          <cell r="B150">
            <v>29344</v>
          </cell>
        </row>
        <row r="151">
          <cell r="A151" t="str">
            <v>INC55351978</v>
          </cell>
          <cell r="B151">
            <v>28882</v>
          </cell>
        </row>
        <row r="152">
          <cell r="A152" t="str">
            <v>INC54978506</v>
          </cell>
          <cell r="B152">
            <v>28730</v>
          </cell>
        </row>
        <row r="153">
          <cell r="A153" t="str">
            <v>INC55350593</v>
          </cell>
          <cell r="B153">
            <v>28721</v>
          </cell>
        </row>
        <row r="154">
          <cell r="A154" t="str">
            <v>INC54878721</v>
          </cell>
          <cell r="B154">
            <v>28482</v>
          </cell>
        </row>
        <row r="155">
          <cell r="A155" t="str">
            <v>INC55213444</v>
          </cell>
          <cell r="B155">
            <v>28470</v>
          </cell>
        </row>
        <row r="156">
          <cell r="A156" t="str">
            <v>INC55194281</v>
          </cell>
          <cell r="B156">
            <v>28338</v>
          </cell>
        </row>
        <row r="157">
          <cell r="A157" t="str">
            <v>INC55356406</v>
          </cell>
          <cell r="B157">
            <v>28252</v>
          </cell>
        </row>
        <row r="158">
          <cell r="A158" t="str">
            <v>INC55086690</v>
          </cell>
          <cell r="B158">
            <v>28225</v>
          </cell>
        </row>
        <row r="159">
          <cell r="A159" t="str">
            <v>INC54979628</v>
          </cell>
          <cell r="B159">
            <v>28146</v>
          </cell>
        </row>
        <row r="160">
          <cell r="A160" t="str">
            <v>INC55298743</v>
          </cell>
          <cell r="B160">
            <v>28054</v>
          </cell>
        </row>
        <row r="161">
          <cell r="A161" t="str">
            <v>INC55179564</v>
          </cell>
          <cell r="B161">
            <v>27956</v>
          </cell>
        </row>
        <row r="162">
          <cell r="A162" t="str">
            <v>INC55282168</v>
          </cell>
          <cell r="B162">
            <v>27905</v>
          </cell>
        </row>
        <row r="163">
          <cell r="A163" t="str">
            <v>INC55214379</v>
          </cell>
          <cell r="B163">
            <v>27901</v>
          </cell>
        </row>
        <row r="164">
          <cell r="A164" t="str">
            <v>INC55087921</v>
          </cell>
          <cell r="B164">
            <v>27854</v>
          </cell>
        </row>
        <row r="165">
          <cell r="A165" t="str">
            <v>INC55300375</v>
          </cell>
          <cell r="B165">
            <v>27774</v>
          </cell>
        </row>
        <row r="166">
          <cell r="A166" t="str">
            <v>INC55333721</v>
          </cell>
          <cell r="B166">
            <v>27704</v>
          </cell>
        </row>
        <row r="167">
          <cell r="A167" t="str">
            <v>INC55194370</v>
          </cell>
          <cell r="B167">
            <v>27502</v>
          </cell>
        </row>
        <row r="168">
          <cell r="A168" t="str">
            <v>INC54960973</v>
          </cell>
          <cell r="B168">
            <v>27494</v>
          </cell>
        </row>
        <row r="169">
          <cell r="A169" t="str">
            <v>INC55350367</v>
          </cell>
          <cell r="B169">
            <v>27420</v>
          </cell>
        </row>
        <row r="170">
          <cell r="A170" t="str">
            <v>INC55213556</v>
          </cell>
          <cell r="B170">
            <v>27411</v>
          </cell>
        </row>
        <row r="171">
          <cell r="A171" t="str">
            <v>INC54978290</v>
          </cell>
          <cell r="B171">
            <v>27298</v>
          </cell>
        </row>
        <row r="172">
          <cell r="A172" t="str">
            <v>INC55104506</v>
          </cell>
          <cell r="B172">
            <v>27239</v>
          </cell>
        </row>
        <row r="173">
          <cell r="A173" t="str">
            <v>INC55194363</v>
          </cell>
          <cell r="B173">
            <v>27122</v>
          </cell>
        </row>
        <row r="174">
          <cell r="A174" t="str">
            <v>INC55216280</v>
          </cell>
          <cell r="B174">
            <v>26910</v>
          </cell>
        </row>
        <row r="175">
          <cell r="A175" t="str">
            <v>INC55249309</v>
          </cell>
          <cell r="B175">
            <v>26874</v>
          </cell>
        </row>
        <row r="176">
          <cell r="A176" t="str">
            <v>INC54998030</v>
          </cell>
          <cell r="B176">
            <v>26812</v>
          </cell>
        </row>
        <row r="177">
          <cell r="A177" t="str">
            <v>INC55352428</v>
          </cell>
          <cell r="B177">
            <v>26664</v>
          </cell>
        </row>
        <row r="178">
          <cell r="A178" t="str">
            <v>INC55283645</v>
          </cell>
          <cell r="B178">
            <v>26325</v>
          </cell>
        </row>
        <row r="179">
          <cell r="A179" t="str">
            <v>INC55352347</v>
          </cell>
          <cell r="B179">
            <v>26174</v>
          </cell>
        </row>
        <row r="180">
          <cell r="A180" t="str">
            <v>INC55249369</v>
          </cell>
          <cell r="B180">
            <v>25979</v>
          </cell>
        </row>
        <row r="181">
          <cell r="A181" t="str">
            <v>INC54940583</v>
          </cell>
          <cell r="B181">
            <v>25700</v>
          </cell>
        </row>
        <row r="182">
          <cell r="A182" t="str">
            <v>INC55179511</v>
          </cell>
          <cell r="B182">
            <v>25546</v>
          </cell>
        </row>
        <row r="183">
          <cell r="A183" t="str">
            <v>INC55246528</v>
          </cell>
          <cell r="B183">
            <v>25278</v>
          </cell>
        </row>
        <row r="184">
          <cell r="A184" t="str">
            <v>INC54996698</v>
          </cell>
          <cell r="B184">
            <v>24702</v>
          </cell>
        </row>
        <row r="185">
          <cell r="A185" t="str">
            <v>INC55229519</v>
          </cell>
          <cell r="B185">
            <v>24469</v>
          </cell>
        </row>
        <row r="186">
          <cell r="A186" t="str">
            <v>INC55296761</v>
          </cell>
          <cell r="B186">
            <v>24426</v>
          </cell>
        </row>
        <row r="187">
          <cell r="A187" t="str">
            <v>INC55111146</v>
          </cell>
          <cell r="B187">
            <v>24410</v>
          </cell>
        </row>
        <row r="188">
          <cell r="A188" t="str">
            <v>INC55304819</v>
          </cell>
          <cell r="B188">
            <v>24396</v>
          </cell>
        </row>
        <row r="189">
          <cell r="A189" t="str">
            <v>INC55352367</v>
          </cell>
          <cell r="B189">
            <v>24244</v>
          </cell>
        </row>
        <row r="190">
          <cell r="A190" t="str">
            <v>INC55282714</v>
          </cell>
          <cell r="B190">
            <v>24190</v>
          </cell>
        </row>
        <row r="191">
          <cell r="A191" t="str">
            <v>INC55246563</v>
          </cell>
          <cell r="B191">
            <v>23914</v>
          </cell>
        </row>
        <row r="192">
          <cell r="A192" t="str">
            <v>INC55352627</v>
          </cell>
          <cell r="B192">
            <v>23890</v>
          </cell>
        </row>
        <row r="193">
          <cell r="A193" t="str">
            <v>INC55301028</v>
          </cell>
          <cell r="B193">
            <v>23655</v>
          </cell>
        </row>
        <row r="194">
          <cell r="A194" t="str">
            <v>INC55086966</v>
          </cell>
          <cell r="B194">
            <v>23548</v>
          </cell>
        </row>
        <row r="195">
          <cell r="A195" t="str">
            <v>INC55249265</v>
          </cell>
          <cell r="B195">
            <v>23532</v>
          </cell>
        </row>
        <row r="196">
          <cell r="A196" t="str">
            <v>INC55048377</v>
          </cell>
          <cell r="B196">
            <v>23402</v>
          </cell>
        </row>
        <row r="197">
          <cell r="A197" t="str">
            <v>INC55003186</v>
          </cell>
          <cell r="B197">
            <v>23322</v>
          </cell>
        </row>
        <row r="198">
          <cell r="A198" t="str">
            <v>INC55110509</v>
          </cell>
          <cell r="B198">
            <v>23258</v>
          </cell>
        </row>
        <row r="199">
          <cell r="A199" t="str">
            <v>INC54998617</v>
          </cell>
          <cell r="B199">
            <v>22920</v>
          </cell>
        </row>
        <row r="200">
          <cell r="A200" t="str">
            <v>INC55087008</v>
          </cell>
          <cell r="B200">
            <v>22878</v>
          </cell>
        </row>
        <row r="201">
          <cell r="A201" t="str">
            <v>INC54958872</v>
          </cell>
          <cell r="B201">
            <v>22808</v>
          </cell>
        </row>
        <row r="202">
          <cell r="A202" t="str">
            <v>INC55180745</v>
          </cell>
          <cell r="B202">
            <v>22761</v>
          </cell>
        </row>
        <row r="203">
          <cell r="A203" t="str">
            <v>INC55195911</v>
          </cell>
          <cell r="B203">
            <v>22732</v>
          </cell>
        </row>
        <row r="204">
          <cell r="A204" t="str">
            <v>INC55351539</v>
          </cell>
          <cell r="B204">
            <v>22666</v>
          </cell>
        </row>
        <row r="205">
          <cell r="A205" t="str">
            <v>INC55087242</v>
          </cell>
          <cell r="B205">
            <v>22666</v>
          </cell>
        </row>
        <row r="206">
          <cell r="A206" t="str">
            <v>INC54980408</v>
          </cell>
          <cell r="B206">
            <v>22600</v>
          </cell>
        </row>
        <row r="207">
          <cell r="A207" t="str">
            <v>INC55042558</v>
          </cell>
          <cell r="B207">
            <v>22548</v>
          </cell>
        </row>
        <row r="208">
          <cell r="A208" t="str">
            <v>INC54854040</v>
          </cell>
          <cell r="B208">
            <v>22479</v>
          </cell>
        </row>
        <row r="209">
          <cell r="A209" t="str">
            <v>INC54959989</v>
          </cell>
          <cell r="B209">
            <v>22424</v>
          </cell>
        </row>
        <row r="210">
          <cell r="A210" t="str">
            <v>INC55301215</v>
          </cell>
          <cell r="B210">
            <v>22384</v>
          </cell>
        </row>
        <row r="211">
          <cell r="A211" t="str">
            <v>INC55355808</v>
          </cell>
          <cell r="B211">
            <v>22353</v>
          </cell>
        </row>
        <row r="212">
          <cell r="A212" t="str">
            <v>INC55246489</v>
          </cell>
          <cell r="B212">
            <v>22346</v>
          </cell>
        </row>
        <row r="213">
          <cell r="A213" t="str">
            <v>INC55087227</v>
          </cell>
          <cell r="B213">
            <v>22192</v>
          </cell>
        </row>
        <row r="214">
          <cell r="A214" t="str">
            <v>INC55331092</v>
          </cell>
          <cell r="B214">
            <v>22184</v>
          </cell>
        </row>
        <row r="215">
          <cell r="A215" t="str">
            <v>INC55318130</v>
          </cell>
          <cell r="B215">
            <v>22035</v>
          </cell>
        </row>
        <row r="216">
          <cell r="A216" t="str">
            <v>INC54998471</v>
          </cell>
          <cell r="B216">
            <v>22034</v>
          </cell>
        </row>
        <row r="217">
          <cell r="A217" t="str">
            <v>INC55316401</v>
          </cell>
          <cell r="B217">
            <v>21972</v>
          </cell>
        </row>
        <row r="218">
          <cell r="A218" t="str">
            <v>INC54979161</v>
          </cell>
          <cell r="B218">
            <v>21616</v>
          </cell>
        </row>
        <row r="219">
          <cell r="A219" t="str">
            <v>INC55096855</v>
          </cell>
          <cell r="B219">
            <v>21494</v>
          </cell>
        </row>
        <row r="220">
          <cell r="A220" t="str">
            <v>INC54880251</v>
          </cell>
          <cell r="B220">
            <v>21296</v>
          </cell>
        </row>
        <row r="221">
          <cell r="A221" t="str">
            <v>INC54942456</v>
          </cell>
          <cell r="B221">
            <v>21224</v>
          </cell>
        </row>
        <row r="222">
          <cell r="A222" t="str">
            <v>INC55133352</v>
          </cell>
          <cell r="B222">
            <v>21119</v>
          </cell>
        </row>
        <row r="223">
          <cell r="A223" t="str">
            <v>INC55332547</v>
          </cell>
          <cell r="B223">
            <v>21033</v>
          </cell>
        </row>
        <row r="224">
          <cell r="A224" t="str">
            <v>INC54978030</v>
          </cell>
          <cell r="B224">
            <v>20994</v>
          </cell>
        </row>
        <row r="225">
          <cell r="A225" t="str">
            <v>INC55107337</v>
          </cell>
          <cell r="B225">
            <v>20970</v>
          </cell>
        </row>
        <row r="226">
          <cell r="A226" t="str">
            <v>INC55335867</v>
          </cell>
          <cell r="B226">
            <v>20842</v>
          </cell>
        </row>
        <row r="227">
          <cell r="A227" t="str">
            <v>INC55354537</v>
          </cell>
          <cell r="B227">
            <v>20823</v>
          </cell>
        </row>
        <row r="228">
          <cell r="A228" t="str">
            <v>INC55249910</v>
          </cell>
          <cell r="B228">
            <v>20795</v>
          </cell>
        </row>
        <row r="229">
          <cell r="A229" t="str">
            <v>INC55047952</v>
          </cell>
          <cell r="B229">
            <v>20624</v>
          </cell>
        </row>
        <row r="230">
          <cell r="A230" t="str">
            <v>INC54959438</v>
          </cell>
          <cell r="B230">
            <v>20577</v>
          </cell>
        </row>
        <row r="231">
          <cell r="A231" t="str">
            <v>INC54959733</v>
          </cell>
          <cell r="B231">
            <v>20409</v>
          </cell>
        </row>
        <row r="232">
          <cell r="A232" t="str">
            <v>INC55095990</v>
          </cell>
          <cell r="B232">
            <v>20370</v>
          </cell>
        </row>
        <row r="233">
          <cell r="A233" t="str">
            <v>INC55249980</v>
          </cell>
          <cell r="B233">
            <v>20356</v>
          </cell>
        </row>
        <row r="234">
          <cell r="A234" t="str">
            <v>INC55246800</v>
          </cell>
          <cell r="B234">
            <v>20218</v>
          </cell>
        </row>
        <row r="235">
          <cell r="A235" t="str">
            <v>INC55177174</v>
          </cell>
          <cell r="B235">
            <v>20013</v>
          </cell>
        </row>
        <row r="236">
          <cell r="A236" t="str">
            <v>INC55167095</v>
          </cell>
          <cell r="B236">
            <v>19900</v>
          </cell>
        </row>
        <row r="237">
          <cell r="A237" t="str">
            <v>INC55229927</v>
          </cell>
          <cell r="B237">
            <v>19880</v>
          </cell>
        </row>
        <row r="238">
          <cell r="A238" t="str">
            <v>INC54980257</v>
          </cell>
          <cell r="B238">
            <v>19870</v>
          </cell>
        </row>
        <row r="239">
          <cell r="A239" t="str">
            <v>INC54943769</v>
          </cell>
          <cell r="B239">
            <v>19734</v>
          </cell>
        </row>
        <row r="240">
          <cell r="A240" t="str">
            <v>INC55181405</v>
          </cell>
          <cell r="B240">
            <v>19598</v>
          </cell>
        </row>
        <row r="241">
          <cell r="A241" t="str">
            <v>INC55232635</v>
          </cell>
          <cell r="B241">
            <v>19590</v>
          </cell>
        </row>
        <row r="242">
          <cell r="A242" t="str">
            <v>INC55230029</v>
          </cell>
          <cell r="B242">
            <v>19586</v>
          </cell>
        </row>
        <row r="243">
          <cell r="A243" t="str">
            <v>INC55300428</v>
          </cell>
          <cell r="B243">
            <v>19570</v>
          </cell>
        </row>
        <row r="244">
          <cell r="A244" t="str">
            <v>INC55355077</v>
          </cell>
          <cell r="B244">
            <v>19476</v>
          </cell>
        </row>
        <row r="245">
          <cell r="A245" t="str">
            <v>INC55321565</v>
          </cell>
          <cell r="B245">
            <v>19473</v>
          </cell>
        </row>
        <row r="246">
          <cell r="A246" t="str">
            <v>INC55304771</v>
          </cell>
          <cell r="B246">
            <v>19460</v>
          </cell>
        </row>
        <row r="247">
          <cell r="A247" t="str">
            <v>INC55176806</v>
          </cell>
          <cell r="B247">
            <v>19367</v>
          </cell>
        </row>
        <row r="248">
          <cell r="A248" t="str">
            <v>INC55334709</v>
          </cell>
          <cell r="B248">
            <v>19228</v>
          </cell>
        </row>
        <row r="249">
          <cell r="A249" t="str">
            <v>INC55132283</v>
          </cell>
          <cell r="B249">
            <v>19154</v>
          </cell>
        </row>
        <row r="250">
          <cell r="A250" t="str">
            <v>INC55178061</v>
          </cell>
          <cell r="B250">
            <v>18974</v>
          </cell>
        </row>
        <row r="251">
          <cell r="A251" t="str">
            <v>INC55246477</v>
          </cell>
          <cell r="B251">
            <v>18872</v>
          </cell>
        </row>
        <row r="252">
          <cell r="A252" t="str">
            <v>INC55230208</v>
          </cell>
          <cell r="B252">
            <v>18826</v>
          </cell>
        </row>
        <row r="253">
          <cell r="A253" t="str">
            <v>INC55212444</v>
          </cell>
          <cell r="B253">
            <v>18664</v>
          </cell>
        </row>
        <row r="254">
          <cell r="A254" t="str">
            <v>INC55183164</v>
          </cell>
          <cell r="B254">
            <v>18476</v>
          </cell>
        </row>
        <row r="255">
          <cell r="A255" t="str">
            <v>INC55338843</v>
          </cell>
          <cell r="B255">
            <v>18378</v>
          </cell>
        </row>
        <row r="256">
          <cell r="A256" t="str">
            <v>INC55107081</v>
          </cell>
          <cell r="B256">
            <v>18340</v>
          </cell>
        </row>
        <row r="257">
          <cell r="A257" t="str">
            <v>INC54997479</v>
          </cell>
          <cell r="B257">
            <v>18218</v>
          </cell>
        </row>
        <row r="258">
          <cell r="A258" t="str">
            <v>INC55131845</v>
          </cell>
          <cell r="B258">
            <v>17878</v>
          </cell>
        </row>
        <row r="259">
          <cell r="A259" t="str">
            <v>INC54925582</v>
          </cell>
          <cell r="B259">
            <v>17850</v>
          </cell>
        </row>
        <row r="260">
          <cell r="A260" t="str">
            <v>INC54997506</v>
          </cell>
          <cell r="B260">
            <v>17784</v>
          </cell>
        </row>
        <row r="261">
          <cell r="A261" t="str">
            <v>INC55287925</v>
          </cell>
          <cell r="B261">
            <v>17768</v>
          </cell>
        </row>
        <row r="262">
          <cell r="A262" t="str">
            <v>INC55249493</v>
          </cell>
          <cell r="B262">
            <v>17722</v>
          </cell>
        </row>
        <row r="263">
          <cell r="A263" t="str">
            <v>INC55331710</v>
          </cell>
          <cell r="B263">
            <v>17690</v>
          </cell>
        </row>
        <row r="264">
          <cell r="A264" t="str">
            <v>INC54966800</v>
          </cell>
          <cell r="B264">
            <v>17659</v>
          </cell>
        </row>
        <row r="265">
          <cell r="A265" t="str">
            <v>INC54880043</v>
          </cell>
          <cell r="B265">
            <v>17604</v>
          </cell>
        </row>
        <row r="266">
          <cell r="A266" t="str">
            <v>INC55283603</v>
          </cell>
          <cell r="B266">
            <v>17529</v>
          </cell>
        </row>
        <row r="267">
          <cell r="A267" t="str">
            <v>INC55129342</v>
          </cell>
          <cell r="B267">
            <v>17520</v>
          </cell>
        </row>
        <row r="268">
          <cell r="A268" t="str">
            <v>INC54997696</v>
          </cell>
          <cell r="B268">
            <v>17454</v>
          </cell>
        </row>
        <row r="269">
          <cell r="A269" t="str">
            <v>INC55230145</v>
          </cell>
          <cell r="B269">
            <v>17422</v>
          </cell>
        </row>
        <row r="270">
          <cell r="A270" t="str">
            <v>INC54883671</v>
          </cell>
          <cell r="B270">
            <v>17152</v>
          </cell>
        </row>
        <row r="271">
          <cell r="A271" t="str">
            <v>INC55111949</v>
          </cell>
          <cell r="B271">
            <v>17046</v>
          </cell>
        </row>
        <row r="272">
          <cell r="A272" t="str">
            <v>INC55110877</v>
          </cell>
          <cell r="B272">
            <v>17036</v>
          </cell>
        </row>
        <row r="273">
          <cell r="A273" t="str">
            <v>INC55230431</v>
          </cell>
          <cell r="B273">
            <v>16992</v>
          </cell>
        </row>
        <row r="274">
          <cell r="A274" t="str">
            <v>INC55250303</v>
          </cell>
          <cell r="B274">
            <v>16870</v>
          </cell>
        </row>
        <row r="275">
          <cell r="A275" t="str">
            <v>INC54958203</v>
          </cell>
          <cell r="B275">
            <v>16692</v>
          </cell>
        </row>
        <row r="276">
          <cell r="A276" t="str">
            <v>INC55244517</v>
          </cell>
          <cell r="B276">
            <v>16634</v>
          </cell>
        </row>
        <row r="277">
          <cell r="A277" t="str">
            <v>INC55065665</v>
          </cell>
          <cell r="B277">
            <v>16440</v>
          </cell>
        </row>
        <row r="278">
          <cell r="A278" t="str">
            <v>INC54919115</v>
          </cell>
          <cell r="B278">
            <v>16418</v>
          </cell>
        </row>
        <row r="279">
          <cell r="A279" t="str">
            <v>INC55316722</v>
          </cell>
          <cell r="B279">
            <v>16398</v>
          </cell>
        </row>
        <row r="280">
          <cell r="A280" t="str">
            <v>INC55215679</v>
          </cell>
          <cell r="B280">
            <v>16236</v>
          </cell>
        </row>
        <row r="281">
          <cell r="A281" t="str">
            <v>INC55227775</v>
          </cell>
          <cell r="B281">
            <v>16072</v>
          </cell>
        </row>
        <row r="282">
          <cell r="A282" t="str">
            <v>INC55070135</v>
          </cell>
          <cell r="B282">
            <v>16054</v>
          </cell>
        </row>
        <row r="283">
          <cell r="A283" t="str">
            <v>INC55315892</v>
          </cell>
          <cell r="B283">
            <v>16032</v>
          </cell>
        </row>
        <row r="284">
          <cell r="A284" t="str">
            <v>INC55303115</v>
          </cell>
          <cell r="B284">
            <v>15892</v>
          </cell>
        </row>
        <row r="285">
          <cell r="A285" t="str">
            <v>INC55218230</v>
          </cell>
          <cell r="B285">
            <v>15786</v>
          </cell>
        </row>
        <row r="286">
          <cell r="A286" t="str">
            <v>INC54923239</v>
          </cell>
          <cell r="B286">
            <v>15678</v>
          </cell>
        </row>
        <row r="287">
          <cell r="A287" t="str">
            <v>INC55177103</v>
          </cell>
          <cell r="B287">
            <v>15456</v>
          </cell>
        </row>
        <row r="288">
          <cell r="A288" t="str">
            <v>INC55352682</v>
          </cell>
          <cell r="B288">
            <v>15380</v>
          </cell>
        </row>
        <row r="289">
          <cell r="A289" t="str">
            <v>INC55230583</v>
          </cell>
          <cell r="B289">
            <v>15318</v>
          </cell>
        </row>
        <row r="290">
          <cell r="A290" t="str">
            <v>INC55316800</v>
          </cell>
          <cell r="B290">
            <v>15232</v>
          </cell>
        </row>
        <row r="291">
          <cell r="A291" t="str">
            <v>INC55300344</v>
          </cell>
          <cell r="B291">
            <v>15068</v>
          </cell>
        </row>
        <row r="292">
          <cell r="A292" t="str">
            <v>INC55283959</v>
          </cell>
          <cell r="B292">
            <v>15058</v>
          </cell>
        </row>
        <row r="293">
          <cell r="A293" t="str">
            <v>INC55065999</v>
          </cell>
          <cell r="B293">
            <v>15052</v>
          </cell>
        </row>
        <row r="294">
          <cell r="A294" t="str">
            <v>INC54943540</v>
          </cell>
          <cell r="B294">
            <v>14947</v>
          </cell>
        </row>
        <row r="295">
          <cell r="A295" t="str">
            <v>INC55064179</v>
          </cell>
          <cell r="B295">
            <v>14913</v>
          </cell>
        </row>
        <row r="296">
          <cell r="A296" t="str">
            <v>INC55247468</v>
          </cell>
          <cell r="B296">
            <v>14858</v>
          </cell>
        </row>
        <row r="297">
          <cell r="A297" t="str">
            <v>INC54997068</v>
          </cell>
          <cell r="B297">
            <v>14849</v>
          </cell>
        </row>
        <row r="298">
          <cell r="A298" t="str">
            <v>INC55304385</v>
          </cell>
          <cell r="B298">
            <v>14780</v>
          </cell>
        </row>
        <row r="299">
          <cell r="A299" t="str">
            <v>INC54982193</v>
          </cell>
          <cell r="B299">
            <v>14778</v>
          </cell>
        </row>
        <row r="300">
          <cell r="A300" t="str">
            <v>INC54925850</v>
          </cell>
          <cell r="B300">
            <v>14656</v>
          </cell>
        </row>
        <row r="301">
          <cell r="A301" t="str">
            <v>INC54981475</v>
          </cell>
          <cell r="B301">
            <v>14460</v>
          </cell>
        </row>
        <row r="302">
          <cell r="A302" t="str">
            <v>INC55230785</v>
          </cell>
          <cell r="B302">
            <v>14210</v>
          </cell>
        </row>
        <row r="303">
          <cell r="A303" t="str">
            <v>INC54965165</v>
          </cell>
          <cell r="B303">
            <v>13957</v>
          </cell>
        </row>
        <row r="304">
          <cell r="A304" t="str">
            <v>INC55068787</v>
          </cell>
          <cell r="B304">
            <v>13819</v>
          </cell>
        </row>
        <row r="305">
          <cell r="A305" t="str">
            <v>INC54923446</v>
          </cell>
          <cell r="B305">
            <v>13818</v>
          </cell>
        </row>
        <row r="306">
          <cell r="A306" t="str">
            <v>INC54998801</v>
          </cell>
          <cell r="B306">
            <v>13758</v>
          </cell>
        </row>
        <row r="307">
          <cell r="A307" t="str">
            <v>INC55250187</v>
          </cell>
          <cell r="B307">
            <v>13746</v>
          </cell>
        </row>
        <row r="308">
          <cell r="A308" t="str">
            <v>INC55319969</v>
          </cell>
          <cell r="B308">
            <v>13698</v>
          </cell>
        </row>
        <row r="309">
          <cell r="A309" t="str">
            <v>INC54919601</v>
          </cell>
          <cell r="B309">
            <v>13609</v>
          </cell>
        </row>
        <row r="310">
          <cell r="A310" t="str">
            <v>INC55232227</v>
          </cell>
          <cell r="B310">
            <v>13588</v>
          </cell>
        </row>
        <row r="311">
          <cell r="A311" t="str">
            <v>INC55285042</v>
          </cell>
          <cell r="B311">
            <v>13577</v>
          </cell>
        </row>
        <row r="312">
          <cell r="A312" t="str">
            <v>INC55227806</v>
          </cell>
          <cell r="B312">
            <v>13484</v>
          </cell>
        </row>
        <row r="313">
          <cell r="A313" t="str">
            <v>INC55047059</v>
          </cell>
          <cell r="B313">
            <v>13402</v>
          </cell>
        </row>
        <row r="314">
          <cell r="A314" t="str">
            <v>INC55304533</v>
          </cell>
          <cell r="B314">
            <v>13302</v>
          </cell>
        </row>
        <row r="315">
          <cell r="A315" t="str">
            <v>INC55064947</v>
          </cell>
          <cell r="B315">
            <v>13232</v>
          </cell>
        </row>
        <row r="316">
          <cell r="A316" t="str">
            <v>INC55303904</v>
          </cell>
          <cell r="B316">
            <v>13160</v>
          </cell>
        </row>
        <row r="317">
          <cell r="A317" t="str">
            <v>INC55244832</v>
          </cell>
          <cell r="B317">
            <v>13080</v>
          </cell>
        </row>
        <row r="318">
          <cell r="A318" t="str">
            <v>INC55113351</v>
          </cell>
          <cell r="B318">
            <v>13008</v>
          </cell>
        </row>
        <row r="319">
          <cell r="A319" t="str">
            <v>INC55247649</v>
          </cell>
          <cell r="B319">
            <v>12974</v>
          </cell>
        </row>
        <row r="320">
          <cell r="A320" t="str">
            <v>INC55213804</v>
          </cell>
          <cell r="B320">
            <v>12934</v>
          </cell>
        </row>
        <row r="321">
          <cell r="A321" t="str">
            <v>INC55354675</v>
          </cell>
          <cell r="B321">
            <v>12886</v>
          </cell>
        </row>
        <row r="322">
          <cell r="A322" t="str">
            <v>INC55003702</v>
          </cell>
          <cell r="B322">
            <v>12852</v>
          </cell>
        </row>
        <row r="323">
          <cell r="A323" t="str">
            <v>INC54841122</v>
          </cell>
          <cell r="B323">
            <v>12788</v>
          </cell>
        </row>
        <row r="324">
          <cell r="A324" t="str">
            <v>INC55227914</v>
          </cell>
          <cell r="B324">
            <v>12710</v>
          </cell>
        </row>
        <row r="325">
          <cell r="A325" t="str">
            <v>INC54880544</v>
          </cell>
          <cell r="B325">
            <v>12646</v>
          </cell>
        </row>
        <row r="326">
          <cell r="A326" t="str">
            <v>INC55245653</v>
          </cell>
          <cell r="B326">
            <v>12642</v>
          </cell>
        </row>
        <row r="327">
          <cell r="A327" t="str">
            <v>INC55069856</v>
          </cell>
          <cell r="B327">
            <v>12468</v>
          </cell>
        </row>
        <row r="328">
          <cell r="A328" t="str">
            <v>INC54982446</v>
          </cell>
          <cell r="B328">
            <v>12390</v>
          </cell>
        </row>
        <row r="329">
          <cell r="A329" t="str">
            <v>INC55088627</v>
          </cell>
          <cell r="B329">
            <v>12272</v>
          </cell>
        </row>
        <row r="330">
          <cell r="A330" t="str">
            <v>INC55065763</v>
          </cell>
          <cell r="B330">
            <v>12046</v>
          </cell>
        </row>
        <row r="331">
          <cell r="A331" t="str">
            <v>INC55304840</v>
          </cell>
          <cell r="B331">
            <v>11914</v>
          </cell>
        </row>
        <row r="332">
          <cell r="A332" t="str">
            <v>INC55232175</v>
          </cell>
          <cell r="B332">
            <v>11902</v>
          </cell>
        </row>
        <row r="333">
          <cell r="A333" t="str">
            <v>INC55045712</v>
          </cell>
          <cell r="B333">
            <v>11838</v>
          </cell>
        </row>
        <row r="334">
          <cell r="A334" t="str">
            <v>INC55004210</v>
          </cell>
          <cell r="B334">
            <v>11802</v>
          </cell>
        </row>
        <row r="335">
          <cell r="A335" t="str">
            <v>INC55234130</v>
          </cell>
          <cell r="B335">
            <v>11800</v>
          </cell>
        </row>
        <row r="336">
          <cell r="A336" t="str">
            <v>INC55354815</v>
          </cell>
          <cell r="B336">
            <v>11784</v>
          </cell>
        </row>
        <row r="337">
          <cell r="A337" t="str">
            <v>INC55183017</v>
          </cell>
          <cell r="B337">
            <v>11749</v>
          </cell>
        </row>
        <row r="338">
          <cell r="A338" t="str">
            <v>INC54940152</v>
          </cell>
          <cell r="B338">
            <v>11748</v>
          </cell>
        </row>
        <row r="339">
          <cell r="A339" t="str">
            <v>INC55046486</v>
          </cell>
          <cell r="B339">
            <v>11678</v>
          </cell>
        </row>
        <row r="340">
          <cell r="A340" t="str">
            <v>INC54977141</v>
          </cell>
          <cell r="B340">
            <v>11639</v>
          </cell>
        </row>
        <row r="341">
          <cell r="A341" t="str">
            <v>INC55284232</v>
          </cell>
          <cell r="B341">
            <v>11638</v>
          </cell>
        </row>
        <row r="342">
          <cell r="A342" t="str">
            <v>INC55249271</v>
          </cell>
          <cell r="B342">
            <v>11575</v>
          </cell>
        </row>
        <row r="343">
          <cell r="A343" t="str">
            <v>INC55216736</v>
          </cell>
          <cell r="B343">
            <v>11564</v>
          </cell>
        </row>
        <row r="344">
          <cell r="A344" t="str">
            <v>INC55216584</v>
          </cell>
          <cell r="B344">
            <v>11563</v>
          </cell>
        </row>
        <row r="345">
          <cell r="A345" t="str">
            <v>INC55317367</v>
          </cell>
          <cell r="B345">
            <v>11556</v>
          </cell>
        </row>
        <row r="346">
          <cell r="A346" t="str">
            <v>INC55127113</v>
          </cell>
          <cell r="B346">
            <v>11482</v>
          </cell>
        </row>
        <row r="347">
          <cell r="A347" t="str">
            <v>INC55333153</v>
          </cell>
          <cell r="B347">
            <v>11388</v>
          </cell>
        </row>
        <row r="348">
          <cell r="A348" t="str">
            <v>INC55287783</v>
          </cell>
          <cell r="B348">
            <v>11341</v>
          </cell>
        </row>
        <row r="349">
          <cell r="A349" t="str">
            <v>INC55065860</v>
          </cell>
          <cell r="B349">
            <v>11338</v>
          </cell>
        </row>
        <row r="350">
          <cell r="A350" t="str">
            <v>INC55065797</v>
          </cell>
          <cell r="B350">
            <v>11280</v>
          </cell>
        </row>
        <row r="351">
          <cell r="A351" t="str">
            <v>INC55182408</v>
          </cell>
          <cell r="B351">
            <v>11148</v>
          </cell>
        </row>
        <row r="352">
          <cell r="A352" t="str">
            <v>INC54843629</v>
          </cell>
          <cell r="B352">
            <v>11064</v>
          </cell>
        </row>
        <row r="353">
          <cell r="A353" t="str">
            <v>INC55182016</v>
          </cell>
          <cell r="B353">
            <v>11052</v>
          </cell>
        </row>
        <row r="354">
          <cell r="A354" t="str">
            <v>INC55304940</v>
          </cell>
          <cell r="B354">
            <v>11014</v>
          </cell>
        </row>
        <row r="355">
          <cell r="A355" t="str">
            <v>INC55182235</v>
          </cell>
          <cell r="B355">
            <v>10958</v>
          </cell>
        </row>
        <row r="356">
          <cell r="A356" t="str">
            <v>INC55232380</v>
          </cell>
          <cell r="B356">
            <v>10932</v>
          </cell>
        </row>
        <row r="357">
          <cell r="A357" t="str">
            <v>INC55319524</v>
          </cell>
          <cell r="B357">
            <v>10896</v>
          </cell>
        </row>
        <row r="358">
          <cell r="A358" t="str">
            <v>INC55214142</v>
          </cell>
          <cell r="B358">
            <v>10782</v>
          </cell>
        </row>
        <row r="359">
          <cell r="A359" t="str">
            <v>INC55232720</v>
          </cell>
          <cell r="B359">
            <v>10748</v>
          </cell>
        </row>
        <row r="360">
          <cell r="A360" t="str">
            <v>INC55177600</v>
          </cell>
          <cell r="B360">
            <v>10710</v>
          </cell>
        </row>
        <row r="361">
          <cell r="A361" t="str">
            <v>INC54943699</v>
          </cell>
          <cell r="B361">
            <v>10618</v>
          </cell>
        </row>
        <row r="362">
          <cell r="A362" t="str">
            <v>INC55066482</v>
          </cell>
          <cell r="B362">
            <v>10498</v>
          </cell>
        </row>
        <row r="363">
          <cell r="A363" t="str">
            <v>INC55321510</v>
          </cell>
          <cell r="B363">
            <v>10372</v>
          </cell>
        </row>
        <row r="364">
          <cell r="A364" t="str">
            <v>INC54982798</v>
          </cell>
          <cell r="B364">
            <v>10284</v>
          </cell>
        </row>
        <row r="365">
          <cell r="A365" t="str">
            <v>INC55132611</v>
          </cell>
          <cell r="B365">
            <v>10268</v>
          </cell>
        </row>
        <row r="366">
          <cell r="A366" t="str">
            <v>INC55218534</v>
          </cell>
          <cell r="B366">
            <v>10206</v>
          </cell>
        </row>
        <row r="367">
          <cell r="A367" t="str">
            <v>INC54979096</v>
          </cell>
          <cell r="B367">
            <v>10154</v>
          </cell>
        </row>
        <row r="368">
          <cell r="A368" t="str">
            <v>INC55106062</v>
          </cell>
          <cell r="B368">
            <v>10090</v>
          </cell>
        </row>
        <row r="369">
          <cell r="A369" t="str">
            <v>INC55215489</v>
          </cell>
          <cell r="B369">
            <v>10089</v>
          </cell>
        </row>
        <row r="370">
          <cell r="A370" t="str">
            <v>INC55354222</v>
          </cell>
          <cell r="B370">
            <v>10088</v>
          </cell>
        </row>
        <row r="371">
          <cell r="A371" t="str">
            <v>INC55112898</v>
          </cell>
          <cell r="B371">
            <v>10085</v>
          </cell>
        </row>
        <row r="372">
          <cell r="A372" t="str">
            <v>INC54829278</v>
          </cell>
          <cell r="B372">
            <v>10044</v>
          </cell>
        </row>
        <row r="373">
          <cell r="A373" t="str">
            <v>INC55106014</v>
          </cell>
          <cell r="B373">
            <v>9966</v>
          </cell>
        </row>
        <row r="374">
          <cell r="A374" t="str">
            <v>INC55044909</v>
          </cell>
          <cell r="B374">
            <v>9938</v>
          </cell>
        </row>
        <row r="375">
          <cell r="A375" t="str">
            <v>INC55234709</v>
          </cell>
          <cell r="B375">
            <v>9906</v>
          </cell>
        </row>
        <row r="376">
          <cell r="A376" t="str">
            <v>INC55227797</v>
          </cell>
          <cell r="B376">
            <v>9678</v>
          </cell>
        </row>
        <row r="377">
          <cell r="A377" t="str">
            <v>INC54966007</v>
          </cell>
          <cell r="B377">
            <v>9568</v>
          </cell>
        </row>
        <row r="378">
          <cell r="A378" t="str">
            <v>INC55288647</v>
          </cell>
          <cell r="B378">
            <v>9496</v>
          </cell>
        </row>
        <row r="379">
          <cell r="A379" t="str">
            <v>INC54999449</v>
          </cell>
          <cell r="B379">
            <v>9494</v>
          </cell>
        </row>
        <row r="380">
          <cell r="A380" t="str">
            <v>INC55321611</v>
          </cell>
          <cell r="B380">
            <v>9474</v>
          </cell>
        </row>
        <row r="381">
          <cell r="A381" t="str">
            <v>INC55298619</v>
          </cell>
          <cell r="B381">
            <v>9264</v>
          </cell>
        </row>
        <row r="382">
          <cell r="A382" t="str">
            <v>INC55183960</v>
          </cell>
          <cell r="B382">
            <v>9255</v>
          </cell>
        </row>
        <row r="383">
          <cell r="A383" t="str">
            <v>INC55040081</v>
          </cell>
          <cell r="B383">
            <v>9244</v>
          </cell>
        </row>
        <row r="384">
          <cell r="A384" t="str">
            <v>INC55300038</v>
          </cell>
          <cell r="B384">
            <v>9210</v>
          </cell>
        </row>
        <row r="385">
          <cell r="A385" t="str">
            <v>INC54958866</v>
          </cell>
          <cell r="B385">
            <v>9168</v>
          </cell>
        </row>
        <row r="386">
          <cell r="A386" t="str">
            <v>INC54999891</v>
          </cell>
          <cell r="B386">
            <v>9120</v>
          </cell>
        </row>
        <row r="387">
          <cell r="A387" t="str">
            <v>INC55309430</v>
          </cell>
          <cell r="B387">
            <v>9111</v>
          </cell>
        </row>
        <row r="388">
          <cell r="A388" t="str">
            <v>INC54998718</v>
          </cell>
          <cell r="B388">
            <v>9110</v>
          </cell>
        </row>
        <row r="389">
          <cell r="A389" t="str">
            <v>INC55002834</v>
          </cell>
          <cell r="B389">
            <v>9090</v>
          </cell>
        </row>
        <row r="390">
          <cell r="A390" t="str">
            <v>INC55227767</v>
          </cell>
          <cell r="B390">
            <v>9048</v>
          </cell>
        </row>
        <row r="391">
          <cell r="A391" t="str">
            <v>INC54974465</v>
          </cell>
          <cell r="B391">
            <v>9027</v>
          </cell>
        </row>
        <row r="392">
          <cell r="A392" t="str">
            <v>INC55085386</v>
          </cell>
          <cell r="B392">
            <v>9002</v>
          </cell>
        </row>
        <row r="393">
          <cell r="A393" t="str">
            <v>INC54825226</v>
          </cell>
          <cell r="B393">
            <v>8976</v>
          </cell>
        </row>
        <row r="394">
          <cell r="A394" t="str">
            <v>INC55247553</v>
          </cell>
          <cell r="B394">
            <v>8948</v>
          </cell>
        </row>
        <row r="395">
          <cell r="A395" t="str">
            <v>INC55109944</v>
          </cell>
          <cell r="B395">
            <v>8936</v>
          </cell>
        </row>
        <row r="396">
          <cell r="A396" t="str">
            <v>INC55045788</v>
          </cell>
          <cell r="B396">
            <v>8934</v>
          </cell>
        </row>
        <row r="397">
          <cell r="A397" t="str">
            <v>INC55302128</v>
          </cell>
          <cell r="B397">
            <v>8914</v>
          </cell>
        </row>
        <row r="398">
          <cell r="A398" t="str">
            <v>INC55338386</v>
          </cell>
          <cell r="B398">
            <v>8912</v>
          </cell>
        </row>
        <row r="399">
          <cell r="A399" t="str">
            <v>INC54937943</v>
          </cell>
          <cell r="B399">
            <v>8894</v>
          </cell>
        </row>
        <row r="400">
          <cell r="A400" t="str">
            <v>INC55232937</v>
          </cell>
          <cell r="B400">
            <v>8886</v>
          </cell>
        </row>
        <row r="401">
          <cell r="A401" t="str">
            <v>INC55046870</v>
          </cell>
          <cell r="B401">
            <v>8874</v>
          </cell>
        </row>
        <row r="402">
          <cell r="A402" t="str">
            <v>INC54925383</v>
          </cell>
          <cell r="B402">
            <v>8872</v>
          </cell>
        </row>
        <row r="403">
          <cell r="A403" t="str">
            <v>INC55109997</v>
          </cell>
          <cell r="B403">
            <v>8864</v>
          </cell>
        </row>
        <row r="404">
          <cell r="A404" t="str">
            <v>INC55066673</v>
          </cell>
          <cell r="B404">
            <v>8858</v>
          </cell>
        </row>
        <row r="405">
          <cell r="A405" t="str">
            <v>INC55319824</v>
          </cell>
          <cell r="B405">
            <v>8764</v>
          </cell>
        </row>
        <row r="406">
          <cell r="A406" t="str">
            <v>INC54982335</v>
          </cell>
          <cell r="B406">
            <v>8726</v>
          </cell>
        </row>
        <row r="407">
          <cell r="A407" t="str">
            <v>INC55218693</v>
          </cell>
          <cell r="B407">
            <v>8658</v>
          </cell>
        </row>
        <row r="408">
          <cell r="A408" t="str">
            <v>INC55336258</v>
          </cell>
          <cell r="B408">
            <v>8620</v>
          </cell>
        </row>
        <row r="409">
          <cell r="A409" t="str">
            <v>INC55359729</v>
          </cell>
          <cell r="B409">
            <v>8612</v>
          </cell>
        </row>
        <row r="410">
          <cell r="A410" t="str">
            <v>INC55183103</v>
          </cell>
          <cell r="B410">
            <v>8610</v>
          </cell>
        </row>
        <row r="411">
          <cell r="A411" t="str">
            <v>INC55217991</v>
          </cell>
          <cell r="B411">
            <v>8557</v>
          </cell>
        </row>
        <row r="412">
          <cell r="A412" t="str">
            <v>INC55111682</v>
          </cell>
          <cell r="B412">
            <v>8532</v>
          </cell>
        </row>
        <row r="413">
          <cell r="A413" t="str">
            <v>INC54922066</v>
          </cell>
          <cell r="B413">
            <v>8516</v>
          </cell>
        </row>
        <row r="414">
          <cell r="A414" t="str">
            <v>INC55354151</v>
          </cell>
          <cell r="B414">
            <v>8402</v>
          </cell>
        </row>
        <row r="415">
          <cell r="A415" t="str">
            <v>INC55285186</v>
          </cell>
          <cell r="B415">
            <v>8396</v>
          </cell>
        </row>
        <row r="416">
          <cell r="A416" t="str">
            <v>INC55089750</v>
          </cell>
          <cell r="B416">
            <v>8376</v>
          </cell>
        </row>
        <row r="417">
          <cell r="A417" t="str">
            <v>INC55218731</v>
          </cell>
          <cell r="B417">
            <v>8270</v>
          </cell>
        </row>
        <row r="418">
          <cell r="A418" t="str">
            <v>INC55085904</v>
          </cell>
          <cell r="B418">
            <v>8226</v>
          </cell>
        </row>
        <row r="419">
          <cell r="A419" t="str">
            <v>INC55177476</v>
          </cell>
          <cell r="B419">
            <v>8210</v>
          </cell>
        </row>
        <row r="420">
          <cell r="A420" t="str">
            <v>INC55215898</v>
          </cell>
          <cell r="B420">
            <v>8201</v>
          </cell>
        </row>
        <row r="421">
          <cell r="A421" t="str">
            <v>INC54965293</v>
          </cell>
          <cell r="B421">
            <v>8134</v>
          </cell>
        </row>
        <row r="422">
          <cell r="A422" t="str">
            <v>INC55066606</v>
          </cell>
          <cell r="B422">
            <v>8133</v>
          </cell>
        </row>
        <row r="423">
          <cell r="A423" t="str">
            <v>INC54943854</v>
          </cell>
          <cell r="B423">
            <v>8122</v>
          </cell>
        </row>
        <row r="424">
          <cell r="A424" t="str">
            <v>INC55233098</v>
          </cell>
          <cell r="B424">
            <v>8068</v>
          </cell>
        </row>
        <row r="425">
          <cell r="A425" t="str">
            <v>INC55177421</v>
          </cell>
          <cell r="B425">
            <v>8024</v>
          </cell>
        </row>
        <row r="426">
          <cell r="A426" t="str">
            <v>INC54943871</v>
          </cell>
          <cell r="B426">
            <v>7972</v>
          </cell>
        </row>
        <row r="427">
          <cell r="A427" t="str">
            <v>INC55041755</v>
          </cell>
          <cell r="B427">
            <v>7952</v>
          </cell>
        </row>
        <row r="428">
          <cell r="A428" t="str">
            <v>INC55338770</v>
          </cell>
          <cell r="B428">
            <v>7946</v>
          </cell>
        </row>
        <row r="429">
          <cell r="A429" t="str">
            <v>INC54977475</v>
          </cell>
          <cell r="B429">
            <v>7930</v>
          </cell>
        </row>
        <row r="430">
          <cell r="A430" t="str">
            <v>INC54982520</v>
          </cell>
          <cell r="B430">
            <v>7926</v>
          </cell>
        </row>
        <row r="431">
          <cell r="A431" t="str">
            <v>INC55182549</v>
          </cell>
          <cell r="B431">
            <v>7886</v>
          </cell>
        </row>
        <row r="432">
          <cell r="A432" t="str">
            <v>INC54938719</v>
          </cell>
          <cell r="B432">
            <v>7830</v>
          </cell>
        </row>
        <row r="433">
          <cell r="A433" t="str">
            <v>INC54982553</v>
          </cell>
          <cell r="B433">
            <v>7786</v>
          </cell>
        </row>
        <row r="434">
          <cell r="A434" t="str">
            <v>INC55107172</v>
          </cell>
          <cell r="B434">
            <v>7754</v>
          </cell>
        </row>
        <row r="435">
          <cell r="A435" t="str">
            <v>INC55282823</v>
          </cell>
          <cell r="B435">
            <v>7716</v>
          </cell>
        </row>
        <row r="436">
          <cell r="A436" t="str">
            <v>INC54926614</v>
          </cell>
          <cell r="B436">
            <v>7692</v>
          </cell>
        </row>
        <row r="437">
          <cell r="A437" t="str">
            <v>INC55127695</v>
          </cell>
          <cell r="B437">
            <v>7674</v>
          </cell>
        </row>
        <row r="438">
          <cell r="A438" t="str">
            <v>INC54939101</v>
          </cell>
          <cell r="B438">
            <v>7611</v>
          </cell>
        </row>
        <row r="439">
          <cell r="A439" t="str">
            <v>INC54965137</v>
          </cell>
          <cell r="B439">
            <v>7536</v>
          </cell>
        </row>
        <row r="440">
          <cell r="A440" t="str">
            <v>INC55338775</v>
          </cell>
          <cell r="B440">
            <v>7486</v>
          </cell>
        </row>
        <row r="441">
          <cell r="A441" t="str">
            <v>INC55244991</v>
          </cell>
          <cell r="B441">
            <v>7484</v>
          </cell>
        </row>
        <row r="442">
          <cell r="A442" t="str">
            <v>INC55070945</v>
          </cell>
          <cell r="B442">
            <v>7478</v>
          </cell>
        </row>
        <row r="443">
          <cell r="A443" t="str">
            <v>INC54922212</v>
          </cell>
          <cell r="B443">
            <v>7420</v>
          </cell>
        </row>
        <row r="444">
          <cell r="A444" t="str">
            <v>INC55089362</v>
          </cell>
          <cell r="B444">
            <v>7406</v>
          </cell>
        </row>
        <row r="445">
          <cell r="A445" t="str">
            <v>INC55248632</v>
          </cell>
          <cell r="B445">
            <v>7384</v>
          </cell>
        </row>
        <row r="446">
          <cell r="A446" t="str">
            <v>INC55042376</v>
          </cell>
          <cell r="B446">
            <v>7332</v>
          </cell>
        </row>
        <row r="447">
          <cell r="A447" t="str">
            <v>INC55132058</v>
          </cell>
          <cell r="B447">
            <v>7329</v>
          </cell>
        </row>
        <row r="448">
          <cell r="A448" t="str">
            <v>INC54940825</v>
          </cell>
          <cell r="B448">
            <v>7254</v>
          </cell>
        </row>
        <row r="449">
          <cell r="A449" t="str">
            <v>INC55354530</v>
          </cell>
          <cell r="B449">
            <v>7250</v>
          </cell>
        </row>
        <row r="450">
          <cell r="A450" t="str">
            <v>INC55144144</v>
          </cell>
          <cell r="B450">
            <v>7221</v>
          </cell>
        </row>
        <row r="451">
          <cell r="A451" t="str">
            <v>INC55341838</v>
          </cell>
          <cell r="B451">
            <v>7183</v>
          </cell>
        </row>
        <row r="452">
          <cell r="A452" t="str">
            <v>INC55108072</v>
          </cell>
          <cell r="B452">
            <v>7160</v>
          </cell>
        </row>
        <row r="453">
          <cell r="A453" t="str">
            <v>INC55122612</v>
          </cell>
          <cell r="B453">
            <v>7126</v>
          </cell>
        </row>
        <row r="454">
          <cell r="A454" t="str">
            <v>INC55318705</v>
          </cell>
          <cell r="B454">
            <v>7125</v>
          </cell>
        </row>
        <row r="455">
          <cell r="A455" t="str">
            <v>INC55217024</v>
          </cell>
          <cell r="B455">
            <v>7066</v>
          </cell>
        </row>
        <row r="456">
          <cell r="A456" t="str">
            <v>INC54982745</v>
          </cell>
          <cell r="B456">
            <v>6978</v>
          </cell>
        </row>
        <row r="457">
          <cell r="A457" t="str">
            <v>INC55217017</v>
          </cell>
          <cell r="B457">
            <v>6968</v>
          </cell>
        </row>
        <row r="458">
          <cell r="A458" t="str">
            <v>INC55233005</v>
          </cell>
          <cell r="B458">
            <v>6906</v>
          </cell>
        </row>
        <row r="459">
          <cell r="A459" t="str">
            <v>INC55128961</v>
          </cell>
          <cell r="B459">
            <v>6886</v>
          </cell>
        </row>
        <row r="460">
          <cell r="A460" t="str">
            <v>INC55215334</v>
          </cell>
          <cell r="B460">
            <v>6834</v>
          </cell>
        </row>
        <row r="461">
          <cell r="A461" t="str">
            <v>INC55167105</v>
          </cell>
          <cell r="B461">
            <v>6829</v>
          </cell>
        </row>
        <row r="462">
          <cell r="A462" t="str">
            <v>INC55177736</v>
          </cell>
          <cell r="B462">
            <v>6816</v>
          </cell>
        </row>
        <row r="463">
          <cell r="A463" t="str">
            <v>INC54920639</v>
          </cell>
          <cell r="B463">
            <v>6746</v>
          </cell>
        </row>
        <row r="464">
          <cell r="A464" t="str">
            <v>INC55067359</v>
          </cell>
          <cell r="B464">
            <v>6668</v>
          </cell>
        </row>
        <row r="465">
          <cell r="A465" t="str">
            <v>INC54965446</v>
          </cell>
          <cell r="B465">
            <v>6626</v>
          </cell>
        </row>
        <row r="466">
          <cell r="A466" t="str">
            <v>INC54925267</v>
          </cell>
          <cell r="B466">
            <v>6616</v>
          </cell>
        </row>
        <row r="467">
          <cell r="A467" t="str">
            <v>INC55234393</v>
          </cell>
          <cell r="B467">
            <v>6614</v>
          </cell>
        </row>
        <row r="468">
          <cell r="A468" t="str">
            <v>INC55321488</v>
          </cell>
          <cell r="B468">
            <v>6608</v>
          </cell>
        </row>
        <row r="469">
          <cell r="A469" t="str">
            <v>INC55303598</v>
          </cell>
          <cell r="B469">
            <v>6564</v>
          </cell>
        </row>
        <row r="470">
          <cell r="A470" t="str">
            <v>INC54959613</v>
          </cell>
          <cell r="B470">
            <v>6538</v>
          </cell>
        </row>
        <row r="471">
          <cell r="A471" t="str">
            <v>INC55215963</v>
          </cell>
          <cell r="B471">
            <v>6518</v>
          </cell>
        </row>
        <row r="472">
          <cell r="A472" t="str">
            <v>INC54984257</v>
          </cell>
          <cell r="B472">
            <v>6456</v>
          </cell>
        </row>
        <row r="473">
          <cell r="A473" t="str">
            <v>INC54958235</v>
          </cell>
          <cell r="B473">
            <v>6456</v>
          </cell>
        </row>
        <row r="474">
          <cell r="A474" t="str">
            <v>INC55300323</v>
          </cell>
          <cell r="B474">
            <v>6396</v>
          </cell>
        </row>
        <row r="475">
          <cell r="A475" t="str">
            <v>INC55228724</v>
          </cell>
          <cell r="B475">
            <v>6394</v>
          </cell>
        </row>
        <row r="476">
          <cell r="A476" t="str">
            <v>INC54958552</v>
          </cell>
          <cell r="B476">
            <v>6364</v>
          </cell>
        </row>
        <row r="477">
          <cell r="A477" t="str">
            <v>INC55001711</v>
          </cell>
          <cell r="B477">
            <v>6360</v>
          </cell>
        </row>
        <row r="478">
          <cell r="A478" t="str">
            <v>INC55246984</v>
          </cell>
          <cell r="B478">
            <v>6345</v>
          </cell>
        </row>
        <row r="479">
          <cell r="A479" t="str">
            <v>INC55178557</v>
          </cell>
          <cell r="B479">
            <v>6336</v>
          </cell>
        </row>
        <row r="480">
          <cell r="A480" t="str">
            <v>INC54925144</v>
          </cell>
          <cell r="B480">
            <v>6306</v>
          </cell>
        </row>
        <row r="481">
          <cell r="A481" t="str">
            <v>INC55215977</v>
          </cell>
          <cell r="B481">
            <v>6256</v>
          </cell>
        </row>
        <row r="482">
          <cell r="A482" t="str">
            <v>INC55092295</v>
          </cell>
          <cell r="B482">
            <v>6222</v>
          </cell>
        </row>
        <row r="483">
          <cell r="A483" t="str">
            <v>INC54929149</v>
          </cell>
          <cell r="B483">
            <v>6201</v>
          </cell>
        </row>
        <row r="484">
          <cell r="A484" t="str">
            <v>INC55347097</v>
          </cell>
          <cell r="B484">
            <v>6062</v>
          </cell>
        </row>
        <row r="485">
          <cell r="A485" t="str">
            <v>INC54881419</v>
          </cell>
          <cell r="B485">
            <v>6000</v>
          </cell>
        </row>
        <row r="486">
          <cell r="A486" t="str">
            <v>INC54940276</v>
          </cell>
          <cell r="B486">
            <v>5990</v>
          </cell>
        </row>
        <row r="487">
          <cell r="A487" t="str">
            <v>INC55315857</v>
          </cell>
          <cell r="B487">
            <v>5966</v>
          </cell>
        </row>
        <row r="488">
          <cell r="A488" t="str">
            <v>INC55304278</v>
          </cell>
          <cell r="B488">
            <v>5966</v>
          </cell>
        </row>
        <row r="489">
          <cell r="A489" t="str">
            <v>INC55042826</v>
          </cell>
          <cell r="B489">
            <v>5934</v>
          </cell>
        </row>
        <row r="490">
          <cell r="A490" t="str">
            <v>INC55215989</v>
          </cell>
          <cell r="B490">
            <v>5916</v>
          </cell>
        </row>
        <row r="491">
          <cell r="A491" t="str">
            <v>INC55218266</v>
          </cell>
          <cell r="B491">
            <v>5902</v>
          </cell>
        </row>
        <row r="492">
          <cell r="A492" t="str">
            <v>INC54878457</v>
          </cell>
          <cell r="B492">
            <v>5900</v>
          </cell>
        </row>
        <row r="493">
          <cell r="A493" t="str">
            <v>INC54939312</v>
          </cell>
          <cell r="B493">
            <v>5886</v>
          </cell>
        </row>
        <row r="494">
          <cell r="A494" t="str">
            <v>INC55214673</v>
          </cell>
          <cell r="B494">
            <v>5820</v>
          </cell>
        </row>
        <row r="495">
          <cell r="A495" t="str">
            <v>INC54921237</v>
          </cell>
          <cell r="B495">
            <v>5814</v>
          </cell>
        </row>
        <row r="496">
          <cell r="A496" t="str">
            <v>INC54977446</v>
          </cell>
          <cell r="B496">
            <v>5784</v>
          </cell>
        </row>
        <row r="497">
          <cell r="A497" t="str">
            <v>INC54960565</v>
          </cell>
          <cell r="B497">
            <v>5722</v>
          </cell>
        </row>
        <row r="498">
          <cell r="A498" t="str">
            <v>INC55126134</v>
          </cell>
          <cell r="B498">
            <v>5707</v>
          </cell>
        </row>
        <row r="499">
          <cell r="A499" t="str">
            <v>INC55304427</v>
          </cell>
          <cell r="B499">
            <v>5696</v>
          </cell>
        </row>
        <row r="500">
          <cell r="A500" t="str">
            <v>INC55176423</v>
          </cell>
          <cell r="B500">
            <v>5694</v>
          </cell>
        </row>
        <row r="501">
          <cell r="A501" t="str">
            <v>INC55106363</v>
          </cell>
          <cell r="B501">
            <v>5660</v>
          </cell>
        </row>
        <row r="502">
          <cell r="A502" t="str">
            <v>INC55093319</v>
          </cell>
          <cell r="B502">
            <v>5652</v>
          </cell>
        </row>
        <row r="503">
          <cell r="A503" t="str">
            <v>INC54999080</v>
          </cell>
          <cell r="B503">
            <v>5652</v>
          </cell>
        </row>
        <row r="504">
          <cell r="A504" t="str">
            <v>INC55177396</v>
          </cell>
          <cell r="B504">
            <v>5646</v>
          </cell>
        </row>
        <row r="505">
          <cell r="A505" t="str">
            <v>INC55106168</v>
          </cell>
          <cell r="B505">
            <v>5502</v>
          </cell>
        </row>
        <row r="506">
          <cell r="A506" t="str">
            <v>INC55045699</v>
          </cell>
          <cell r="B506">
            <v>5502</v>
          </cell>
        </row>
        <row r="507">
          <cell r="A507" t="str">
            <v>INC55286680</v>
          </cell>
          <cell r="B507">
            <v>5499</v>
          </cell>
        </row>
        <row r="508">
          <cell r="A508" t="str">
            <v>INC55002329</v>
          </cell>
          <cell r="B508">
            <v>5448</v>
          </cell>
        </row>
        <row r="509">
          <cell r="A509" t="str">
            <v>INC55217494</v>
          </cell>
          <cell r="B509">
            <v>5424</v>
          </cell>
        </row>
        <row r="510">
          <cell r="A510" t="str">
            <v>INC55303214</v>
          </cell>
          <cell r="B510">
            <v>5404</v>
          </cell>
        </row>
        <row r="511">
          <cell r="A511" t="str">
            <v>INC55042467</v>
          </cell>
          <cell r="B511">
            <v>5402</v>
          </cell>
        </row>
        <row r="512">
          <cell r="A512" t="str">
            <v>INC54943135</v>
          </cell>
          <cell r="B512">
            <v>5394</v>
          </cell>
        </row>
        <row r="513">
          <cell r="A513" t="str">
            <v>INC54976692</v>
          </cell>
          <cell r="B513">
            <v>5353</v>
          </cell>
        </row>
        <row r="514">
          <cell r="A514" t="str">
            <v>INC55066582</v>
          </cell>
          <cell r="B514">
            <v>5218</v>
          </cell>
        </row>
        <row r="515">
          <cell r="A515" t="str">
            <v>INC55125968</v>
          </cell>
          <cell r="B515">
            <v>5192</v>
          </cell>
        </row>
        <row r="516">
          <cell r="A516" t="str">
            <v>INC54924514</v>
          </cell>
          <cell r="B516">
            <v>5162</v>
          </cell>
        </row>
        <row r="517">
          <cell r="A517" t="str">
            <v>INC54958807</v>
          </cell>
          <cell r="B517">
            <v>5160</v>
          </cell>
        </row>
        <row r="518">
          <cell r="A518" t="str">
            <v>INC55320224</v>
          </cell>
          <cell r="B518">
            <v>5126</v>
          </cell>
        </row>
        <row r="519">
          <cell r="A519" t="str">
            <v>INC55337308</v>
          </cell>
          <cell r="B519">
            <v>5076</v>
          </cell>
        </row>
        <row r="520">
          <cell r="A520" t="str">
            <v>INC55087120</v>
          </cell>
          <cell r="B520">
            <v>5004</v>
          </cell>
        </row>
        <row r="521">
          <cell r="A521" t="str">
            <v>INC55177221</v>
          </cell>
          <cell r="B521">
            <v>4980</v>
          </cell>
        </row>
        <row r="522">
          <cell r="A522" t="str">
            <v>INC55285959</v>
          </cell>
          <cell r="B522">
            <v>4974</v>
          </cell>
        </row>
        <row r="523">
          <cell r="A523" t="str">
            <v>INC55129309</v>
          </cell>
          <cell r="B523">
            <v>4940</v>
          </cell>
        </row>
        <row r="524">
          <cell r="A524" t="str">
            <v>INC55301710</v>
          </cell>
          <cell r="B524">
            <v>4924</v>
          </cell>
        </row>
        <row r="525">
          <cell r="A525" t="str">
            <v>INC55064930</v>
          </cell>
          <cell r="B525">
            <v>4908</v>
          </cell>
        </row>
        <row r="526">
          <cell r="A526" t="str">
            <v>INC54920533</v>
          </cell>
          <cell r="B526">
            <v>4850</v>
          </cell>
        </row>
        <row r="527">
          <cell r="A527" t="str">
            <v>INC55182980</v>
          </cell>
          <cell r="B527">
            <v>4822</v>
          </cell>
        </row>
        <row r="528">
          <cell r="A528" t="str">
            <v>INC55110511</v>
          </cell>
          <cell r="B528">
            <v>4802</v>
          </cell>
        </row>
        <row r="529">
          <cell r="A529" t="str">
            <v>INC55236126</v>
          </cell>
          <cell r="B529">
            <v>4798</v>
          </cell>
        </row>
        <row r="530">
          <cell r="A530" t="str">
            <v>INC55093292</v>
          </cell>
          <cell r="B530">
            <v>4788</v>
          </cell>
        </row>
        <row r="531">
          <cell r="A531" t="str">
            <v>INC55064841</v>
          </cell>
          <cell r="B531">
            <v>4766</v>
          </cell>
        </row>
        <row r="532">
          <cell r="A532" t="str">
            <v>INC54983572</v>
          </cell>
          <cell r="B532">
            <v>4744</v>
          </cell>
        </row>
        <row r="533">
          <cell r="A533" t="str">
            <v>INC54958780</v>
          </cell>
          <cell r="B533">
            <v>4744</v>
          </cell>
        </row>
        <row r="534">
          <cell r="A534" t="str">
            <v>INC55286529</v>
          </cell>
          <cell r="B534">
            <v>4660</v>
          </cell>
        </row>
        <row r="535">
          <cell r="A535" t="str">
            <v>INC55303364</v>
          </cell>
          <cell r="B535">
            <v>4652</v>
          </cell>
        </row>
        <row r="536">
          <cell r="A536" t="str">
            <v>INC54977303</v>
          </cell>
          <cell r="B536">
            <v>4648</v>
          </cell>
        </row>
        <row r="537">
          <cell r="A537" t="str">
            <v>INC54941231</v>
          </cell>
          <cell r="B537">
            <v>4648</v>
          </cell>
        </row>
        <row r="538">
          <cell r="A538" t="str">
            <v>INC55126202</v>
          </cell>
          <cell r="B538">
            <v>4647</v>
          </cell>
        </row>
        <row r="539">
          <cell r="A539" t="str">
            <v>INC54920506</v>
          </cell>
          <cell r="B539">
            <v>4646</v>
          </cell>
        </row>
        <row r="540">
          <cell r="A540" t="str">
            <v>INC54921347</v>
          </cell>
          <cell r="B540">
            <v>4644</v>
          </cell>
        </row>
        <row r="541">
          <cell r="A541" t="str">
            <v>INC54958731</v>
          </cell>
          <cell r="B541">
            <v>4638</v>
          </cell>
        </row>
        <row r="542">
          <cell r="A542" t="str">
            <v>INC54982573</v>
          </cell>
          <cell r="B542">
            <v>4634</v>
          </cell>
        </row>
        <row r="543">
          <cell r="A543" t="str">
            <v>INC55182855</v>
          </cell>
          <cell r="B543">
            <v>4620</v>
          </cell>
        </row>
        <row r="544">
          <cell r="A544" t="str">
            <v>INC54963451</v>
          </cell>
          <cell r="B544">
            <v>4606</v>
          </cell>
        </row>
        <row r="545">
          <cell r="A545" t="str">
            <v>INC55245524</v>
          </cell>
          <cell r="B545">
            <v>4603</v>
          </cell>
        </row>
        <row r="546">
          <cell r="A546" t="str">
            <v>INC55303696</v>
          </cell>
          <cell r="B546">
            <v>4574</v>
          </cell>
        </row>
        <row r="547">
          <cell r="A547" t="str">
            <v>INC54997552</v>
          </cell>
          <cell r="B547">
            <v>4560</v>
          </cell>
        </row>
        <row r="548">
          <cell r="A548" t="str">
            <v>INC54958272</v>
          </cell>
          <cell r="B548">
            <v>4544</v>
          </cell>
        </row>
        <row r="549">
          <cell r="A549" t="str">
            <v>INC54924907</v>
          </cell>
          <cell r="B549">
            <v>4542</v>
          </cell>
        </row>
        <row r="550">
          <cell r="A550" t="str">
            <v>INC55049816</v>
          </cell>
          <cell r="B550">
            <v>4466</v>
          </cell>
        </row>
        <row r="551">
          <cell r="A551" t="str">
            <v>INC54959574</v>
          </cell>
          <cell r="B551">
            <v>4460</v>
          </cell>
        </row>
        <row r="552">
          <cell r="A552" t="str">
            <v>INC54958437</v>
          </cell>
          <cell r="B552">
            <v>4436</v>
          </cell>
        </row>
        <row r="553">
          <cell r="A553" t="str">
            <v>INC54983780</v>
          </cell>
          <cell r="B553">
            <v>4342</v>
          </cell>
        </row>
        <row r="554">
          <cell r="A554" t="str">
            <v>INC55001016</v>
          </cell>
          <cell r="B554">
            <v>4274</v>
          </cell>
        </row>
        <row r="555">
          <cell r="A555" t="str">
            <v>INC54924990</v>
          </cell>
          <cell r="B555">
            <v>4268</v>
          </cell>
        </row>
        <row r="556">
          <cell r="A556" t="str">
            <v>INC55001640</v>
          </cell>
          <cell r="B556">
            <v>4242</v>
          </cell>
        </row>
        <row r="557">
          <cell r="A557" t="str">
            <v>INC55228951</v>
          </cell>
          <cell r="B557">
            <v>4220</v>
          </cell>
        </row>
        <row r="558">
          <cell r="A558" t="str">
            <v>INC55062027</v>
          </cell>
          <cell r="B558">
            <v>4209</v>
          </cell>
        </row>
        <row r="559">
          <cell r="A559" t="str">
            <v>INC55287943</v>
          </cell>
          <cell r="B559">
            <v>4200</v>
          </cell>
        </row>
        <row r="560">
          <cell r="A560" t="str">
            <v>INC55316258</v>
          </cell>
          <cell r="B560">
            <v>4174</v>
          </cell>
        </row>
        <row r="561">
          <cell r="A561" t="str">
            <v>INC54940051</v>
          </cell>
          <cell r="B561">
            <v>4160</v>
          </cell>
        </row>
        <row r="562">
          <cell r="A562" t="str">
            <v>INC55065463</v>
          </cell>
          <cell r="B562">
            <v>4148</v>
          </cell>
        </row>
        <row r="563">
          <cell r="A563" t="str">
            <v>INC55001173</v>
          </cell>
          <cell r="B563">
            <v>4090</v>
          </cell>
        </row>
        <row r="564">
          <cell r="A564" t="str">
            <v>INC55110720</v>
          </cell>
          <cell r="B564">
            <v>4078</v>
          </cell>
        </row>
        <row r="565">
          <cell r="A565" t="str">
            <v>INC54881166</v>
          </cell>
          <cell r="B565">
            <v>4076</v>
          </cell>
        </row>
        <row r="566">
          <cell r="A566" t="str">
            <v>INC55229355</v>
          </cell>
          <cell r="B566">
            <v>4012</v>
          </cell>
        </row>
        <row r="567">
          <cell r="A567" t="str">
            <v>INC55234142</v>
          </cell>
          <cell r="B567">
            <v>3972</v>
          </cell>
        </row>
        <row r="568">
          <cell r="A568" t="str">
            <v>INC55093468</v>
          </cell>
          <cell r="B568">
            <v>3952</v>
          </cell>
        </row>
        <row r="569">
          <cell r="A569" t="str">
            <v>INC55184494</v>
          </cell>
          <cell r="B569">
            <v>3948</v>
          </cell>
        </row>
        <row r="570">
          <cell r="A570" t="str">
            <v>INC55217228</v>
          </cell>
          <cell r="B570">
            <v>3832</v>
          </cell>
        </row>
        <row r="571">
          <cell r="A571" t="str">
            <v>INC55337241</v>
          </cell>
          <cell r="B571">
            <v>3760</v>
          </cell>
        </row>
        <row r="572">
          <cell r="A572" t="str">
            <v>INC55334834</v>
          </cell>
          <cell r="B572">
            <v>3756</v>
          </cell>
        </row>
        <row r="573">
          <cell r="A573" t="str">
            <v>INC55064453</v>
          </cell>
          <cell r="B573">
            <v>3756</v>
          </cell>
        </row>
        <row r="574">
          <cell r="A574" t="str">
            <v>INC55065141</v>
          </cell>
          <cell r="B574">
            <v>3741</v>
          </cell>
        </row>
        <row r="575">
          <cell r="A575" t="str">
            <v>INC55217318</v>
          </cell>
          <cell r="B575">
            <v>3722</v>
          </cell>
        </row>
        <row r="576">
          <cell r="A576" t="str">
            <v>INC55128130</v>
          </cell>
          <cell r="B576">
            <v>3702</v>
          </cell>
        </row>
        <row r="577">
          <cell r="A577" t="str">
            <v>INC55285914</v>
          </cell>
          <cell r="B577">
            <v>3699</v>
          </cell>
        </row>
        <row r="578">
          <cell r="A578" t="str">
            <v>INC55000277</v>
          </cell>
          <cell r="B578">
            <v>3694</v>
          </cell>
        </row>
        <row r="579">
          <cell r="A579" t="str">
            <v>INC54944036</v>
          </cell>
          <cell r="B579">
            <v>3680</v>
          </cell>
        </row>
        <row r="580">
          <cell r="A580" t="str">
            <v>INC55287070</v>
          </cell>
          <cell r="B580">
            <v>3668</v>
          </cell>
        </row>
        <row r="581">
          <cell r="A581" t="str">
            <v>INC55229097</v>
          </cell>
          <cell r="B581">
            <v>3656</v>
          </cell>
        </row>
        <row r="582">
          <cell r="A582" t="str">
            <v>INC54940147</v>
          </cell>
          <cell r="B582">
            <v>3656</v>
          </cell>
        </row>
        <row r="583">
          <cell r="A583" t="str">
            <v>INC54977588</v>
          </cell>
          <cell r="B583">
            <v>3639</v>
          </cell>
        </row>
        <row r="584">
          <cell r="A584" t="str">
            <v>INC54922260</v>
          </cell>
          <cell r="B584">
            <v>3638</v>
          </cell>
        </row>
        <row r="585">
          <cell r="A585" t="str">
            <v>INC54852367</v>
          </cell>
          <cell r="B585">
            <v>3629</v>
          </cell>
        </row>
        <row r="586">
          <cell r="A586" t="str">
            <v>INC55284235</v>
          </cell>
          <cell r="B586">
            <v>3598</v>
          </cell>
        </row>
        <row r="587">
          <cell r="A587" t="str">
            <v>INC55106596</v>
          </cell>
          <cell r="B587">
            <v>3598</v>
          </cell>
        </row>
        <row r="588">
          <cell r="A588" t="str">
            <v>INC54945421</v>
          </cell>
          <cell r="B588">
            <v>3592</v>
          </cell>
        </row>
        <row r="589">
          <cell r="A589" t="str">
            <v>INC55286511</v>
          </cell>
          <cell r="B589">
            <v>3524</v>
          </cell>
        </row>
        <row r="590">
          <cell r="A590" t="str">
            <v>INC55092164</v>
          </cell>
          <cell r="B590">
            <v>3466</v>
          </cell>
        </row>
        <row r="591">
          <cell r="A591" t="str">
            <v>INC54882634</v>
          </cell>
          <cell r="B591">
            <v>3440</v>
          </cell>
        </row>
        <row r="592">
          <cell r="A592" t="str">
            <v>INC54963374</v>
          </cell>
          <cell r="B592">
            <v>3424</v>
          </cell>
        </row>
        <row r="593">
          <cell r="A593" t="str">
            <v>INC55041445</v>
          </cell>
          <cell r="B593">
            <v>3418</v>
          </cell>
        </row>
        <row r="594">
          <cell r="A594" t="str">
            <v>INC55109379</v>
          </cell>
          <cell r="B594">
            <v>3392</v>
          </cell>
        </row>
        <row r="595">
          <cell r="A595" t="str">
            <v>INC55086826</v>
          </cell>
          <cell r="B595">
            <v>3342</v>
          </cell>
        </row>
        <row r="596">
          <cell r="A596" t="str">
            <v>INC55069840</v>
          </cell>
          <cell r="B596">
            <v>3310</v>
          </cell>
        </row>
        <row r="597">
          <cell r="A597" t="str">
            <v>INC55047312</v>
          </cell>
          <cell r="B597">
            <v>3300</v>
          </cell>
        </row>
        <row r="598">
          <cell r="A598" t="str">
            <v>INC55286738</v>
          </cell>
          <cell r="B598">
            <v>3278</v>
          </cell>
        </row>
        <row r="599">
          <cell r="A599" t="str">
            <v>INC55109000</v>
          </cell>
          <cell r="B599">
            <v>3272</v>
          </cell>
        </row>
        <row r="600">
          <cell r="A600" t="str">
            <v>INC54963830</v>
          </cell>
          <cell r="B600">
            <v>3260</v>
          </cell>
        </row>
        <row r="601">
          <cell r="A601" t="str">
            <v>INC55047248</v>
          </cell>
          <cell r="B601">
            <v>3250</v>
          </cell>
        </row>
        <row r="602">
          <cell r="A602" t="str">
            <v>INC55336747</v>
          </cell>
          <cell r="B602">
            <v>3214</v>
          </cell>
        </row>
        <row r="603">
          <cell r="A603" t="str">
            <v>INC55288343</v>
          </cell>
          <cell r="B603">
            <v>3214</v>
          </cell>
        </row>
        <row r="604">
          <cell r="A604" t="str">
            <v>INC55319690</v>
          </cell>
          <cell r="B604">
            <v>3182</v>
          </cell>
        </row>
        <row r="605">
          <cell r="A605" t="str">
            <v>INC55002388</v>
          </cell>
          <cell r="B605">
            <v>3180</v>
          </cell>
        </row>
        <row r="606">
          <cell r="A606" t="str">
            <v>INC55091228</v>
          </cell>
          <cell r="B606">
            <v>3176</v>
          </cell>
        </row>
        <row r="607">
          <cell r="A607" t="str">
            <v>INC55109577</v>
          </cell>
          <cell r="B607">
            <v>3171</v>
          </cell>
        </row>
        <row r="608">
          <cell r="A608" t="str">
            <v>INC54983892</v>
          </cell>
          <cell r="B608">
            <v>3146</v>
          </cell>
        </row>
        <row r="609">
          <cell r="A609" t="str">
            <v>INC55245619</v>
          </cell>
          <cell r="B609">
            <v>3132</v>
          </cell>
        </row>
        <row r="610">
          <cell r="A610" t="str">
            <v>INC55282406</v>
          </cell>
          <cell r="B610">
            <v>3118</v>
          </cell>
        </row>
        <row r="611">
          <cell r="A611" t="str">
            <v>INC54882420</v>
          </cell>
          <cell r="B611">
            <v>3085</v>
          </cell>
        </row>
        <row r="612">
          <cell r="A612" t="str">
            <v>INC54904691</v>
          </cell>
          <cell r="B612">
            <v>3057</v>
          </cell>
        </row>
        <row r="613">
          <cell r="A613" t="str">
            <v>INC55047256</v>
          </cell>
          <cell r="B613">
            <v>3056</v>
          </cell>
        </row>
        <row r="614">
          <cell r="A614" t="str">
            <v>INC54944119</v>
          </cell>
          <cell r="B614">
            <v>3032</v>
          </cell>
        </row>
        <row r="615">
          <cell r="A615" t="str">
            <v>INC55349720</v>
          </cell>
          <cell r="B615">
            <v>3012</v>
          </cell>
        </row>
        <row r="616">
          <cell r="A616" t="str">
            <v>INC55067942</v>
          </cell>
          <cell r="B616">
            <v>2994</v>
          </cell>
        </row>
        <row r="617">
          <cell r="A617" t="str">
            <v>INC55302475</v>
          </cell>
          <cell r="B617">
            <v>2950</v>
          </cell>
        </row>
        <row r="618">
          <cell r="A618" t="str">
            <v>INC55217726</v>
          </cell>
          <cell r="B618">
            <v>2868</v>
          </cell>
        </row>
        <row r="619">
          <cell r="A619" t="str">
            <v>INC55217546</v>
          </cell>
          <cell r="B619">
            <v>2854</v>
          </cell>
        </row>
        <row r="620">
          <cell r="A620" t="str">
            <v>INC55282267</v>
          </cell>
          <cell r="B620">
            <v>2850</v>
          </cell>
        </row>
        <row r="621">
          <cell r="A621" t="str">
            <v>INC54921589</v>
          </cell>
          <cell r="B621">
            <v>2800</v>
          </cell>
        </row>
        <row r="622">
          <cell r="A622" t="str">
            <v>INC55047302</v>
          </cell>
          <cell r="B622">
            <v>2796</v>
          </cell>
        </row>
        <row r="623">
          <cell r="A623" t="str">
            <v>INC55047431</v>
          </cell>
          <cell r="B623">
            <v>2770</v>
          </cell>
        </row>
        <row r="624">
          <cell r="A624" t="str">
            <v>INC55062702</v>
          </cell>
          <cell r="B624">
            <v>2739</v>
          </cell>
        </row>
        <row r="625">
          <cell r="A625" t="str">
            <v>INC55216728</v>
          </cell>
          <cell r="B625">
            <v>2695</v>
          </cell>
        </row>
        <row r="626">
          <cell r="A626" t="str">
            <v>INC54938451</v>
          </cell>
          <cell r="B626">
            <v>2694</v>
          </cell>
        </row>
        <row r="627">
          <cell r="A627" t="str">
            <v>INC55176231</v>
          </cell>
          <cell r="B627">
            <v>2685</v>
          </cell>
        </row>
        <row r="628">
          <cell r="A628" t="str">
            <v>INC55093688</v>
          </cell>
          <cell r="B628">
            <v>2666</v>
          </cell>
        </row>
        <row r="629">
          <cell r="A629" t="str">
            <v>INC54965067</v>
          </cell>
          <cell r="B629">
            <v>2664</v>
          </cell>
        </row>
        <row r="630">
          <cell r="A630" t="str">
            <v>INC55179277</v>
          </cell>
          <cell r="B630">
            <v>2656</v>
          </cell>
        </row>
        <row r="631">
          <cell r="A631" t="str">
            <v>INC55320970</v>
          </cell>
          <cell r="B631">
            <v>2644</v>
          </cell>
        </row>
        <row r="632">
          <cell r="A632" t="str">
            <v>INC55320953</v>
          </cell>
          <cell r="B632">
            <v>2638</v>
          </cell>
        </row>
        <row r="633">
          <cell r="A633" t="str">
            <v>INC55282317</v>
          </cell>
          <cell r="B633">
            <v>2628</v>
          </cell>
        </row>
        <row r="634">
          <cell r="A634" t="str">
            <v>INC55042939</v>
          </cell>
          <cell r="B634">
            <v>2594</v>
          </cell>
        </row>
        <row r="635">
          <cell r="A635" t="str">
            <v>INC55247083</v>
          </cell>
          <cell r="B635">
            <v>2588</v>
          </cell>
        </row>
        <row r="636">
          <cell r="A636" t="str">
            <v>INC55042991</v>
          </cell>
          <cell r="B636">
            <v>2558</v>
          </cell>
        </row>
        <row r="637">
          <cell r="A637" t="str">
            <v>INC55178197</v>
          </cell>
          <cell r="B637">
            <v>2554</v>
          </cell>
        </row>
        <row r="638">
          <cell r="A638" t="str">
            <v>INC54964463</v>
          </cell>
          <cell r="B638">
            <v>2536</v>
          </cell>
        </row>
        <row r="639">
          <cell r="A639" t="str">
            <v>INC55000134</v>
          </cell>
          <cell r="B639">
            <v>2516</v>
          </cell>
        </row>
        <row r="640">
          <cell r="A640" t="str">
            <v>INC55127822</v>
          </cell>
          <cell r="B640">
            <v>2464</v>
          </cell>
        </row>
        <row r="641">
          <cell r="A641" t="str">
            <v>INC55085928</v>
          </cell>
          <cell r="B641">
            <v>2430</v>
          </cell>
        </row>
        <row r="642">
          <cell r="A642" t="str">
            <v>INC54940149</v>
          </cell>
          <cell r="B642">
            <v>2430</v>
          </cell>
        </row>
        <row r="643">
          <cell r="A643" t="str">
            <v>INC55092617</v>
          </cell>
          <cell r="B643">
            <v>2424</v>
          </cell>
        </row>
        <row r="644">
          <cell r="A644" t="str">
            <v>INC55130945</v>
          </cell>
          <cell r="B644">
            <v>2422</v>
          </cell>
        </row>
        <row r="645">
          <cell r="A645" t="str">
            <v>INC55085986</v>
          </cell>
          <cell r="B645">
            <v>2422</v>
          </cell>
        </row>
        <row r="646">
          <cell r="A646" t="str">
            <v>INC55070015</v>
          </cell>
          <cell r="B646">
            <v>2348</v>
          </cell>
        </row>
        <row r="647">
          <cell r="A647" t="str">
            <v>INC54824772</v>
          </cell>
          <cell r="B647">
            <v>2328</v>
          </cell>
        </row>
        <row r="648">
          <cell r="A648" t="str">
            <v>INC55070042</v>
          </cell>
          <cell r="B648">
            <v>2294</v>
          </cell>
        </row>
        <row r="649">
          <cell r="A649" t="str">
            <v>INC55068124</v>
          </cell>
          <cell r="B649">
            <v>2278</v>
          </cell>
        </row>
        <row r="650">
          <cell r="A650" t="str">
            <v>INC55091052</v>
          </cell>
          <cell r="B650">
            <v>2270</v>
          </cell>
        </row>
        <row r="651">
          <cell r="A651" t="str">
            <v>INC55303937</v>
          </cell>
          <cell r="B651">
            <v>2226</v>
          </cell>
        </row>
        <row r="652">
          <cell r="A652" t="str">
            <v>INC55129046</v>
          </cell>
          <cell r="B652">
            <v>2200</v>
          </cell>
        </row>
        <row r="653">
          <cell r="A653" t="str">
            <v>INC55353809</v>
          </cell>
          <cell r="B653">
            <v>2110</v>
          </cell>
        </row>
        <row r="654">
          <cell r="A654" t="str">
            <v>INC55320676</v>
          </cell>
          <cell r="B654">
            <v>2100</v>
          </cell>
        </row>
        <row r="655">
          <cell r="A655" t="str">
            <v>INC55068241</v>
          </cell>
          <cell r="B655">
            <v>2078</v>
          </cell>
        </row>
        <row r="656">
          <cell r="A656" t="str">
            <v>INC54997786</v>
          </cell>
          <cell r="B656">
            <v>2076</v>
          </cell>
        </row>
        <row r="657">
          <cell r="A657" t="str">
            <v>INC55182918</v>
          </cell>
          <cell r="B657">
            <v>2044</v>
          </cell>
        </row>
        <row r="658">
          <cell r="A658" t="str">
            <v>INC54881491</v>
          </cell>
          <cell r="B658">
            <v>2026</v>
          </cell>
        </row>
        <row r="659">
          <cell r="A659" t="str">
            <v>INC55068663</v>
          </cell>
          <cell r="B659">
            <v>2016</v>
          </cell>
        </row>
        <row r="660">
          <cell r="A660" t="str">
            <v>INC55044134</v>
          </cell>
          <cell r="B660">
            <v>2010</v>
          </cell>
        </row>
        <row r="661">
          <cell r="A661" t="str">
            <v>INC54920464</v>
          </cell>
          <cell r="B661">
            <v>1994</v>
          </cell>
        </row>
        <row r="662">
          <cell r="A662" t="str">
            <v>INC55303864</v>
          </cell>
          <cell r="B662">
            <v>1988</v>
          </cell>
        </row>
        <row r="663">
          <cell r="A663" t="str">
            <v>INC55283310</v>
          </cell>
          <cell r="B663">
            <v>1982</v>
          </cell>
        </row>
        <row r="664">
          <cell r="A664" t="str">
            <v>INC54922387</v>
          </cell>
          <cell r="B664">
            <v>1982</v>
          </cell>
        </row>
        <row r="665">
          <cell r="A665" t="str">
            <v>INC54921467</v>
          </cell>
          <cell r="B665">
            <v>1974</v>
          </cell>
        </row>
        <row r="666">
          <cell r="A666" t="str">
            <v>INC54939582</v>
          </cell>
          <cell r="B666">
            <v>1944</v>
          </cell>
        </row>
        <row r="667">
          <cell r="A667" t="str">
            <v>INC54944859</v>
          </cell>
          <cell r="B667">
            <v>1938</v>
          </cell>
        </row>
        <row r="668">
          <cell r="A668" t="str">
            <v>INC55197904</v>
          </cell>
          <cell r="B668">
            <v>1906</v>
          </cell>
        </row>
        <row r="669">
          <cell r="A669" t="str">
            <v>INC55249126</v>
          </cell>
          <cell r="B669">
            <v>1886</v>
          </cell>
        </row>
        <row r="670">
          <cell r="A670" t="str">
            <v>INC54963471</v>
          </cell>
          <cell r="B670">
            <v>1832</v>
          </cell>
        </row>
        <row r="671">
          <cell r="A671" t="str">
            <v>INC55131529</v>
          </cell>
          <cell r="B671">
            <v>1808</v>
          </cell>
        </row>
        <row r="672">
          <cell r="A672" t="str">
            <v>INC55178631</v>
          </cell>
          <cell r="B672">
            <v>1804</v>
          </cell>
        </row>
        <row r="673">
          <cell r="A673" t="str">
            <v>INC55065359</v>
          </cell>
          <cell r="B673">
            <v>1761</v>
          </cell>
        </row>
        <row r="674">
          <cell r="A674" t="str">
            <v>INC54921410</v>
          </cell>
          <cell r="B674">
            <v>1760</v>
          </cell>
        </row>
        <row r="675">
          <cell r="A675" t="str">
            <v>INC54983139</v>
          </cell>
          <cell r="B675">
            <v>1758</v>
          </cell>
        </row>
        <row r="676">
          <cell r="A676" t="str">
            <v>INC55282619</v>
          </cell>
          <cell r="B676">
            <v>1744</v>
          </cell>
        </row>
        <row r="677">
          <cell r="A677" t="str">
            <v>INC54938512</v>
          </cell>
          <cell r="B677">
            <v>1744</v>
          </cell>
        </row>
        <row r="678">
          <cell r="A678" t="str">
            <v>INC54828833</v>
          </cell>
          <cell r="B678">
            <v>1698</v>
          </cell>
        </row>
        <row r="679">
          <cell r="A679" t="str">
            <v>INC55350631</v>
          </cell>
          <cell r="B679">
            <v>1688</v>
          </cell>
        </row>
        <row r="680">
          <cell r="A680" t="str">
            <v>INC55068603</v>
          </cell>
          <cell r="B680">
            <v>1650</v>
          </cell>
        </row>
        <row r="681">
          <cell r="A681" t="str">
            <v>INC55196439</v>
          </cell>
          <cell r="B681">
            <v>1638</v>
          </cell>
        </row>
        <row r="682">
          <cell r="A682" t="str">
            <v>INC55110008</v>
          </cell>
          <cell r="B682">
            <v>1630</v>
          </cell>
        </row>
        <row r="683">
          <cell r="A683" t="str">
            <v>INC55048170</v>
          </cell>
          <cell r="B683">
            <v>1581</v>
          </cell>
        </row>
        <row r="684">
          <cell r="A684" t="str">
            <v>INC55048146</v>
          </cell>
          <cell r="B684">
            <v>1488</v>
          </cell>
        </row>
        <row r="685">
          <cell r="A685" t="str">
            <v>INC55043439</v>
          </cell>
          <cell r="B685">
            <v>1398</v>
          </cell>
        </row>
        <row r="686">
          <cell r="A686" t="str">
            <v>INC55131185</v>
          </cell>
          <cell r="B686">
            <v>1374</v>
          </cell>
        </row>
        <row r="687">
          <cell r="A687" t="str">
            <v>INC55128725</v>
          </cell>
          <cell r="B687">
            <v>1366</v>
          </cell>
        </row>
        <row r="688">
          <cell r="A688" t="str">
            <v>INC55091575</v>
          </cell>
          <cell r="B688">
            <v>1320</v>
          </cell>
        </row>
        <row r="689">
          <cell r="A689" t="str">
            <v>INC54825038</v>
          </cell>
          <cell r="B689">
            <v>1242</v>
          </cell>
        </row>
        <row r="690">
          <cell r="A690" t="str">
            <v>INC54882809</v>
          </cell>
          <cell r="B690">
            <v>1238</v>
          </cell>
        </row>
        <row r="691">
          <cell r="A691" t="str">
            <v>INC54924236</v>
          </cell>
          <cell r="B691">
            <v>1236</v>
          </cell>
        </row>
        <row r="692">
          <cell r="A692" t="str">
            <v>INC55249543</v>
          </cell>
          <cell r="B692">
            <v>1228</v>
          </cell>
        </row>
        <row r="693">
          <cell r="A693" t="str">
            <v>INC55183722</v>
          </cell>
          <cell r="B693">
            <v>1218</v>
          </cell>
        </row>
        <row r="694">
          <cell r="A694" t="str">
            <v>INC55321024</v>
          </cell>
          <cell r="B694">
            <v>1194</v>
          </cell>
        </row>
        <row r="695">
          <cell r="A695" t="str">
            <v>INC54925459</v>
          </cell>
          <cell r="B695">
            <v>1170</v>
          </cell>
        </row>
        <row r="696">
          <cell r="A696" t="str">
            <v>INC54940390</v>
          </cell>
          <cell r="B696">
            <v>1120</v>
          </cell>
        </row>
        <row r="697">
          <cell r="A697" t="str">
            <v>INC54944114</v>
          </cell>
          <cell r="B697">
            <v>1106</v>
          </cell>
        </row>
        <row r="698">
          <cell r="A698" t="str">
            <v>INC55355472</v>
          </cell>
          <cell r="B698">
            <v>1058</v>
          </cell>
        </row>
        <row r="699">
          <cell r="A699" t="str">
            <v>INC55069732</v>
          </cell>
          <cell r="B699">
            <v>1058</v>
          </cell>
        </row>
        <row r="700">
          <cell r="A700" t="str">
            <v>INC55065272</v>
          </cell>
          <cell r="B700">
            <v>1048</v>
          </cell>
        </row>
        <row r="701">
          <cell r="A701" t="str">
            <v>INC55336851</v>
          </cell>
          <cell r="B701">
            <v>1026</v>
          </cell>
        </row>
        <row r="702">
          <cell r="A702" t="str">
            <v>INC55338243</v>
          </cell>
          <cell r="B702">
            <v>1010</v>
          </cell>
        </row>
        <row r="703">
          <cell r="A703" t="str">
            <v>INC55300455</v>
          </cell>
          <cell r="B703">
            <v>1000</v>
          </cell>
        </row>
        <row r="704">
          <cell r="A704" t="str">
            <v>INC54923098</v>
          </cell>
          <cell r="B704">
            <v>968</v>
          </cell>
        </row>
        <row r="705">
          <cell r="A705" t="str">
            <v>INC54999605</v>
          </cell>
          <cell r="B705">
            <v>926</v>
          </cell>
        </row>
        <row r="706">
          <cell r="A706" t="str">
            <v>INC55286353</v>
          </cell>
          <cell r="B706">
            <v>920</v>
          </cell>
        </row>
        <row r="707">
          <cell r="A707" t="str">
            <v>INC54921884</v>
          </cell>
          <cell r="B707">
            <v>856</v>
          </cell>
        </row>
        <row r="708">
          <cell r="A708" t="str">
            <v>INC55106334</v>
          </cell>
          <cell r="B708">
            <v>810</v>
          </cell>
        </row>
        <row r="709">
          <cell r="A709" t="str">
            <v>INC55182571</v>
          </cell>
          <cell r="B709">
            <v>802</v>
          </cell>
        </row>
        <row r="710">
          <cell r="A710" t="str">
            <v>INC55131129</v>
          </cell>
          <cell r="B710">
            <v>778</v>
          </cell>
        </row>
        <row r="711">
          <cell r="A711" t="str">
            <v>INC55046363</v>
          </cell>
          <cell r="B711">
            <v>752</v>
          </cell>
        </row>
        <row r="712">
          <cell r="A712" t="str">
            <v>INC55129583</v>
          </cell>
          <cell r="B712">
            <v>733</v>
          </cell>
        </row>
        <row r="713">
          <cell r="A713" t="str">
            <v>INC55086628</v>
          </cell>
          <cell r="B713">
            <v>714</v>
          </cell>
        </row>
        <row r="714">
          <cell r="A714" t="str">
            <v>INC55320242</v>
          </cell>
          <cell r="B714">
            <v>682</v>
          </cell>
        </row>
        <row r="715">
          <cell r="A715" t="str">
            <v>INC55217449</v>
          </cell>
          <cell r="B715">
            <v>682</v>
          </cell>
        </row>
        <row r="716">
          <cell r="A716" t="str">
            <v>INC55332856</v>
          </cell>
          <cell r="B716">
            <v>662</v>
          </cell>
        </row>
        <row r="717">
          <cell r="A717" t="str">
            <v>INC55315739</v>
          </cell>
          <cell r="B717">
            <v>636</v>
          </cell>
        </row>
        <row r="718">
          <cell r="A718" t="str">
            <v>INC55178330</v>
          </cell>
          <cell r="B718">
            <v>594</v>
          </cell>
        </row>
        <row r="719">
          <cell r="A719" t="str">
            <v>INC55087730</v>
          </cell>
          <cell r="B719">
            <v>572</v>
          </cell>
        </row>
        <row r="720">
          <cell r="A720" t="str">
            <v>INC54838671</v>
          </cell>
          <cell r="B720">
            <v>564</v>
          </cell>
        </row>
        <row r="721">
          <cell r="A721" t="str">
            <v>INC55091902</v>
          </cell>
          <cell r="B721">
            <v>562</v>
          </cell>
        </row>
        <row r="722">
          <cell r="A722" t="str">
            <v>INC54925111</v>
          </cell>
          <cell r="B722">
            <v>538</v>
          </cell>
        </row>
        <row r="723">
          <cell r="A723" t="str">
            <v>INC55331464</v>
          </cell>
          <cell r="B723">
            <v>532</v>
          </cell>
        </row>
        <row r="724">
          <cell r="A724" t="str">
            <v>INC55315804</v>
          </cell>
          <cell r="B724">
            <v>520</v>
          </cell>
        </row>
        <row r="725">
          <cell r="A725" t="str">
            <v>INC55065802</v>
          </cell>
          <cell r="B725">
            <v>450</v>
          </cell>
        </row>
        <row r="726">
          <cell r="A726" t="str">
            <v>INC55112727</v>
          </cell>
          <cell r="B726">
            <v>438</v>
          </cell>
        </row>
        <row r="727">
          <cell r="A727" t="str">
            <v>INC55104818</v>
          </cell>
          <cell r="B727">
            <v>335</v>
          </cell>
        </row>
        <row r="728">
          <cell r="A728" t="str">
            <v>INC55131978</v>
          </cell>
          <cell r="B728">
            <v>116</v>
          </cell>
        </row>
        <row r="729">
          <cell r="A729" t="str">
            <v>INC55092870</v>
          </cell>
          <cell r="B729">
            <v>40</v>
          </cell>
        </row>
        <row r="730">
          <cell r="A730" t="str">
            <v>INC55338904</v>
          </cell>
          <cell r="B730">
            <v>0</v>
          </cell>
        </row>
        <row r="731">
          <cell r="A731" t="str">
            <v>INC55337305</v>
          </cell>
          <cell r="B731">
            <v>0</v>
          </cell>
        </row>
        <row r="732">
          <cell r="A732" t="str">
            <v>INC55244339</v>
          </cell>
          <cell r="B732">
            <v>0</v>
          </cell>
        </row>
        <row r="733">
          <cell r="A733" t="str">
            <v>INC55321483</v>
          </cell>
          <cell r="B733">
            <v>0</v>
          </cell>
        </row>
        <row r="734">
          <cell r="A734" t="str">
            <v>INC55283196</v>
          </cell>
          <cell r="B734">
            <v>0</v>
          </cell>
        </row>
        <row r="735">
          <cell r="A735" t="str">
            <v>INC55288257</v>
          </cell>
          <cell r="B735">
            <v>0</v>
          </cell>
        </row>
        <row r="736">
          <cell r="A736" t="str">
            <v>INC55244118</v>
          </cell>
          <cell r="B736">
            <v>0</v>
          </cell>
        </row>
        <row r="737">
          <cell r="A737" t="str">
            <v>INC55319057</v>
          </cell>
          <cell r="B737">
            <v>0</v>
          </cell>
        </row>
        <row r="738">
          <cell r="A738" t="str">
            <v>INC55353298</v>
          </cell>
          <cell r="B738">
            <v>0</v>
          </cell>
        </row>
        <row r="739">
          <cell r="A739" t="str">
            <v>INC55249177</v>
          </cell>
          <cell r="B739">
            <v>0</v>
          </cell>
        </row>
        <row r="740">
          <cell r="A740" t="str">
            <v>INC55302791</v>
          </cell>
          <cell r="B740">
            <v>0</v>
          </cell>
        </row>
        <row r="741">
          <cell r="A741" t="str">
            <v>INC55245063</v>
          </cell>
          <cell r="B741">
            <v>0</v>
          </cell>
        </row>
        <row r="742">
          <cell r="A742" t="str">
            <v>INC55243872</v>
          </cell>
          <cell r="B742">
            <v>0</v>
          </cell>
        </row>
        <row r="743">
          <cell r="A743" t="str">
            <v>INC55321933</v>
          </cell>
          <cell r="B743">
            <v>0</v>
          </cell>
        </row>
        <row r="744">
          <cell r="A744" t="str">
            <v>INC55287916</v>
          </cell>
          <cell r="B744">
            <v>0</v>
          </cell>
        </row>
        <row r="745">
          <cell r="A745" t="str">
            <v>INC55233759</v>
          </cell>
          <cell r="B745">
            <v>0</v>
          </cell>
        </row>
        <row r="746">
          <cell r="A746" t="str">
            <v>INC55284461</v>
          </cell>
          <cell r="B746">
            <v>0</v>
          </cell>
        </row>
        <row r="747">
          <cell r="A747" t="str">
            <v>INC55320641</v>
          </cell>
          <cell r="B747">
            <v>0</v>
          </cell>
        </row>
        <row r="748">
          <cell r="A748" t="str">
            <v>INC55305098</v>
          </cell>
          <cell r="B748">
            <v>0</v>
          </cell>
        </row>
        <row r="749">
          <cell r="A749" t="str">
            <v>INC55331505</v>
          </cell>
          <cell r="B749">
            <v>0</v>
          </cell>
        </row>
        <row r="750">
          <cell r="A750" t="str">
            <v>INC55285977</v>
          </cell>
          <cell r="B750">
            <v>0</v>
          </cell>
        </row>
        <row r="751">
          <cell r="A751" t="str">
            <v>INC55230739</v>
          </cell>
          <cell r="B751">
            <v>0</v>
          </cell>
        </row>
        <row r="752">
          <cell r="A752" t="str">
            <v>INC55246806</v>
          </cell>
          <cell r="B752">
            <v>0</v>
          </cell>
        </row>
        <row r="753">
          <cell r="A753" t="str">
            <v>INC55232367</v>
          </cell>
          <cell r="B753">
            <v>0</v>
          </cell>
        </row>
        <row r="754">
          <cell r="A754" t="str">
            <v>INC55338137</v>
          </cell>
          <cell r="B754">
            <v>0</v>
          </cell>
        </row>
        <row r="755">
          <cell r="A755" t="str">
            <v>INC55298679</v>
          </cell>
          <cell r="B755">
            <v>0</v>
          </cell>
        </row>
        <row r="756">
          <cell r="A756" t="str">
            <v>INC55287780</v>
          </cell>
          <cell r="B756">
            <v>0</v>
          </cell>
        </row>
        <row r="757">
          <cell r="A757" t="str">
            <v>INC55332225</v>
          </cell>
          <cell r="B757">
            <v>0</v>
          </cell>
        </row>
        <row r="758">
          <cell r="A758" t="str">
            <v>INC55319813</v>
          </cell>
          <cell r="B758">
            <v>0</v>
          </cell>
        </row>
        <row r="759">
          <cell r="A759" t="str">
            <v>INC55246469</v>
          </cell>
          <cell r="B759">
            <v>0</v>
          </cell>
        </row>
        <row r="760">
          <cell r="A760" t="str">
            <v>INC55245019</v>
          </cell>
          <cell r="B760">
            <v>0</v>
          </cell>
        </row>
        <row r="761">
          <cell r="A761" t="str">
            <v>INC55287297</v>
          </cell>
          <cell r="B761">
            <v>0</v>
          </cell>
        </row>
        <row r="762">
          <cell r="A762" t="str">
            <v>INC55350122</v>
          </cell>
          <cell r="B762">
            <v>0</v>
          </cell>
        </row>
        <row r="763">
          <cell r="A763" t="str">
            <v>INC55332815</v>
          </cell>
          <cell r="B763">
            <v>0</v>
          </cell>
        </row>
        <row r="764">
          <cell r="A764" t="str">
            <v>INC55351112</v>
          </cell>
          <cell r="B764">
            <v>0</v>
          </cell>
        </row>
        <row r="765">
          <cell r="A765" t="str">
            <v>INC55318551</v>
          </cell>
          <cell r="B765">
            <v>0</v>
          </cell>
        </row>
        <row r="766">
          <cell r="A766" t="str">
            <v>INC55247492</v>
          </cell>
          <cell r="B766">
            <v>0</v>
          </cell>
        </row>
        <row r="767">
          <cell r="A767" t="str">
            <v>INC55298790</v>
          </cell>
          <cell r="B767">
            <v>0</v>
          </cell>
        </row>
        <row r="768">
          <cell r="A768" t="str">
            <v>INC55231968</v>
          </cell>
          <cell r="B768">
            <v>0</v>
          </cell>
        </row>
        <row r="769">
          <cell r="A769" t="str">
            <v>INC55333035</v>
          </cell>
          <cell r="B769">
            <v>0</v>
          </cell>
        </row>
        <row r="770">
          <cell r="A770" t="str">
            <v>INC55352711</v>
          </cell>
          <cell r="B770">
            <v>0</v>
          </cell>
        </row>
        <row r="771">
          <cell r="A771" t="str">
            <v>INC55249856</v>
          </cell>
          <cell r="B771">
            <v>0</v>
          </cell>
        </row>
        <row r="772">
          <cell r="A772" t="str">
            <v>INC55305336</v>
          </cell>
          <cell r="B772">
            <v>0</v>
          </cell>
        </row>
        <row r="773">
          <cell r="A773" t="str">
            <v>INC55299365</v>
          </cell>
          <cell r="B773">
            <v>0</v>
          </cell>
        </row>
        <row r="774">
          <cell r="A774" t="str">
            <v>INC55337296</v>
          </cell>
          <cell r="B774">
            <v>0</v>
          </cell>
        </row>
        <row r="775">
          <cell r="A775" t="str">
            <v>INC55234208</v>
          </cell>
          <cell r="B775">
            <v>0</v>
          </cell>
        </row>
        <row r="776">
          <cell r="A776" t="str">
            <v>INC55231588</v>
          </cell>
          <cell r="B776">
            <v>0</v>
          </cell>
        </row>
        <row r="777">
          <cell r="A777" t="str">
            <v>INC55234373</v>
          </cell>
          <cell r="B777">
            <v>0</v>
          </cell>
        </row>
        <row r="778">
          <cell r="A778" t="str">
            <v>INC55283063</v>
          </cell>
          <cell r="B778">
            <v>0</v>
          </cell>
        </row>
        <row r="779">
          <cell r="A779" t="str">
            <v>INC55232372</v>
          </cell>
          <cell r="B779">
            <v>0</v>
          </cell>
        </row>
        <row r="780">
          <cell r="A780" t="str">
            <v>INC55337831</v>
          </cell>
          <cell r="B780">
            <v>0</v>
          </cell>
        </row>
        <row r="781">
          <cell r="A781" t="str">
            <v>INC55231440</v>
          </cell>
          <cell r="B781">
            <v>0</v>
          </cell>
        </row>
        <row r="782">
          <cell r="A782" t="str">
            <v>INC55231198</v>
          </cell>
          <cell r="B782">
            <v>0</v>
          </cell>
        </row>
        <row r="783">
          <cell r="A783" t="str">
            <v>INC55299901</v>
          </cell>
          <cell r="B783">
            <v>0</v>
          </cell>
        </row>
        <row r="784">
          <cell r="A784" t="str">
            <v>INC55338452</v>
          </cell>
          <cell r="B784">
            <v>0</v>
          </cell>
        </row>
        <row r="785">
          <cell r="A785" t="str">
            <v>INC55299945</v>
          </cell>
          <cell r="B785">
            <v>0</v>
          </cell>
        </row>
        <row r="786">
          <cell r="A786" t="str">
            <v>INC55246908</v>
          </cell>
          <cell r="B786">
            <v>0</v>
          </cell>
        </row>
        <row r="787">
          <cell r="A787" t="str">
            <v>INC55232573</v>
          </cell>
          <cell r="B787">
            <v>0</v>
          </cell>
        </row>
        <row r="788">
          <cell r="A788" t="str">
            <v>INC55338787</v>
          </cell>
          <cell r="B788">
            <v>0</v>
          </cell>
        </row>
        <row r="789">
          <cell r="A789" t="str">
            <v>INC55282036</v>
          </cell>
          <cell r="B789">
            <v>0</v>
          </cell>
        </row>
        <row r="790">
          <cell r="A790" t="str">
            <v>INC55338878</v>
          </cell>
          <cell r="B790">
            <v>0</v>
          </cell>
        </row>
        <row r="791">
          <cell r="A791" t="str">
            <v>INC55246696</v>
          </cell>
          <cell r="B791">
            <v>0</v>
          </cell>
        </row>
        <row r="792">
          <cell r="A792" t="str">
            <v>INC55339677</v>
          </cell>
          <cell r="B792">
            <v>0</v>
          </cell>
        </row>
        <row r="793">
          <cell r="A793" t="str">
            <v>INC55246699</v>
          </cell>
          <cell r="B793">
            <v>0</v>
          </cell>
        </row>
        <row r="794">
          <cell r="A794" t="str">
            <v>INC55247153</v>
          </cell>
          <cell r="B794">
            <v>0</v>
          </cell>
        </row>
        <row r="795">
          <cell r="A795" t="str">
            <v>INC55334540</v>
          </cell>
          <cell r="B795">
            <v>0</v>
          </cell>
        </row>
        <row r="796">
          <cell r="A796" t="str">
            <v>INC55284071</v>
          </cell>
          <cell r="B796">
            <v>0</v>
          </cell>
        </row>
        <row r="797">
          <cell r="A797" t="str">
            <v>INC55317961</v>
          </cell>
          <cell r="B797">
            <v>0</v>
          </cell>
        </row>
        <row r="798">
          <cell r="A798" t="str">
            <v>INC55247202</v>
          </cell>
          <cell r="B798">
            <v>0</v>
          </cell>
        </row>
        <row r="799">
          <cell r="A799" t="str">
            <v>INC55320831</v>
          </cell>
          <cell r="B799">
            <v>0</v>
          </cell>
        </row>
        <row r="800">
          <cell r="A800" t="str">
            <v>INC55248971</v>
          </cell>
          <cell r="B800">
            <v>0</v>
          </cell>
        </row>
        <row r="801">
          <cell r="A801" t="str">
            <v>INC55248158</v>
          </cell>
          <cell r="B801">
            <v>0</v>
          </cell>
        </row>
        <row r="802">
          <cell r="A802" t="str">
            <v>INC55351404</v>
          </cell>
          <cell r="B802">
            <v>0</v>
          </cell>
        </row>
        <row r="803">
          <cell r="A803" t="str">
            <v>INC55355143</v>
          </cell>
          <cell r="B803">
            <v>0</v>
          </cell>
        </row>
        <row r="804">
          <cell r="A804" t="str">
            <v>INC55304693</v>
          </cell>
          <cell r="B804">
            <v>0</v>
          </cell>
        </row>
        <row r="805">
          <cell r="A805" t="str">
            <v>INC55230497</v>
          </cell>
          <cell r="B805">
            <v>0</v>
          </cell>
        </row>
        <row r="806">
          <cell r="A806" t="str">
            <v>INC55304817</v>
          </cell>
          <cell r="B806">
            <v>0</v>
          </cell>
        </row>
        <row r="807">
          <cell r="A807" t="str">
            <v>INC55248291</v>
          </cell>
          <cell r="B807">
            <v>0</v>
          </cell>
        </row>
        <row r="808">
          <cell r="A808" t="str">
            <v>INC55247639</v>
          </cell>
          <cell r="B808">
            <v>0</v>
          </cell>
        </row>
        <row r="809">
          <cell r="A809" t="str">
            <v>INC55356030</v>
          </cell>
          <cell r="B809">
            <v>0</v>
          </cell>
        </row>
        <row r="810">
          <cell r="A810" t="str">
            <v>INC55304977</v>
          </cell>
          <cell r="B810">
            <v>0</v>
          </cell>
        </row>
        <row r="811">
          <cell r="A811" t="str">
            <v>INC55286782</v>
          </cell>
          <cell r="B811">
            <v>0</v>
          </cell>
        </row>
        <row r="812">
          <cell r="A812" t="str">
            <v>INC55247817</v>
          </cell>
          <cell r="B812">
            <v>0</v>
          </cell>
        </row>
        <row r="813">
          <cell r="A813" t="str">
            <v>INC55320873</v>
          </cell>
          <cell r="B813">
            <v>0</v>
          </cell>
        </row>
        <row r="814">
          <cell r="A814" t="str">
            <v>INC55353065</v>
          </cell>
          <cell r="B814">
            <v>0</v>
          </cell>
        </row>
        <row r="815">
          <cell r="A815" t="str">
            <v>INC55286877</v>
          </cell>
          <cell r="B815">
            <v>0</v>
          </cell>
        </row>
        <row r="816">
          <cell r="A816" t="str">
            <v>INC55321119</v>
          </cell>
          <cell r="B816">
            <v>0</v>
          </cell>
        </row>
        <row r="817">
          <cell r="A817" t="str">
            <v>INC55247892</v>
          </cell>
          <cell r="B817">
            <v>0</v>
          </cell>
        </row>
        <row r="818">
          <cell r="A818" t="str">
            <v>INC55244780</v>
          </cell>
          <cell r="B818">
            <v>0</v>
          </cell>
        </row>
        <row r="819">
          <cell r="A819" t="str">
            <v>INC55287040</v>
          </cell>
          <cell r="B819">
            <v>0</v>
          </cell>
        </row>
        <row r="820">
          <cell r="A820" t="str">
            <v>INC55249090</v>
          </cell>
          <cell r="B820">
            <v>0</v>
          </cell>
        </row>
        <row r="821">
          <cell r="A821" t="str">
            <v>INC55319651</v>
          </cell>
          <cell r="B821">
            <v>0</v>
          </cell>
        </row>
        <row r="822">
          <cell r="A822" t="str">
            <v>INC55316983</v>
          </cell>
          <cell r="B822">
            <v>0</v>
          </cell>
        </row>
        <row r="823">
          <cell r="A823" t="str">
            <v>INC55286354</v>
          </cell>
          <cell r="B823">
            <v>0</v>
          </cell>
        </row>
        <row r="824">
          <cell r="A824" t="str">
            <v>INC55336738</v>
          </cell>
          <cell r="B824">
            <v>0</v>
          </cell>
        </row>
        <row r="825">
          <cell r="A825" t="str">
            <v>INC55320527</v>
          </cell>
          <cell r="B825">
            <v>0</v>
          </cell>
        </row>
        <row r="826">
          <cell r="A826" t="str">
            <v>INC55301429</v>
          </cell>
          <cell r="B826">
            <v>0</v>
          </cell>
        </row>
        <row r="827">
          <cell r="A827" t="str">
            <v>INC55355189</v>
          </cell>
          <cell r="B827">
            <v>0</v>
          </cell>
        </row>
        <row r="828">
          <cell r="A828" t="str">
            <v>INC55335361</v>
          </cell>
          <cell r="B828">
            <v>0</v>
          </cell>
        </row>
        <row r="829">
          <cell r="A829" t="str">
            <v>INC55355617</v>
          </cell>
          <cell r="B829">
            <v>0</v>
          </cell>
        </row>
        <row r="830">
          <cell r="A830" t="str">
            <v>INC55335599</v>
          </cell>
          <cell r="B830">
            <v>0</v>
          </cell>
        </row>
        <row r="831">
          <cell r="A831" t="str">
            <v>INC55316720</v>
          </cell>
          <cell r="B831">
            <v>0</v>
          </cell>
        </row>
        <row r="832">
          <cell r="A832" t="str">
            <v>INC55335754</v>
          </cell>
          <cell r="B832">
            <v>0</v>
          </cell>
        </row>
        <row r="833">
          <cell r="A833" t="str">
            <v>INC55248472</v>
          </cell>
          <cell r="B833">
            <v>0</v>
          </cell>
        </row>
        <row r="834">
          <cell r="A834" t="str">
            <v>INC55231510</v>
          </cell>
          <cell r="B834">
            <v>0</v>
          </cell>
        </row>
        <row r="835">
          <cell r="A835" t="str">
            <v>(vazio)</v>
          </cell>
          <cell r="B835"/>
        </row>
        <row r="836">
          <cell r="A836" t="str">
            <v>INC55336088</v>
          </cell>
          <cell r="B836">
            <v>0</v>
          </cell>
        </row>
        <row r="837">
          <cell r="A837" t="str">
            <v>INC55301334</v>
          </cell>
          <cell r="B837">
            <v>0</v>
          </cell>
        </row>
        <row r="838">
          <cell r="A838" t="str">
            <v>INC55104496</v>
          </cell>
          <cell r="B838">
            <v>0</v>
          </cell>
        </row>
        <row r="839">
          <cell r="A839" t="str">
            <v>INC55216290</v>
          </cell>
          <cell r="B839">
            <v>0</v>
          </cell>
        </row>
        <row r="840">
          <cell r="A840" t="str">
            <v>INC55112460</v>
          </cell>
          <cell r="B840">
            <v>0</v>
          </cell>
        </row>
        <row r="841">
          <cell r="A841" t="str">
            <v>INC55129401</v>
          </cell>
          <cell r="B841">
            <v>0</v>
          </cell>
        </row>
        <row r="842">
          <cell r="A842" t="str">
            <v>INC55126305</v>
          </cell>
          <cell r="B842">
            <v>0</v>
          </cell>
        </row>
        <row r="843">
          <cell r="A843" t="str">
            <v>INC55131771</v>
          </cell>
          <cell r="B843">
            <v>0</v>
          </cell>
        </row>
        <row r="844">
          <cell r="A844" t="str">
            <v>INC55105131</v>
          </cell>
          <cell r="B844">
            <v>0</v>
          </cell>
        </row>
        <row r="845">
          <cell r="A845" t="str">
            <v>INC55070466</v>
          </cell>
          <cell r="B845">
            <v>0</v>
          </cell>
        </row>
        <row r="846">
          <cell r="A846" t="str">
            <v>INC55108186</v>
          </cell>
          <cell r="B846">
            <v>0</v>
          </cell>
        </row>
        <row r="847">
          <cell r="A847" t="str">
            <v>INC55109845</v>
          </cell>
          <cell r="B847">
            <v>0</v>
          </cell>
        </row>
        <row r="848">
          <cell r="A848" t="str">
            <v>INC55180092</v>
          </cell>
          <cell r="B848">
            <v>0</v>
          </cell>
        </row>
        <row r="849">
          <cell r="A849" t="str">
            <v>INC55132287</v>
          </cell>
          <cell r="B849">
            <v>0</v>
          </cell>
        </row>
        <row r="850">
          <cell r="A850" t="str">
            <v>INC55217480</v>
          </cell>
          <cell r="B850">
            <v>0</v>
          </cell>
        </row>
        <row r="851">
          <cell r="A851" t="str">
            <v>INC55070474</v>
          </cell>
          <cell r="B851">
            <v>0</v>
          </cell>
        </row>
        <row r="852">
          <cell r="A852" t="str">
            <v>INC55129034</v>
          </cell>
          <cell r="B852">
            <v>0</v>
          </cell>
        </row>
        <row r="853">
          <cell r="A853" t="str">
            <v>INC55198520</v>
          </cell>
          <cell r="B853">
            <v>0</v>
          </cell>
        </row>
        <row r="854">
          <cell r="A854" t="str">
            <v>INC55194437</v>
          </cell>
          <cell r="B854">
            <v>0</v>
          </cell>
        </row>
        <row r="855">
          <cell r="A855" t="str">
            <v>INC55198738</v>
          </cell>
          <cell r="B855">
            <v>0</v>
          </cell>
        </row>
        <row r="856">
          <cell r="A856" t="str">
            <v>INC55215800</v>
          </cell>
          <cell r="B856">
            <v>0</v>
          </cell>
        </row>
        <row r="857">
          <cell r="A857" t="str">
            <v>INC55198811</v>
          </cell>
          <cell r="B857">
            <v>0</v>
          </cell>
        </row>
        <row r="858">
          <cell r="A858" t="str">
            <v>INC55131407</v>
          </cell>
          <cell r="B858">
            <v>0</v>
          </cell>
        </row>
        <row r="859">
          <cell r="A859" t="str">
            <v>INC55195296</v>
          </cell>
          <cell r="B859">
            <v>0</v>
          </cell>
        </row>
        <row r="860">
          <cell r="A860" t="str">
            <v>INC55216613</v>
          </cell>
          <cell r="B860">
            <v>0</v>
          </cell>
        </row>
        <row r="861">
          <cell r="A861" t="str">
            <v>INC55188279</v>
          </cell>
          <cell r="B861">
            <v>0</v>
          </cell>
        </row>
        <row r="862">
          <cell r="A862" t="str">
            <v>INC55216946</v>
          </cell>
          <cell r="B862">
            <v>0</v>
          </cell>
        </row>
        <row r="863">
          <cell r="A863" t="str">
            <v>INC55199183</v>
          </cell>
          <cell r="B863">
            <v>0</v>
          </cell>
        </row>
        <row r="864">
          <cell r="A864" t="str">
            <v>INC55181809</v>
          </cell>
          <cell r="B864">
            <v>0</v>
          </cell>
        </row>
        <row r="865">
          <cell r="A865" t="str">
            <v>INC55199185</v>
          </cell>
          <cell r="B865">
            <v>0</v>
          </cell>
        </row>
        <row r="866">
          <cell r="A866" t="str">
            <v>INC55069428</v>
          </cell>
          <cell r="B866">
            <v>0</v>
          </cell>
        </row>
        <row r="867">
          <cell r="A867" t="str">
            <v>INC55110170</v>
          </cell>
          <cell r="B867">
            <v>0</v>
          </cell>
        </row>
        <row r="868">
          <cell r="A868" t="str">
            <v>INC55126851</v>
          </cell>
          <cell r="B868">
            <v>0</v>
          </cell>
        </row>
        <row r="869">
          <cell r="A869" t="str">
            <v>INC55199728</v>
          </cell>
          <cell r="B869">
            <v>0</v>
          </cell>
        </row>
        <row r="870">
          <cell r="A870" t="str">
            <v>INC55228290</v>
          </cell>
          <cell r="B870">
            <v>0</v>
          </cell>
        </row>
        <row r="871">
          <cell r="A871" t="str">
            <v>INC55110330</v>
          </cell>
          <cell r="B871">
            <v>0</v>
          </cell>
        </row>
        <row r="872">
          <cell r="A872" t="str">
            <v>INC55183147</v>
          </cell>
          <cell r="B872">
            <v>0</v>
          </cell>
        </row>
        <row r="873">
          <cell r="A873" t="str">
            <v>INC55110417</v>
          </cell>
          <cell r="B873">
            <v>0</v>
          </cell>
        </row>
        <row r="874">
          <cell r="A874" t="str">
            <v>INC55229805</v>
          </cell>
          <cell r="B874">
            <v>0</v>
          </cell>
        </row>
        <row r="875">
          <cell r="A875" t="str">
            <v>INC55110499</v>
          </cell>
          <cell r="B875">
            <v>0</v>
          </cell>
        </row>
        <row r="876">
          <cell r="A876" t="str">
            <v>INC55108705</v>
          </cell>
          <cell r="B876">
            <v>0</v>
          </cell>
        </row>
        <row r="877">
          <cell r="A877" t="str">
            <v>INC55211562</v>
          </cell>
          <cell r="B877">
            <v>0</v>
          </cell>
        </row>
        <row r="878">
          <cell r="A878" t="str">
            <v>INC55215880</v>
          </cell>
          <cell r="B878">
            <v>0</v>
          </cell>
        </row>
        <row r="879">
          <cell r="A879" t="str">
            <v>INC55066656</v>
          </cell>
          <cell r="B879">
            <v>0</v>
          </cell>
        </row>
        <row r="880">
          <cell r="A880" t="str">
            <v>INC55194610</v>
          </cell>
          <cell r="B880">
            <v>0</v>
          </cell>
        </row>
        <row r="881">
          <cell r="A881" t="str">
            <v>INC55193245</v>
          </cell>
          <cell r="B881">
            <v>0</v>
          </cell>
        </row>
        <row r="882">
          <cell r="A882" t="str">
            <v>INC55132428</v>
          </cell>
          <cell r="B882">
            <v>0</v>
          </cell>
        </row>
        <row r="883">
          <cell r="A883" t="str">
            <v>INC55176155</v>
          </cell>
          <cell r="B883">
            <v>0</v>
          </cell>
        </row>
        <row r="884">
          <cell r="A884" t="str">
            <v>INC55068517</v>
          </cell>
          <cell r="B884">
            <v>0</v>
          </cell>
        </row>
        <row r="885">
          <cell r="A885" t="str">
            <v>INC55067371</v>
          </cell>
          <cell r="B885">
            <v>0</v>
          </cell>
        </row>
        <row r="886">
          <cell r="A886" t="str">
            <v>INC55212247</v>
          </cell>
          <cell r="B886">
            <v>0</v>
          </cell>
        </row>
        <row r="887">
          <cell r="A887" t="str">
            <v>INC55129638</v>
          </cell>
          <cell r="B887">
            <v>0</v>
          </cell>
        </row>
        <row r="888">
          <cell r="A888" t="str">
            <v>INC55212398</v>
          </cell>
          <cell r="B888">
            <v>0</v>
          </cell>
        </row>
        <row r="889">
          <cell r="A889" t="str">
            <v>INC55131712</v>
          </cell>
          <cell r="B889">
            <v>0</v>
          </cell>
        </row>
        <row r="890">
          <cell r="A890" t="str">
            <v>INC55212436</v>
          </cell>
          <cell r="B890">
            <v>0</v>
          </cell>
        </row>
        <row r="891">
          <cell r="A891" t="str">
            <v>INC55180953</v>
          </cell>
          <cell r="B891">
            <v>0</v>
          </cell>
        </row>
        <row r="892">
          <cell r="A892" t="str">
            <v>INC55085658</v>
          </cell>
          <cell r="B892">
            <v>0</v>
          </cell>
        </row>
        <row r="893">
          <cell r="A893" t="str">
            <v>INC55069028</v>
          </cell>
          <cell r="B893">
            <v>0</v>
          </cell>
        </row>
        <row r="894">
          <cell r="A894" t="str">
            <v>INC55130106</v>
          </cell>
          <cell r="B894">
            <v>0</v>
          </cell>
        </row>
        <row r="895">
          <cell r="A895" t="str">
            <v>INC55195540</v>
          </cell>
          <cell r="B895">
            <v>0</v>
          </cell>
        </row>
        <row r="896">
          <cell r="A896" t="str">
            <v>INC55108527</v>
          </cell>
          <cell r="B896">
            <v>0</v>
          </cell>
        </row>
        <row r="897">
          <cell r="A897" t="str">
            <v>INC55069318</v>
          </cell>
          <cell r="B897">
            <v>0</v>
          </cell>
        </row>
        <row r="898">
          <cell r="A898" t="str">
            <v>INC55176473</v>
          </cell>
          <cell r="B898">
            <v>0</v>
          </cell>
        </row>
        <row r="899">
          <cell r="A899" t="str">
            <v>INC55217669</v>
          </cell>
          <cell r="B899">
            <v>0</v>
          </cell>
        </row>
        <row r="900">
          <cell r="A900" t="str">
            <v>INC55227423</v>
          </cell>
          <cell r="B900">
            <v>0</v>
          </cell>
        </row>
        <row r="901">
          <cell r="A901" t="str">
            <v>INC55126541</v>
          </cell>
          <cell r="B901">
            <v>0</v>
          </cell>
        </row>
        <row r="902">
          <cell r="A902" t="str">
            <v>INC55195621</v>
          </cell>
          <cell r="B902">
            <v>0</v>
          </cell>
        </row>
        <row r="903">
          <cell r="A903" t="str">
            <v>INC55196175</v>
          </cell>
          <cell r="B903">
            <v>0</v>
          </cell>
        </row>
        <row r="904">
          <cell r="A904" t="str">
            <v>INC55065230</v>
          </cell>
          <cell r="B904">
            <v>0</v>
          </cell>
        </row>
        <row r="905">
          <cell r="A905" t="str">
            <v>INC55091004</v>
          </cell>
          <cell r="B905">
            <v>0</v>
          </cell>
        </row>
        <row r="906">
          <cell r="A906" t="str">
            <v>INC55111120</v>
          </cell>
          <cell r="B906">
            <v>0</v>
          </cell>
        </row>
        <row r="907">
          <cell r="A907" t="str">
            <v>INC55176613</v>
          </cell>
          <cell r="B907">
            <v>0</v>
          </cell>
        </row>
        <row r="908">
          <cell r="A908" t="str">
            <v>INC55213613</v>
          </cell>
          <cell r="B908">
            <v>0</v>
          </cell>
        </row>
        <row r="909">
          <cell r="A909" t="str">
            <v>INC55128713</v>
          </cell>
          <cell r="B909">
            <v>0</v>
          </cell>
        </row>
        <row r="910">
          <cell r="A910" t="str">
            <v>INC55132702</v>
          </cell>
          <cell r="B910">
            <v>0</v>
          </cell>
        </row>
        <row r="911">
          <cell r="A911" t="str">
            <v>INC55065886</v>
          </cell>
          <cell r="B911">
            <v>0</v>
          </cell>
        </row>
        <row r="912">
          <cell r="A912" t="str">
            <v>INC55111672</v>
          </cell>
          <cell r="B912">
            <v>0</v>
          </cell>
        </row>
        <row r="913">
          <cell r="A913" t="str">
            <v>INC55227905</v>
          </cell>
          <cell r="B913">
            <v>0</v>
          </cell>
        </row>
        <row r="914">
          <cell r="A914" t="str">
            <v>INC55214002</v>
          </cell>
          <cell r="B914">
            <v>0</v>
          </cell>
        </row>
        <row r="915">
          <cell r="A915" t="str">
            <v>INC55227976</v>
          </cell>
          <cell r="B915">
            <v>0</v>
          </cell>
        </row>
        <row r="916">
          <cell r="A916" t="str">
            <v>INC55111678</v>
          </cell>
          <cell r="B916">
            <v>0</v>
          </cell>
        </row>
        <row r="917">
          <cell r="A917" t="str">
            <v>INC55228378</v>
          </cell>
          <cell r="B917">
            <v>0</v>
          </cell>
        </row>
        <row r="918">
          <cell r="A918" t="str">
            <v>INC55229075</v>
          </cell>
          <cell r="B918">
            <v>0</v>
          </cell>
        </row>
        <row r="919">
          <cell r="A919" t="str">
            <v>INC55089872</v>
          </cell>
          <cell r="B919">
            <v>0</v>
          </cell>
        </row>
        <row r="920">
          <cell r="A920" t="str">
            <v>INC55177307</v>
          </cell>
          <cell r="B920">
            <v>0</v>
          </cell>
        </row>
        <row r="921">
          <cell r="A921" t="str">
            <v>INC55229059</v>
          </cell>
          <cell r="B921">
            <v>0</v>
          </cell>
        </row>
        <row r="922">
          <cell r="A922" t="str">
            <v>INC55229260</v>
          </cell>
          <cell r="B922">
            <v>0</v>
          </cell>
        </row>
        <row r="923">
          <cell r="A923" t="str">
            <v>INC55183345</v>
          </cell>
          <cell r="B923">
            <v>0</v>
          </cell>
        </row>
        <row r="924">
          <cell r="A924" t="str">
            <v>INC55229182</v>
          </cell>
          <cell r="B924">
            <v>0</v>
          </cell>
        </row>
        <row r="925">
          <cell r="A925" t="str">
            <v>INC55088932</v>
          </cell>
          <cell r="B925">
            <v>0</v>
          </cell>
        </row>
        <row r="926">
          <cell r="A926" t="str">
            <v>INC55229302</v>
          </cell>
          <cell r="B926">
            <v>0</v>
          </cell>
        </row>
        <row r="927">
          <cell r="A927" t="str">
            <v>INC55183601</v>
          </cell>
          <cell r="B927">
            <v>0</v>
          </cell>
        </row>
        <row r="928">
          <cell r="A928" t="str">
            <v>INC55129293</v>
          </cell>
          <cell r="B928">
            <v>0</v>
          </cell>
        </row>
        <row r="929">
          <cell r="A929" t="str">
            <v>INC55129345</v>
          </cell>
          <cell r="B929">
            <v>0</v>
          </cell>
        </row>
        <row r="930">
          <cell r="A930" t="str">
            <v>INC55194167</v>
          </cell>
          <cell r="B930">
            <v>0</v>
          </cell>
        </row>
        <row r="931">
          <cell r="A931" t="str">
            <v>INC55067150</v>
          </cell>
          <cell r="B931">
            <v>0</v>
          </cell>
        </row>
        <row r="932">
          <cell r="A932" t="str">
            <v>INC55215207</v>
          </cell>
          <cell r="B932">
            <v>0</v>
          </cell>
        </row>
        <row r="933">
          <cell r="A933" t="str">
            <v>INC55090099</v>
          </cell>
          <cell r="B933">
            <v>0</v>
          </cell>
        </row>
        <row r="934">
          <cell r="A934" t="str">
            <v>INC55111804</v>
          </cell>
          <cell r="B934">
            <v>0</v>
          </cell>
        </row>
        <row r="935">
          <cell r="A935" t="str">
            <v>INC55042842</v>
          </cell>
          <cell r="B935">
            <v>0</v>
          </cell>
        </row>
        <row r="936">
          <cell r="A936" t="str">
            <v>INC55046822</v>
          </cell>
          <cell r="B936">
            <v>0</v>
          </cell>
        </row>
        <row r="937">
          <cell r="A937" t="str">
            <v>INC54958680</v>
          </cell>
          <cell r="B937">
            <v>0</v>
          </cell>
        </row>
        <row r="938">
          <cell r="A938" t="str">
            <v>INC54998188</v>
          </cell>
          <cell r="B938">
            <v>0</v>
          </cell>
        </row>
        <row r="939">
          <cell r="A939" t="str">
            <v>INC54882489</v>
          </cell>
          <cell r="B939">
            <v>0</v>
          </cell>
        </row>
        <row r="940">
          <cell r="A940" t="str">
            <v>INC55000964</v>
          </cell>
          <cell r="B940">
            <v>0</v>
          </cell>
        </row>
        <row r="941">
          <cell r="A941" t="str">
            <v>INC54958370</v>
          </cell>
          <cell r="B941">
            <v>0</v>
          </cell>
        </row>
        <row r="942">
          <cell r="A942" t="str">
            <v>INC54997689</v>
          </cell>
          <cell r="B942">
            <v>0</v>
          </cell>
        </row>
        <row r="943">
          <cell r="A943" t="str">
            <v>INC54825174</v>
          </cell>
          <cell r="B943">
            <v>0</v>
          </cell>
        </row>
        <row r="944">
          <cell r="A944" t="str">
            <v>INC54824814</v>
          </cell>
          <cell r="B944">
            <v>0</v>
          </cell>
        </row>
        <row r="945">
          <cell r="A945" t="str">
            <v>INC54939724</v>
          </cell>
          <cell r="B945">
            <v>0</v>
          </cell>
        </row>
        <row r="946">
          <cell r="A946" t="str">
            <v>INC54942907</v>
          </cell>
          <cell r="B946">
            <v>0</v>
          </cell>
        </row>
        <row r="947">
          <cell r="A947" t="str">
            <v>INC54921321</v>
          </cell>
          <cell r="B947">
            <v>0</v>
          </cell>
        </row>
        <row r="948">
          <cell r="A948" t="str">
            <v>INC55001547</v>
          </cell>
          <cell r="B948">
            <v>0</v>
          </cell>
        </row>
        <row r="949">
          <cell r="A949" t="str">
            <v>INC54938563</v>
          </cell>
          <cell r="B949">
            <v>0</v>
          </cell>
        </row>
        <row r="950">
          <cell r="A950" t="str">
            <v>INC54827134</v>
          </cell>
          <cell r="B950">
            <v>0</v>
          </cell>
        </row>
        <row r="951">
          <cell r="A951" t="str">
            <v>INC54878377</v>
          </cell>
          <cell r="B951">
            <v>0</v>
          </cell>
        </row>
        <row r="952">
          <cell r="A952" t="str">
            <v>INC54828288</v>
          </cell>
          <cell r="B952">
            <v>0</v>
          </cell>
        </row>
        <row r="953">
          <cell r="A953" t="str">
            <v>INC54964419</v>
          </cell>
          <cell r="B953">
            <v>0</v>
          </cell>
        </row>
        <row r="954">
          <cell r="A954" t="str">
            <v>INC54943979</v>
          </cell>
          <cell r="B954">
            <v>0</v>
          </cell>
        </row>
        <row r="955">
          <cell r="A955" t="str">
            <v>INC54982233</v>
          </cell>
          <cell r="B955">
            <v>0</v>
          </cell>
        </row>
        <row r="956">
          <cell r="A956" t="str">
            <v>INC55001812</v>
          </cell>
          <cell r="B956">
            <v>0</v>
          </cell>
        </row>
        <row r="957">
          <cell r="A957" t="str">
            <v>INC55046951</v>
          </cell>
          <cell r="B957">
            <v>0</v>
          </cell>
        </row>
        <row r="958">
          <cell r="A958" t="str">
            <v>INC54926332</v>
          </cell>
          <cell r="B958">
            <v>0</v>
          </cell>
        </row>
        <row r="959">
          <cell r="A959" t="str">
            <v>INC54958932</v>
          </cell>
          <cell r="B959">
            <v>0</v>
          </cell>
        </row>
        <row r="960">
          <cell r="A960" t="str">
            <v>INC54999583</v>
          </cell>
          <cell r="B960">
            <v>0</v>
          </cell>
        </row>
        <row r="961">
          <cell r="A961" t="str">
            <v>INC54924091</v>
          </cell>
          <cell r="B961">
            <v>0</v>
          </cell>
        </row>
        <row r="962">
          <cell r="A962" t="str">
            <v>INC55002555</v>
          </cell>
          <cell r="B962">
            <v>0</v>
          </cell>
        </row>
        <row r="963">
          <cell r="A963" t="str">
            <v>INC54941177</v>
          </cell>
          <cell r="B963">
            <v>0</v>
          </cell>
        </row>
        <row r="964">
          <cell r="A964" t="str">
            <v>INC54964236</v>
          </cell>
          <cell r="B964">
            <v>0</v>
          </cell>
        </row>
        <row r="965">
          <cell r="A965" t="str">
            <v>INC54962375</v>
          </cell>
          <cell r="B965">
            <v>0</v>
          </cell>
        </row>
        <row r="966">
          <cell r="A966" t="str">
            <v>INC54944656</v>
          </cell>
          <cell r="B966">
            <v>0</v>
          </cell>
        </row>
        <row r="967">
          <cell r="A967" t="str">
            <v>INC54958356</v>
          </cell>
          <cell r="B967">
            <v>0</v>
          </cell>
        </row>
        <row r="968">
          <cell r="A968" t="str">
            <v>INC54942206</v>
          </cell>
          <cell r="B968">
            <v>0</v>
          </cell>
        </row>
        <row r="969">
          <cell r="A969" t="str">
            <v>INC54963395</v>
          </cell>
          <cell r="B969">
            <v>0</v>
          </cell>
        </row>
        <row r="970">
          <cell r="A970" t="str">
            <v>INC54937813</v>
          </cell>
          <cell r="B970">
            <v>0</v>
          </cell>
        </row>
        <row r="971">
          <cell r="A971" t="str">
            <v>INC54938955</v>
          </cell>
          <cell r="B971">
            <v>0</v>
          </cell>
        </row>
        <row r="972">
          <cell r="A972" t="str">
            <v>INC55004215</v>
          </cell>
          <cell r="B972">
            <v>0</v>
          </cell>
        </row>
        <row r="973">
          <cell r="A973" t="str">
            <v>INC54981006</v>
          </cell>
          <cell r="B973">
            <v>0</v>
          </cell>
        </row>
        <row r="974">
          <cell r="A974" t="str">
            <v>INC54945673</v>
          </cell>
          <cell r="B974">
            <v>0</v>
          </cell>
        </row>
        <row r="975">
          <cell r="A975" t="str">
            <v>INC54981522</v>
          </cell>
          <cell r="B975">
            <v>0</v>
          </cell>
        </row>
        <row r="976">
          <cell r="A976" t="str">
            <v>INC55040593</v>
          </cell>
          <cell r="B976">
            <v>0</v>
          </cell>
        </row>
        <row r="977">
          <cell r="A977" t="str">
            <v>INC54943516</v>
          </cell>
          <cell r="B977">
            <v>0</v>
          </cell>
        </row>
        <row r="978">
          <cell r="A978" t="str">
            <v>INC54937885</v>
          </cell>
          <cell r="B978">
            <v>0</v>
          </cell>
        </row>
        <row r="979">
          <cell r="A979" t="str">
            <v>INC54982315</v>
          </cell>
          <cell r="B979">
            <v>0</v>
          </cell>
        </row>
        <row r="980">
          <cell r="A980" t="str">
            <v>INC55041619</v>
          </cell>
          <cell r="B980">
            <v>0</v>
          </cell>
        </row>
        <row r="981">
          <cell r="A981" t="str">
            <v>INC54939539</v>
          </cell>
          <cell r="B981">
            <v>0</v>
          </cell>
        </row>
        <row r="982">
          <cell r="A982" t="str">
            <v>INC54824264</v>
          </cell>
          <cell r="B982">
            <v>0</v>
          </cell>
        </row>
        <row r="983">
          <cell r="A983" t="str">
            <v>INC54822665</v>
          </cell>
          <cell r="B983">
            <v>0</v>
          </cell>
        </row>
        <row r="984">
          <cell r="A984" t="str">
            <v>INC54924255</v>
          </cell>
          <cell r="B984">
            <v>0</v>
          </cell>
        </row>
        <row r="985">
          <cell r="A985" t="str">
            <v>INC54923660</v>
          </cell>
          <cell r="B985">
            <v>0</v>
          </cell>
        </row>
        <row r="986">
          <cell r="A986" t="str">
            <v>INC54839943</v>
          </cell>
          <cell r="B986">
            <v>0</v>
          </cell>
        </row>
        <row r="987">
          <cell r="A987" t="str">
            <v>INC54982620</v>
          </cell>
          <cell r="B987">
            <v>0</v>
          </cell>
        </row>
        <row r="988">
          <cell r="A988" t="str">
            <v>INC54942738</v>
          </cell>
          <cell r="B988">
            <v>0</v>
          </cell>
        </row>
        <row r="989">
          <cell r="A989" t="str">
            <v>INC54982776</v>
          </cell>
          <cell r="B989">
            <v>0</v>
          </cell>
        </row>
        <row r="990">
          <cell r="A990" t="str">
            <v>INC54924496</v>
          </cell>
          <cell r="B990">
            <v>0</v>
          </cell>
        </row>
        <row r="991">
          <cell r="A991" t="str">
            <v>INC54982857</v>
          </cell>
          <cell r="B991">
            <v>0</v>
          </cell>
        </row>
        <row r="992">
          <cell r="A992" t="str">
            <v>INC54961371</v>
          </cell>
          <cell r="B992">
            <v>0</v>
          </cell>
        </row>
        <row r="993">
          <cell r="A993" t="str">
            <v>INC55000689</v>
          </cell>
          <cell r="B993">
            <v>0</v>
          </cell>
        </row>
        <row r="994">
          <cell r="A994" t="str">
            <v>INC55064967</v>
          </cell>
          <cell r="B994">
            <v>0</v>
          </cell>
        </row>
        <row r="995">
          <cell r="A995" t="str">
            <v>INC54963786</v>
          </cell>
          <cell r="B995">
            <v>0</v>
          </cell>
        </row>
        <row r="996">
          <cell r="A996" t="str">
            <v>INC55062922</v>
          </cell>
          <cell r="B996">
            <v>0</v>
          </cell>
        </row>
        <row r="997">
          <cell r="A997" t="str">
            <v>INC54977802</v>
          </cell>
          <cell r="B997">
            <v>0</v>
          </cell>
        </row>
        <row r="998">
          <cell r="A998" t="str">
            <v>INC54924416</v>
          </cell>
          <cell r="B998">
            <v>0</v>
          </cell>
        </row>
        <row r="999">
          <cell r="A999" t="str">
            <v>INC54824105</v>
          </cell>
          <cell r="B999">
            <v>0</v>
          </cell>
        </row>
        <row r="1000">
          <cell r="A1000" t="str">
            <v>INC54984364</v>
          </cell>
          <cell r="B1000">
            <v>0</v>
          </cell>
        </row>
        <row r="1001">
          <cell r="A1001" t="str">
            <v>INC55064353</v>
          </cell>
          <cell r="B1001">
            <v>0</v>
          </cell>
        </row>
        <row r="1002">
          <cell r="A1002" t="str">
            <v>INC55063723</v>
          </cell>
          <cell r="B1002">
            <v>0</v>
          </cell>
        </row>
        <row r="1003">
          <cell r="A1003" t="str">
            <v>INC54920679</v>
          </cell>
          <cell r="B1003">
            <v>0</v>
          </cell>
        </row>
        <row r="1004">
          <cell r="A1004" t="str">
            <v>INC54962892</v>
          </cell>
          <cell r="B1004">
            <v>0</v>
          </cell>
        </row>
        <row r="1005">
          <cell r="A1005" t="str">
            <v>INC55064785</v>
          </cell>
          <cell r="B1005">
            <v>0</v>
          </cell>
        </row>
        <row r="1006">
          <cell r="A1006" t="str">
            <v>INC55064550</v>
          </cell>
          <cell r="B1006">
            <v>0</v>
          </cell>
        </row>
        <row r="1007">
          <cell r="A1007" t="str">
            <v>INC54957609</v>
          </cell>
          <cell r="B1007">
            <v>0</v>
          </cell>
        </row>
        <row r="1008">
          <cell r="A1008" t="str">
            <v>INC54996993</v>
          </cell>
          <cell r="B1008">
            <v>0</v>
          </cell>
        </row>
        <row r="1009">
          <cell r="A1009" t="str">
            <v>INC54938293</v>
          </cell>
          <cell r="B1009">
            <v>0</v>
          </cell>
        </row>
        <row r="1010">
          <cell r="A1010" t="str">
            <v>INC54961933</v>
          </cell>
          <cell r="B1010">
            <v>0</v>
          </cell>
        </row>
        <row r="1011">
          <cell r="A1011" t="str">
            <v>INC54919884</v>
          </cell>
          <cell r="B1011">
            <v>0</v>
          </cell>
        </row>
        <row r="1012">
          <cell r="A1012" t="str">
            <v>INC54962075</v>
          </cell>
          <cell r="B1012">
            <v>0</v>
          </cell>
        </row>
        <row r="1013">
          <cell r="A1013" t="str">
            <v>INC55042648</v>
          </cell>
          <cell r="B1013">
            <v>0</v>
          </cell>
        </row>
        <row r="1014">
          <cell r="A1014" t="str">
            <v>INC54978944</v>
          </cell>
          <cell r="B1014">
            <v>0</v>
          </cell>
        </row>
        <row r="1015">
          <cell r="A1015" t="str">
            <v>Total Geral</v>
          </cell>
          <cell r="B1015">
            <v>31480336</v>
          </cell>
        </row>
      </sheetData>
      <sheetData sheetId="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13"/>
  <sheetViews>
    <sheetView tabSelected="1" topLeftCell="E1" workbookViewId="0">
      <pane ySplit="1" topLeftCell="A985" activePane="bottomLeft" state="frozen"/>
      <selection pane="bottomLeft" activeCell="O1" sqref="O1"/>
    </sheetView>
  </sheetViews>
  <sheetFormatPr defaultRowHeight="14.5" x14ac:dyDescent="0.35"/>
  <cols>
    <col min="1" max="1" width="10" style="3" customWidth="1"/>
    <col min="2" max="2" width="10" customWidth="1"/>
    <col min="3" max="3" width="18" style="3" customWidth="1"/>
    <col min="4" max="4" width="10" style="3" customWidth="1"/>
    <col min="5" max="5" width="19" style="3" customWidth="1"/>
    <col min="6" max="7" width="10" style="3" customWidth="1"/>
    <col min="8" max="10" width="18" customWidth="1"/>
    <col min="11" max="12" width="10" style="3" customWidth="1"/>
    <col min="13" max="13" width="13" style="3" customWidth="1"/>
    <col min="14" max="14" width="12" style="3" customWidth="1"/>
    <col min="15" max="15" width="11" style="3" customWidth="1"/>
    <col min="16" max="17" width="10" style="3" customWidth="1"/>
    <col min="18" max="18" width="12" style="3" customWidth="1"/>
    <col min="19" max="21" width="10" style="3" customWidth="1"/>
    <col min="22" max="22" width="12" style="3" customWidth="1"/>
    <col min="23" max="23" width="10" style="3" customWidth="1"/>
    <col min="24" max="24" width="13" style="3" customWidth="1"/>
    <col min="25" max="26" width="10" style="3" customWidth="1"/>
    <col min="27" max="27" width="19" customWidth="1"/>
    <col min="28" max="28" width="10" customWidth="1"/>
    <col min="29" max="29" width="18" customWidth="1"/>
    <col min="30" max="32" width="10" customWidth="1"/>
    <col min="33" max="33" width="10" style="3" customWidth="1"/>
    <col min="34" max="34" width="25" customWidth="1"/>
    <col min="35" max="35" width="255.6328125" bestFit="1" customWidth="1"/>
  </cols>
  <sheetData>
    <row r="1" spans="1:38" x14ac:dyDescent="0.35">
      <c r="A1" s="2" t="s">
        <v>0</v>
      </c>
      <c r="B1" s="2" t="s">
        <v>18</v>
      </c>
      <c r="C1" s="5" t="s">
        <v>5798</v>
      </c>
      <c r="D1" s="5" t="s">
        <v>5799</v>
      </c>
      <c r="E1" s="2" t="s">
        <v>5800</v>
      </c>
      <c r="F1" s="2" t="s">
        <v>13</v>
      </c>
      <c r="G1" s="2" t="s">
        <v>2</v>
      </c>
      <c r="H1" s="2" t="s">
        <v>11</v>
      </c>
      <c r="I1" s="2" t="s">
        <v>1</v>
      </c>
      <c r="J1" s="2" t="s">
        <v>4</v>
      </c>
      <c r="K1" s="2" t="s">
        <v>5</v>
      </c>
      <c r="L1" s="2" t="s">
        <v>5801</v>
      </c>
      <c r="M1" s="2" t="s">
        <v>7</v>
      </c>
      <c r="N1" s="2" t="s">
        <v>8</v>
      </c>
      <c r="O1" s="2" t="s">
        <v>10</v>
      </c>
      <c r="P1" s="2" t="s">
        <v>16</v>
      </c>
      <c r="Q1" s="2" t="s">
        <v>9</v>
      </c>
      <c r="R1" s="2" t="s">
        <v>15</v>
      </c>
      <c r="S1" s="2" t="s">
        <v>5802</v>
      </c>
      <c r="T1" s="2" t="s">
        <v>19</v>
      </c>
      <c r="U1" s="2" t="s">
        <v>20</v>
      </c>
      <c r="V1" s="2" t="s">
        <v>21</v>
      </c>
      <c r="W1" s="2" t="s">
        <v>22</v>
      </c>
      <c r="X1" s="2" t="s">
        <v>12</v>
      </c>
      <c r="Y1" s="2" t="s">
        <v>23</v>
      </c>
      <c r="Z1" s="2" t="s">
        <v>24</v>
      </c>
      <c r="AA1" s="2" t="s">
        <v>17</v>
      </c>
      <c r="AB1" s="2" t="s">
        <v>16</v>
      </c>
      <c r="AC1" s="2" t="s">
        <v>5803</v>
      </c>
      <c r="AD1" s="2" t="s">
        <v>18</v>
      </c>
      <c r="AE1" s="2" t="s">
        <v>16</v>
      </c>
      <c r="AF1" s="2" t="s">
        <v>25</v>
      </c>
      <c r="AG1" s="2" t="s">
        <v>26</v>
      </c>
      <c r="AH1" s="2" t="s">
        <v>27</v>
      </c>
      <c r="AI1" s="2" t="s">
        <v>3</v>
      </c>
      <c r="AJ1" s="2" t="s">
        <v>14</v>
      </c>
      <c r="AK1" s="2" t="s">
        <v>14</v>
      </c>
      <c r="AL1" s="2" t="s">
        <v>6</v>
      </c>
    </row>
    <row r="2" spans="1:38" x14ac:dyDescent="0.35">
      <c r="A2" s="3" t="s">
        <v>38</v>
      </c>
      <c r="B2" s="4" t="s">
        <v>48</v>
      </c>
      <c r="C2" s="4">
        <f>VLOOKUP(A2, [1]Planilha1!$A$3:$B$1015,2,FALSE)</f>
        <v>8612</v>
      </c>
      <c r="D2" s="4">
        <f>C2/3600</f>
        <v>2.3922222222222222</v>
      </c>
      <c r="E2" s="4" t="s">
        <v>1125</v>
      </c>
      <c r="F2" s="3" t="s">
        <v>45</v>
      </c>
      <c r="G2" s="3" t="s">
        <v>39</v>
      </c>
      <c r="H2" s="3" t="s">
        <v>44</v>
      </c>
      <c r="I2" s="3" t="s">
        <v>33</v>
      </c>
      <c r="J2" s="3" t="s">
        <v>41</v>
      </c>
      <c r="L2" s="1">
        <v>46052.940011574072</v>
      </c>
      <c r="M2" s="1">
        <v>46052.940011574072</v>
      </c>
      <c r="N2" s="1">
        <v>46055.383101851854</v>
      </c>
      <c r="O2" s="3" t="s">
        <v>43</v>
      </c>
      <c r="P2" s="3" t="s">
        <v>48</v>
      </c>
      <c r="Q2" s="3" t="s">
        <v>42</v>
      </c>
      <c r="R2" s="3" t="s">
        <v>47</v>
      </c>
      <c r="S2" s="3" t="s">
        <v>37</v>
      </c>
      <c r="T2" s="3" t="s">
        <v>36</v>
      </c>
      <c r="U2" s="4" t="b">
        <v>1</v>
      </c>
      <c r="V2" s="3" t="s">
        <v>28</v>
      </c>
      <c r="W2" s="1"/>
      <c r="Y2" s="3" t="s">
        <v>29</v>
      </c>
      <c r="Z2" s="3" t="s">
        <v>29</v>
      </c>
      <c r="AA2" s="3"/>
      <c r="AB2" s="3"/>
      <c r="AC2" s="4" t="s">
        <v>30</v>
      </c>
      <c r="AD2" s="3"/>
      <c r="AE2" s="3" t="s">
        <v>48</v>
      </c>
      <c r="AF2" s="4" t="s">
        <v>30</v>
      </c>
      <c r="AH2" s="4">
        <v>2</v>
      </c>
      <c r="AI2" s="3" t="s">
        <v>40</v>
      </c>
      <c r="AJ2" s="4" t="s">
        <v>46</v>
      </c>
      <c r="AK2" s="4"/>
      <c r="AL2" s="3"/>
    </row>
    <row r="3" spans="1:38" x14ac:dyDescent="0.35">
      <c r="A3" s="3" t="s">
        <v>73</v>
      </c>
      <c r="B3" s="4" t="s">
        <v>78</v>
      </c>
      <c r="C3" s="4">
        <f>VLOOKUP(A3, [1]Planilha1!$A$3:$B$1015,2,FALSE)</f>
        <v>28252</v>
      </c>
      <c r="D3" s="4">
        <f t="shared" ref="D3:D66" si="0">C3/3600</f>
        <v>7.847777777777778</v>
      </c>
      <c r="E3" s="4" t="s">
        <v>1125</v>
      </c>
      <c r="F3" s="3" t="s">
        <v>76</v>
      </c>
      <c r="G3" s="3" t="s">
        <v>74</v>
      </c>
      <c r="H3" s="3" t="s">
        <v>44</v>
      </c>
      <c r="I3" s="3" t="s">
        <v>33</v>
      </c>
      <c r="J3" s="3" t="s">
        <v>41</v>
      </c>
      <c r="L3" s="1">
        <v>46052.708761574075</v>
      </c>
      <c r="M3" s="1">
        <v>46052.720532407409</v>
      </c>
      <c r="N3" s="1">
        <v>46055.509027777778</v>
      </c>
      <c r="O3" s="3" t="s">
        <v>43</v>
      </c>
      <c r="P3" s="3" t="s">
        <v>78</v>
      </c>
      <c r="Q3" s="3" t="s">
        <v>42</v>
      </c>
      <c r="R3" s="3" t="s">
        <v>77</v>
      </c>
      <c r="S3" s="3" t="s">
        <v>80</v>
      </c>
      <c r="T3" s="3" t="s">
        <v>79</v>
      </c>
      <c r="U3" s="4" t="b">
        <v>1</v>
      </c>
      <c r="V3" s="3" t="s">
        <v>31</v>
      </c>
      <c r="W3" s="1"/>
      <c r="Y3" s="3" t="s">
        <v>32</v>
      </c>
      <c r="Z3" s="3" t="s">
        <v>32</v>
      </c>
      <c r="AA3" s="3"/>
      <c r="AB3" s="3"/>
      <c r="AC3" s="4" t="s">
        <v>30</v>
      </c>
      <c r="AD3" s="3"/>
      <c r="AE3" s="3" t="s">
        <v>78</v>
      </c>
      <c r="AF3" s="4" t="s">
        <v>30</v>
      </c>
      <c r="AH3" s="4">
        <v>5</v>
      </c>
      <c r="AI3" s="3" t="s">
        <v>75</v>
      </c>
      <c r="AJ3" s="4" t="s">
        <v>5804</v>
      </c>
      <c r="AK3" s="4"/>
      <c r="AL3" s="3"/>
    </row>
    <row r="4" spans="1:38" x14ac:dyDescent="0.35">
      <c r="A4" s="3" t="s">
        <v>83</v>
      </c>
      <c r="B4" s="4" t="s">
        <v>89</v>
      </c>
      <c r="C4" s="4">
        <f>VLOOKUP(A4, [1]Planilha1!$A$3:$B$1015,2,FALSE)</f>
        <v>0</v>
      </c>
      <c r="D4" s="4">
        <f t="shared" si="0"/>
        <v>0</v>
      </c>
      <c r="E4" s="4" t="s">
        <v>1125</v>
      </c>
      <c r="F4" s="3" t="s">
        <v>86</v>
      </c>
      <c r="G4" s="3" t="s">
        <v>84</v>
      </c>
      <c r="H4" s="3" t="s">
        <v>44</v>
      </c>
      <c r="I4" s="3" t="s">
        <v>33</v>
      </c>
      <c r="J4" s="3" t="s">
        <v>60</v>
      </c>
      <c r="L4" s="1">
        <v>46052.686793981484</v>
      </c>
      <c r="M4" s="1">
        <v>46052.696793981479</v>
      </c>
      <c r="N4" s="1">
        <v>46055.708344907405</v>
      </c>
      <c r="O4" s="3" t="s">
        <v>43</v>
      </c>
      <c r="P4" s="3" t="s">
        <v>89</v>
      </c>
      <c r="Q4" s="3" t="s">
        <v>35</v>
      </c>
      <c r="R4" s="3" t="s">
        <v>88</v>
      </c>
      <c r="S4" s="3" t="s">
        <v>80</v>
      </c>
      <c r="T4" s="3" t="s">
        <v>79</v>
      </c>
      <c r="U4" s="4" t="b">
        <v>1</v>
      </c>
      <c r="V4" s="3" t="s">
        <v>31</v>
      </c>
      <c r="W4" s="1"/>
      <c r="Y4" s="3" t="s">
        <v>32</v>
      </c>
      <c r="Z4" s="3" t="s">
        <v>32</v>
      </c>
      <c r="AA4" s="3"/>
      <c r="AB4" s="3"/>
      <c r="AC4" s="4" t="s">
        <v>30</v>
      </c>
      <c r="AD4" s="3"/>
      <c r="AE4" s="3" t="s">
        <v>89</v>
      </c>
      <c r="AF4" s="4" t="s">
        <v>30</v>
      </c>
      <c r="AH4" s="4">
        <v>0</v>
      </c>
      <c r="AI4" s="3" t="s">
        <v>85</v>
      </c>
      <c r="AJ4" s="4" t="s">
        <v>87</v>
      </c>
      <c r="AK4" s="4"/>
      <c r="AL4" s="3"/>
    </row>
    <row r="5" spans="1:38" x14ac:dyDescent="0.35">
      <c r="A5" s="3" t="s">
        <v>99</v>
      </c>
      <c r="B5" s="4" t="s">
        <v>105</v>
      </c>
      <c r="C5" s="4">
        <f>VLOOKUP(A5, [1]Planilha1!$A$3:$B$1015,2,FALSE)</f>
        <v>22353</v>
      </c>
      <c r="D5" s="4">
        <f t="shared" si="0"/>
        <v>6.2091666666666665</v>
      </c>
      <c r="E5" s="4" t="s">
        <v>1125</v>
      </c>
      <c r="F5" s="3" t="s">
        <v>103</v>
      </c>
      <c r="G5" s="3" t="s">
        <v>100</v>
      </c>
      <c r="H5" s="3" t="s">
        <v>44</v>
      </c>
      <c r="I5" s="3" t="s">
        <v>33</v>
      </c>
      <c r="J5" s="3" t="s">
        <v>41</v>
      </c>
      <c r="K5" s="3" t="s">
        <v>102</v>
      </c>
      <c r="L5" s="1">
        <v>46052.672384259262</v>
      </c>
      <c r="M5" s="1">
        <v>46052.697824074072</v>
      </c>
      <c r="N5" s="1">
        <v>46055.384097222224</v>
      </c>
      <c r="O5" s="3" t="s">
        <v>43</v>
      </c>
      <c r="P5" s="3" t="s">
        <v>105</v>
      </c>
      <c r="Q5" s="3" t="s">
        <v>42</v>
      </c>
      <c r="R5" s="3" t="s">
        <v>104</v>
      </c>
      <c r="S5" s="3" t="s">
        <v>98</v>
      </c>
      <c r="T5" s="3" t="s">
        <v>97</v>
      </c>
      <c r="U5" s="4" t="b">
        <v>1</v>
      </c>
      <c r="V5" s="3" t="s">
        <v>31</v>
      </c>
      <c r="W5" s="1"/>
      <c r="Y5" s="3" t="s">
        <v>32</v>
      </c>
      <c r="Z5" s="3" t="s">
        <v>32</v>
      </c>
      <c r="AA5" s="3"/>
      <c r="AB5" s="3"/>
      <c r="AC5" s="4" t="s">
        <v>30</v>
      </c>
      <c r="AD5" s="3"/>
      <c r="AE5" s="3" t="s">
        <v>105</v>
      </c>
      <c r="AF5" s="4" t="s">
        <v>30</v>
      </c>
      <c r="AH5" s="4">
        <v>3</v>
      </c>
      <c r="AI5" s="3" t="s">
        <v>101</v>
      </c>
      <c r="AJ5" s="4"/>
      <c r="AK5" s="4"/>
      <c r="AL5" s="3"/>
    </row>
    <row r="6" spans="1:38" x14ac:dyDescent="0.35">
      <c r="A6" s="3" t="s">
        <v>108</v>
      </c>
      <c r="B6" s="4" t="s">
        <v>116</v>
      </c>
      <c r="C6" s="4">
        <f>VLOOKUP(A6, [1]Planilha1!$A$3:$B$1015,2,FALSE)</f>
        <v>32027</v>
      </c>
      <c r="D6" s="4">
        <f t="shared" si="0"/>
        <v>8.8963888888888896</v>
      </c>
      <c r="E6" s="4" t="s">
        <v>1125</v>
      </c>
      <c r="F6" s="3" t="s">
        <v>113</v>
      </c>
      <c r="G6" s="3" t="s">
        <v>109</v>
      </c>
      <c r="H6" s="3" t="s">
        <v>112</v>
      </c>
      <c r="I6" s="3" t="s">
        <v>33</v>
      </c>
      <c r="J6" s="3" t="s">
        <v>41</v>
      </c>
      <c r="L6" s="1">
        <v>46052.665532407409</v>
      </c>
      <c r="M6" s="1">
        <v>46052.665532407409</v>
      </c>
      <c r="N6" s="1">
        <v>46055.367280092592</v>
      </c>
      <c r="O6" s="3" t="s">
        <v>111</v>
      </c>
      <c r="P6" s="3" t="s">
        <v>116</v>
      </c>
      <c r="Q6" s="3" t="s">
        <v>42</v>
      </c>
      <c r="R6" s="3" t="s">
        <v>115</v>
      </c>
      <c r="S6" s="3" t="s">
        <v>37</v>
      </c>
      <c r="T6" s="3" t="s">
        <v>36</v>
      </c>
      <c r="U6" s="4" t="b">
        <v>1</v>
      </c>
      <c r="V6" s="3" t="s">
        <v>28</v>
      </c>
      <c r="W6" s="1"/>
      <c r="Y6" s="3" t="s">
        <v>29</v>
      </c>
      <c r="Z6" s="3" t="s">
        <v>29</v>
      </c>
      <c r="AA6" s="3"/>
      <c r="AB6" s="3"/>
      <c r="AC6" s="4" t="s">
        <v>30</v>
      </c>
      <c r="AD6" s="3"/>
      <c r="AE6" s="3" t="s">
        <v>116</v>
      </c>
      <c r="AF6" s="4" t="s">
        <v>30</v>
      </c>
      <c r="AH6" s="4">
        <v>0</v>
      </c>
      <c r="AI6" s="3" t="s">
        <v>110</v>
      </c>
      <c r="AJ6" s="4" t="s">
        <v>114</v>
      </c>
      <c r="AK6" s="4"/>
      <c r="AL6" s="3"/>
    </row>
    <row r="7" spans="1:38" x14ac:dyDescent="0.35">
      <c r="A7" s="3" t="s">
        <v>117</v>
      </c>
      <c r="B7" s="4" t="s">
        <v>94</v>
      </c>
      <c r="C7" s="4">
        <f>VLOOKUP(A7, [1]Planilha1!$A$3:$B$1015,2,FALSE)</f>
        <v>0</v>
      </c>
      <c r="D7" s="4">
        <f t="shared" si="0"/>
        <v>0</v>
      </c>
      <c r="E7" s="4" t="s">
        <v>1125</v>
      </c>
      <c r="F7" s="3" t="s">
        <v>92</v>
      </c>
      <c r="G7" s="3" t="s">
        <v>44</v>
      </c>
      <c r="H7" s="3" t="s">
        <v>44</v>
      </c>
      <c r="I7" s="3" t="s">
        <v>33</v>
      </c>
      <c r="J7" s="3" t="s">
        <v>60</v>
      </c>
      <c r="L7" s="1">
        <v>46052.664641203701</v>
      </c>
      <c r="M7" s="1">
        <v>46052.666261574072</v>
      </c>
      <c r="N7" s="1">
        <v>46055.666678240741</v>
      </c>
      <c r="O7" s="3" t="s">
        <v>43</v>
      </c>
      <c r="P7" s="3" t="s">
        <v>94</v>
      </c>
      <c r="Q7" s="3" t="s">
        <v>42</v>
      </c>
      <c r="R7" s="3" t="s">
        <v>93</v>
      </c>
      <c r="S7" s="3" t="s">
        <v>120</v>
      </c>
      <c r="T7" s="3" t="s">
        <v>119</v>
      </c>
      <c r="U7" s="4" t="b">
        <v>1</v>
      </c>
      <c r="V7" s="3" t="s">
        <v>31</v>
      </c>
      <c r="W7" s="1"/>
      <c r="Y7" s="3" t="s">
        <v>32</v>
      </c>
      <c r="Z7" s="3" t="s">
        <v>32</v>
      </c>
      <c r="AA7" s="3"/>
      <c r="AB7" s="3"/>
      <c r="AC7" s="4" t="s">
        <v>30</v>
      </c>
      <c r="AD7" s="3"/>
      <c r="AE7" s="3" t="s">
        <v>94</v>
      </c>
      <c r="AF7" s="4" t="s">
        <v>30</v>
      </c>
      <c r="AH7" s="4">
        <v>0</v>
      </c>
      <c r="AI7" s="3" t="s">
        <v>118</v>
      </c>
      <c r="AJ7" s="4"/>
      <c r="AK7" s="4"/>
      <c r="AL7" s="3"/>
    </row>
    <row r="8" spans="1:38" x14ac:dyDescent="0.35">
      <c r="A8" s="3" t="s">
        <v>121</v>
      </c>
      <c r="B8" s="4" t="s">
        <v>130</v>
      </c>
      <c r="C8" s="4">
        <f>VLOOKUP(A8, [1]Planilha1!$A$3:$B$1015,2,FALSE)</f>
        <v>1058</v>
      </c>
      <c r="D8" s="4">
        <f t="shared" si="0"/>
        <v>0.29388888888888887</v>
      </c>
      <c r="E8" s="4" t="s">
        <v>1125</v>
      </c>
      <c r="F8" s="3" t="s">
        <v>127</v>
      </c>
      <c r="G8" s="3" t="s">
        <v>122</v>
      </c>
      <c r="H8" s="3" t="s">
        <v>126</v>
      </c>
      <c r="I8" s="3" t="s">
        <v>33</v>
      </c>
      <c r="J8" s="3" t="s">
        <v>34</v>
      </c>
      <c r="K8" s="3" t="s">
        <v>124</v>
      </c>
      <c r="L8" s="1">
        <v>46052.655393518522</v>
      </c>
      <c r="M8" s="1">
        <v>46052.661712962959</v>
      </c>
      <c r="N8" s="1">
        <v>46055.708344907405</v>
      </c>
      <c r="O8" s="3" t="s">
        <v>125</v>
      </c>
      <c r="P8" s="3" t="s">
        <v>130</v>
      </c>
      <c r="Q8" s="3" t="s">
        <v>35</v>
      </c>
      <c r="R8" s="3" t="s">
        <v>129</v>
      </c>
      <c r="S8" s="3" t="s">
        <v>120</v>
      </c>
      <c r="T8" s="3" t="s">
        <v>119</v>
      </c>
      <c r="U8" s="4" t="b">
        <v>1</v>
      </c>
      <c r="V8" s="3" t="s">
        <v>31</v>
      </c>
      <c r="W8" s="1"/>
      <c r="Y8" s="3" t="s">
        <v>32</v>
      </c>
      <c r="Z8" s="3" t="s">
        <v>32</v>
      </c>
      <c r="AA8" s="3"/>
      <c r="AB8" s="3"/>
      <c r="AC8" s="4" t="s">
        <v>30</v>
      </c>
      <c r="AD8" s="3"/>
      <c r="AE8" s="3" t="s">
        <v>130</v>
      </c>
      <c r="AF8" s="4" t="s">
        <v>30</v>
      </c>
      <c r="AH8" s="4">
        <v>1</v>
      </c>
      <c r="AI8" s="3" t="s">
        <v>123</v>
      </c>
      <c r="AJ8" s="4" t="s">
        <v>128</v>
      </c>
      <c r="AK8" s="4"/>
      <c r="AL8" s="3"/>
    </row>
    <row r="9" spans="1:38" x14ac:dyDescent="0.35">
      <c r="A9" s="3" t="s">
        <v>133</v>
      </c>
      <c r="B9" s="4" t="s">
        <v>142</v>
      </c>
      <c r="C9" s="4">
        <f>VLOOKUP(A9, [1]Planilha1!$A$3:$B$1015,2,FALSE)</f>
        <v>0</v>
      </c>
      <c r="D9" s="4">
        <f t="shared" si="0"/>
        <v>0</v>
      </c>
      <c r="E9" s="4" t="s">
        <v>1125</v>
      </c>
      <c r="F9" s="3" t="s">
        <v>139</v>
      </c>
      <c r="G9" s="3" t="s">
        <v>134</v>
      </c>
      <c r="H9" s="3" t="s">
        <v>138</v>
      </c>
      <c r="I9" s="3" t="s">
        <v>33</v>
      </c>
      <c r="J9" s="3" t="s">
        <v>60</v>
      </c>
      <c r="K9" s="3" t="s">
        <v>136</v>
      </c>
      <c r="L9" s="1">
        <v>46052.63957175926</v>
      </c>
      <c r="M9" s="1">
        <v>46052.665555555555</v>
      </c>
      <c r="N9" s="1">
        <v>46055.666678240741</v>
      </c>
      <c r="O9" s="3" t="s">
        <v>137</v>
      </c>
      <c r="P9" s="3" t="s">
        <v>142</v>
      </c>
      <c r="Q9" s="3" t="s">
        <v>35</v>
      </c>
      <c r="R9" s="3" t="s">
        <v>141</v>
      </c>
      <c r="S9" s="3" t="s">
        <v>144</v>
      </c>
      <c r="T9" s="3" t="s">
        <v>143</v>
      </c>
      <c r="U9" s="4" t="b">
        <v>1</v>
      </c>
      <c r="V9" s="3" t="s">
        <v>31</v>
      </c>
      <c r="W9" s="1"/>
      <c r="Y9" s="3" t="s">
        <v>32</v>
      </c>
      <c r="Z9" s="3" t="s">
        <v>32</v>
      </c>
      <c r="AA9" s="3"/>
      <c r="AB9" s="3"/>
      <c r="AC9" s="4" t="s">
        <v>30</v>
      </c>
      <c r="AD9" s="3"/>
      <c r="AE9" s="3" t="s">
        <v>142</v>
      </c>
      <c r="AF9" s="4" t="s">
        <v>30</v>
      </c>
      <c r="AH9" s="4">
        <v>0</v>
      </c>
      <c r="AI9" s="3" t="s">
        <v>135</v>
      </c>
      <c r="AJ9" s="4" t="s">
        <v>140</v>
      </c>
      <c r="AK9" s="4"/>
      <c r="AL9" s="3"/>
    </row>
    <row r="10" spans="1:38" x14ac:dyDescent="0.35">
      <c r="A10" s="3" t="s">
        <v>145</v>
      </c>
      <c r="B10" s="4" t="s">
        <v>94</v>
      </c>
      <c r="C10" s="4">
        <f>VLOOKUP(A10, [1]Planilha1!$A$3:$B$1015,2,FALSE)</f>
        <v>0</v>
      </c>
      <c r="D10" s="4">
        <f t="shared" si="0"/>
        <v>0</v>
      </c>
      <c r="E10" s="4" t="s">
        <v>1125</v>
      </c>
      <c r="F10" s="3" t="s">
        <v>92</v>
      </c>
      <c r="G10" s="3" t="s">
        <v>146</v>
      </c>
      <c r="H10" s="3" t="s">
        <v>148</v>
      </c>
      <c r="I10" s="3" t="s">
        <v>33</v>
      </c>
      <c r="J10" s="3" t="s">
        <v>60</v>
      </c>
      <c r="L10" s="1">
        <v>46052.638124999998</v>
      </c>
      <c r="M10" s="1">
        <v>46052.639062499999</v>
      </c>
      <c r="N10" s="1">
        <v>46055.666678240741</v>
      </c>
      <c r="O10" s="3" t="s">
        <v>147</v>
      </c>
      <c r="P10" s="3" t="s">
        <v>94</v>
      </c>
      <c r="Q10" s="3" t="s">
        <v>35</v>
      </c>
      <c r="R10" s="3" t="s">
        <v>93</v>
      </c>
      <c r="S10" s="3" t="s">
        <v>82</v>
      </c>
      <c r="T10" s="3" t="s">
        <v>81</v>
      </c>
      <c r="U10" s="4" t="b">
        <v>1</v>
      </c>
      <c r="V10" s="3" t="s">
        <v>31</v>
      </c>
      <c r="W10" s="1"/>
      <c r="Y10" s="3" t="s">
        <v>32</v>
      </c>
      <c r="Z10" s="3" t="s">
        <v>32</v>
      </c>
      <c r="AA10" s="3"/>
      <c r="AB10" s="3"/>
      <c r="AC10" s="4" t="s">
        <v>30</v>
      </c>
      <c r="AD10" s="3"/>
      <c r="AE10" s="3" t="s">
        <v>94</v>
      </c>
      <c r="AF10" s="4" t="s">
        <v>30</v>
      </c>
      <c r="AH10" s="4">
        <v>0</v>
      </c>
      <c r="AI10" s="3" t="s">
        <v>146</v>
      </c>
      <c r="AJ10" s="4"/>
      <c r="AK10" s="4"/>
      <c r="AL10" s="3"/>
    </row>
    <row r="11" spans="1:38" x14ac:dyDescent="0.35">
      <c r="A11" s="3" t="s">
        <v>149</v>
      </c>
      <c r="B11" s="4" t="s">
        <v>58</v>
      </c>
      <c r="C11" s="4">
        <f>VLOOKUP(A11, [1]Planilha1!$A$3:$B$1015,2,FALSE)</f>
        <v>19476</v>
      </c>
      <c r="D11" s="4">
        <f t="shared" si="0"/>
        <v>5.41</v>
      </c>
      <c r="E11" s="4" t="s">
        <v>1125</v>
      </c>
      <c r="F11" s="3" t="s">
        <v>54</v>
      </c>
      <c r="G11" s="3" t="s">
        <v>150</v>
      </c>
      <c r="H11" s="3" t="s">
        <v>154</v>
      </c>
      <c r="I11" s="3" t="s">
        <v>33</v>
      </c>
      <c r="J11" s="3" t="s">
        <v>152</v>
      </c>
      <c r="L11" s="1">
        <v>46052.634456018517</v>
      </c>
      <c r="M11" s="1">
        <v>46052.659108796295</v>
      </c>
      <c r="N11" s="1">
        <v>46058.424317129633</v>
      </c>
      <c r="O11" s="3" t="s">
        <v>153</v>
      </c>
      <c r="P11" s="3" t="s">
        <v>57</v>
      </c>
      <c r="Q11" s="3" t="s">
        <v>52</v>
      </c>
      <c r="R11" s="3" t="s">
        <v>56</v>
      </c>
      <c r="S11" s="3" t="s">
        <v>158</v>
      </c>
      <c r="T11" s="3" t="s">
        <v>157</v>
      </c>
      <c r="U11" s="4" t="b">
        <v>0</v>
      </c>
      <c r="V11" s="3" t="s">
        <v>28</v>
      </c>
      <c r="W11" s="1"/>
      <c r="Y11" s="3" t="s">
        <v>29</v>
      </c>
      <c r="Z11" s="3" t="s">
        <v>29</v>
      </c>
      <c r="AA11" s="3" t="s">
        <v>155</v>
      </c>
      <c r="AB11" s="3" t="s">
        <v>58</v>
      </c>
      <c r="AC11" s="4" t="s">
        <v>30</v>
      </c>
      <c r="AD11" s="3" t="s">
        <v>59</v>
      </c>
      <c r="AE11" s="3" t="s">
        <v>57</v>
      </c>
      <c r="AF11" s="4" t="s">
        <v>30</v>
      </c>
      <c r="AH11" s="4">
        <v>2</v>
      </c>
      <c r="AI11" s="3" t="s">
        <v>151</v>
      </c>
      <c r="AJ11" s="4" t="s">
        <v>55</v>
      </c>
      <c r="AK11" s="4" t="s">
        <v>156</v>
      </c>
      <c r="AL11" s="3"/>
    </row>
    <row r="12" spans="1:38" x14ac:dyDescent="0.35">
      <c r="A12" s="3" t="s">
        <v>159</v>
      </c>
      <c r="B12" s="4" t="s">
        <v>166</v>
      </c>
      <c r="C12" s="4">
        <f>VLOOKUP(A12, [1]Planilha1!$A$3:$B$1015,2,FALSE)</f>
        <v>11784</v>
      </c>
      <c r="D12" s="4">
        <f t="shared" si="0"/>
        <v>3.2733333333333334</v>
      </c>
      <c r="E12" s="4" t="s">
        <v>1125</v>
      </c>
      <c r="F12" s="3" t="s">
        <v>164</v>
      </c>
      <c r="G12" s="3" t="s">
        <v>160</v>
      </c>
      <c r="H12" s="3" t="s">
        <v>163</v>
      </c>
      <c r="I12" s="3" t="s">
        <v>33</v>
      </c>
      <c r="J12" s="3" t="s">
        <v>41</v>
      </c>
      <c r="L12" s="1">
        <v>46052.619432870371</v>
      </c>
      <c r="M12" s="1">
        <v>46052.619432870371</v>
      </c>
      <c r="N12" s="1">
        <v>46052.687627314815</v>
      </c>
      <c r="O12" s="3" t="s">
        <v>162</v>
      </c>
      <c r="P12" s="3" t="s">
        <v>166</v>
      </c>
      <c r="Q12" s="3" t="s">
        <v>35</v>
      </c>
      <c r="R12" s="3" t="s">
        <v>165</v>
      </c>
      <c r="S12" s="3" t="s">
        <v>37</v>
      </c>
      <c r="T12" s="3" t="s">
        <v>36</v>
      </c>
      <c r="U12" s="4" t="b">
        <v>1</v>
      </c>
      <c r="V12" s="3" t="s">
        <v>28</v>
      </c>
      <c r="W12" s="1"/>
      <c r="Y12" s="3" t="s">
        <v>29</v>
      </c>
      <c r="Z12" s="3" t="s">
        <v>29</v>
      </c>
      <c r="AA12" s="3"/>
      <c r="AB12" s="3"/>
      <c r="AC12" s="4" t="s">
        <v>30</v>
      </c>
      <c r="AD12" s="3"/>
      <c r="AE12" s="3" t="s">
        <v>166</v>
      </c>
      <c r="AF12" s="4" t="s">
        <v>30</v>
      </c>
      <c r="AH12" s="4">
        <v>1</v>
      </c>
      <c r="AI12" s="3" t="s">
        <v>161</v>
      </c>
      <c r="AJ12" s="4"/>
      <c r="AK12" s="4"/>
      <c r="AL12" s="3"/>
    </row>
    <row r="13" spans="1:38" x14ac:dyDescent="0.35">
      <c r="A13" s="3" t="s">
        <v>167</v>
      </c>
      <c r="B13" s="4" t="s">
        <v>175</v>
      </c>
      <c r="C13" s="4">
        <f>VLOOKUP(A13, [1]Planilha1!$A$3:$B$1015,2,FALSE)</f>
        <v>12886</v>
      </c>
      <c r="D13" s="4">
        <f t="shared" si="0"/>
        <v>3.5794444444444444</v>
      </c>
      <c r="E13" s="4" t="s">
        <v>1125</v>
      </c>
      <c r="F13" s="3" t="s">
        <v>172</v>
      </c>
      <c r="G13" s="3" t="s">
        <v>168</v>
      </c>
      <c r="H13" s="3" t="s">
        <v>171</v>
      </c>
      <c r="I13" s="3" t="s">
        <v>33</v>
      </c>
      <c r="J13" s="3" t="s">
        <v>41</v>
      </c>
      <c r="L13" s="1">
        <v>46052.61142361111</v>
      </c>
      <c r="M13" s="1">
        <v>46052.61142361111</v>
      </c>
      <c r="N13" s="1">
        <v>46052.685995370368</v>
      </c>
      <c r="O13" s="3" t="s">
        <v>170</v>
      </c>
      <c r="P13" s="3" t="s">
        <v>175</v>
      </c>
      <c r="Q13" s="3" t="s">
        <v>42</v>
      </c>
      <c r="R13" s="3" t="s">
        <v>174</v>
      </c>
      <c r="S13" s="3" t="s">
        <v>37</v>
      </c>
      <c r="T13" s="3" t="s">
        <v>36</v>
      </c>
      <c r="U13" s="4" t="b">
        <v>1</v>
      </c>
      <c r="V13" s="3" t="s">
        <v>28</v>
      </c>
      <c r="W13" s="1"/>
      <c r="Y13" s="3" t="s">
        <v>29</v>
      </c>
      <c r="Z13" s="3" t="s">
        <v>29</v>
      </c>
      <c r="AA13" s="3"/>
      <c r="AB13" s="3"/>
      <c r="AC13" s="4" t="s">
        <v>30</v>
      </c>
      <c r="AD13" s="3"/>
      <c r="AE13" s="3" t="s">
        <v>175</v>
      </c>
      <c r="AF13" s="4" t="s">
        <v>30</v>
      </c>
      <c r="AH13" s="4">
        <v>1</v>
      </c>
      <c r="AI13" s="3" t="s">
        <v>169</v>
      </c>
      <c r="AJ13" s="4" t="s">
        <v>173</v>
      </c>
      <c r="AK13" s="4"/>
      <c r="AL13" s="3"/>
    </row>
    <row r="14" spans="1:38" x14ac:dyDescent="0.35">
      <c r="A14" s="3" t="s">
        <v>176</v>
      </c>
      <c r="B14" s="4" t="s">
        <v>181</v>
      </c>
      <c r="C14" s="4">
        <f>VLOOKUP(A14, [1]Planilha1!$A$3:$B$1015,2,FALSE)</f>
        <v>20823</v>
      </c>
      <c r="D14" s="4">
        <f t="shared" si="0"/>
        <v>5.7841666666666667</v>
      </c>
      <c r="E14" s="4" t="s">
        <v>1125</v>
      </c>
      <c r="F14" s="3" t="s">
        <v>179</v>
      </c>
      <c r="G14" s="3" t="s">
        <v>177</v>
      </c>
      <c r="H14" s="3" t="s">
        <v>163</v>
      </c>
      <c r="I14" s="3" t="s">
        <v>33</v>
      </c>
      <c r="J14" s="3" t="s">
        <v>41</v>
      </c>
      <c r="L14" s="1">
        <v>46052.603009259263</v>
      </c>
      <c r="M14" s="1">
        <v>46052.603009259263</v>
      </c>
      <c r="N14" s="1">
        <v>46052.683344907404</v>
      </c>
      <c r="O14" s="3" t="s">
        <v>162</v>
      </c>
      <c r="P14" s="3" t="s">
        <v>181</v>
      </c>
      <c r="Q14" s="3" t="s">
        <v>42</v>
      </c>
      <c r="R14" s="3" t="s">
        <v>180</v>
      </c>
      <c r="S14" s="3" t="s">
        <v>37</v>
      </c>
      <c r="T14" s="3" t="s">
        <v>36</v>
      </c>
      <c r="U14" s="4" t="b">
        <v>1</v>
      </c>
      <c r="V14" s="3" t="s">
        <v>28</v>
      </c>
      <c r="W14" s="1"/>
      <c r="Y14" s="3" t="s">
        <v>29</v>
      </c>
      <c r="Z14" s="3" t="s">
        <v>29</v>
      </c>
      <c r="AA14" s="3"/>
      <c r="AB14" s="3"/>
      <c r="AC14" s="4" t="s">
        <v>30</v>
      </c>
      <c r="AD14" s="3"/>
      <c r="AE14" s="3" t="s">
        <v>181</v>
      </c>
      <c r="AF14" s="4" t="s">
        <v>30</v>
      </c>
      <c r="AH14" s="4">
        <v>0</v>
      </c>
      <c r="AI14" s="3" t="s">
        <v>178</v>
      </c>
      <c r="AJ14" s="4"/>
      <c r="AK14" s="4"/>
      <c r="AL14" s="3"/>
    </row>
    <row r="15" spans="1:38" x14ac:dyDescent="0.35">
      <c r="A15" s="3" t="s">
        <v>182</v>
      </c>
      <c r="B15" s="4" t="s">
        <v>188</v>
      </c>
      <c r="C15" s="4">
        <f>VLOOKUP(A15, [1]Planilha1!$A$3:$B$1015,2,FALSE)</f>
        <v>7250</v>
      </c>
      <c r="D15" s="4">
        <f t="shared" si="0"/>
        <v>2.0138888888888888</v>
      </c>
      <c r="E15" s="4" t="s">
        <v>1125</v>
      </c>
      <c r="F15" s="3" t="s">
        <v>186</v>
      </c>
      <c r="G15" s="3" t="s">
        <v>183</v>
      </c>
      <c r="H15" s="3" t="s">
        <v>44</v>
      </c>
      <c r="I15" s="3" t="s">
        <v>33</v>
      </c>
      <c r="J15" s="3" t="s">
        <v>41</v>
      </c>
      <c r="K15" s="3" t="s">
        <v>185</v>
      </c>
      <c r="L15" s="1">
        <v>46052.602766203701</v>
      </c>
      <c r="M15" s="1">
        <v>46052.606064814812</v>
      </c>
      <c r="N15" s="1">
        <v>46052.648020833331</v>
      </c>
      <c r="O15" s="3" t="s">
        <v>43</v>
      </c>
      <c r="P15" s="3" t="s">
        <v>188</v>
      </c>
      <c r="Q15" s="3" t="s">
        <v>42</v>
      </c>
      <c r="R15" s="3" t="s">
        <v>187</v>
      </c>
      <c r="S15" s="3" t="s">
        <v>190</v>
      </c>
      <c r="T15" s="3" t="s">
        <v>189</v>
      </c>
      <c r="U15" s="4" t="b">
        <v>1</v>
      </c>
      <c r="V15" s="3" t="s">
        <v>31</v>
      </c>
      <c r="W15" s="1"/>
      <c r="Y15" s="3" t="s">
        <v>32</v>
      </c>
      <c r="Z15" s="3" t="s">
        <v>32</v>
      </c>
      <c r="AA15" s="3"/>
      <c r="AB15" s="3"/>
      <c r="AC15" s="4" t="s">
        <v>30</v>
      </c>
      <c r="AD15" s="3"/>
      <c r="AE15" s="3" t="s">
        <v>188</v>
      </c>
      <c r="AF15" s="4" t="s">
        <v>30</v>
      </c>
      <c r="AH15" s="4">
        <v>1</v>
      </c>
      <c r="AI15" s="3" t="s">
        <v>184</v>
      </c>
      <c r="AJ15" s="4"/>
      <c r="AK15" s="4"/>
      <c r="AL15" s="3"/>
    </row>
    <row r="16" spans="1:38" x14ac:dyDescent="0.35">
      <c r="A16" s="3" t="s">
        <v>191</v>
      </c>
      <c r="B16" s="4" t="s">
        <v>58</v>
      </c>
      <c r="C16" s="4">
        <f>VLOOKUP(A16, [1]Planilha1!$A$3:$B$1015,2,FALSE)</f>
        <v>63278</v>
      </c>
      <c r="D16" s="4">
        <f t="shared" si="0"/>
        <v>17.577222222222222</v>
      </c>
      <c r="E16" s="4" t="s">
        <v>1125</v>
      </c>
      <c r="F16" s="3" t="s">
        <v>54</v>
      </c>
      <c r="G16" s="3" t="s">
        <v>192</v>
      </c>
      <c r="H16" s="3" t="s">
        <v>195</v>
      </c>
      <c r="I16" s="3" t="s">
        <v>33</v>
      </c>
      <c r="J16" s="3" t="s">
        <v>152</v>
      </c>
      <c r="L16" s="1">
        <v>46052.601446759261</v>
      </c>
      <c r="M16" s="1">
        <v>46052.610393518517</v>
      </c>
      <c r="N16" s="1">
        <v>46058.415520833332</v>
      </c>
      <c r="O16" s="3" t="s">
        <v>194</v>
      </c>
      <c r="P16" s="3" t="s">
        <v>57</v>
      </c>
      <c r="Q16" s="3" t="s">
        <v>52</v>
      </c>
      <c r="R16" s="3" t="s">
        <v>56</v>
      </c>
      <c r="S16" s="3" t="s">
        <v>158</v>
      </c>
      <c r="T16" s="3" t="s">
        <v>157</v>
      </c>
      <c r="U16" s="4" t="b">
        <v>0</v>
      </c>
      <c r="V16" s="3" t="s">
        <v>28</v>
      </c>
      <c r="W16" s="1"/>
      <c r="Y16" s="3" t="s">
        <v>29</v>
      </c>
      <c r="Z16" s="3" t="s">
        <v>29</v>
      </c>
      <c r="AA16" s="3" t="s">
        <v>196</v>
      </c>
      <c r="AB16" s="3" t="s">
        <v>58</v>
      </c>
      <c r="AC16" s="4" t="s">
        <v>30</v>
      </c>
      <c r="AD16" s="3" t="s">
        <v>59</v>
      </c>
      <c r="AE16" s="3" t="s">
        <v>57</v>
      </c>
      <c r="AF16" s="4" t="s">
        <v>30</v>
      </c>
      <c r="AH16" s="4">
        <v>4</v>
      </c>
      <c r="AI16" s="3" t="s">
        <v>193</v>
      </c>
      <c r="AJ16" s="4" t="s">
        <v>55</v>
      </c>
      <c r="AK16" s="4" t="s">
        <v>197</v>
      </c>
      <c r="AL16" s="3"/>
    </row>
    <row r="17" spans="1:38" x14ac:dyDescent="0.35">
      <c r="A17" s="3" t="s">
        <v>198</v>
      </c>
      <c r="B17" s="4" t="s">
        <v>203</v>
      </c>
      <c r="C17" s="4">
        <f>VLOOKUP(A17, [1]Planilha1!$A$3:$B$1015,2,FALSE)</f>
        <v>47893</v>
      </c>
      <c r="D17" s="4">
        <f t="shared" si="0"/>
        <v>13.303611111111111</v>
      </c>
      <c r="E17" s="4" t="s">
        <v>1125</v>
      </c>
      <c r="F17" s="3" t="s">
        <v>5805</v>
      </c>
      <c r="G17" s="3" t="s">
        <v>199</v>
      </c>
      <c r="H17" s="3" t="s">
        <v>44</v>
      </c>
      <c r="I17" s="3" t="s">
        <v>33</v>
      </c>
      <c r="J17" s="3" t="s">
        <v>41</v>
      </c>
      <c r="L17" s="1">
        <v>46052.600104166668</v>
      </c>
      <c r="M17" s="1">
        <v>46052.600104166668</v>
      </c>
      <c r="N17" s="1">
        <v>46055.471076388887</v>
      </c>
      <c r="O17" s="3" t="s">
        <v>43</v>
      </c>
      <c r="P17" s="3" t="s">
        <v>203</v>
      </c>
      <c r="Q17" s="3" t="s">
        <v>42</v>
      </c>
      <c r="R17" s="3" t="s">
        <v>202</v>
      </c>
      <c r="S17" s="3" t="s">
        <v>37</v>
      </c>
      <c r="T17" s="3" t="s">
        <v>36</v>
      </c>
      <c r="U17" s="4" t="b">
        <v>1</v>
      </c>
      <c r="V17" s="3" t="s">
        <v>28</v>
      </c>
      <c r="W17" s="1"/>
      <c r="Y17" s="3" t="s">
        <v>29</v>
      </c>
      <c r="Z17" s="3" t="s">
        <v>29</v>
      </c>
      <c r="AA17" s="3"/>
      <c r="AB17" s="3"/>
      <c r="AC17" s="4" t="s">
        <v>30</v>
      </c>
      <c r="AD17" s="3"/>
      <c r="AE17" s="3" t="s">
        <v>203</v>
      </c>
      <c r="AF17" s="4" t="s">
        <v>30</v>
      </c>
      <c r="AH17" s="4">
        <v>4</v>
      </c>
      <c r="AI17" s="3" t="s">
        <v>200</v>
      </c>
      <c r="AJ17" s="4" t="s">
        <v>201</v>
      </c>
      <c r="AK17" s="4"/>
      <c r="AL17" s="3"/>
    </row>
    <row r="18" spans="1:38" x14ac:dyDescent="0.35">
      <c r="A18" s="3" t="s">
        <v>208</v>
      </c>
      <c r="B18" s="4" t="s">
        <v>212</v>
      </c>
      <c r="C18" s="4">
        <f>VLOOKUP(A18, [1]Planilha1!$A$3:$B$1015,2,FALSE)</f>
        <v>10088</v>
      </c>
      <c r="D18" s="4">
        <f t="shared" si="0"/>
        <v>2.8022222222222224</v>
      </c>
      <c r="E18" s="4" t="s">
        <v>1125</v>
      </c>
      <c r="F18" s="3" t="s">
        <v>210</v>
      </c>
      <c r="G18" s="3" t="s">
        <v>74</v>
      </c>
      <c r="H18" s="3" t="s">
        <v>44</v>
      </c>
      <c r="I18" s="3" t="s">
        <v>33</v>
      </c>
      <c r="J18" s="3" t="s">
        <v>41</v>
      </c>
      <c r="L18" s="1">
        <v>46052.586840277778</v>
      </c>
      <c r="M18" s="1">
        <v>46052.588935185187</v>
      </c>
      <c r="N18" s="1">
        <v>46052.647314814814</v>
      </c>
      <c r="O18" s="3" t="s">
        <v>43</v>
      </c>
      <c r="P18" s="3" t="s">
        <v>212</v>
      </c>
      <c r="Q18" s="3" t="s">
        <v>42</v>
      </c>
      <c r="R18" s="3" t="s">
        <v>211</v>
      </c>
      <c r="S18" s="3" t="s">
        <v>80</v>
      </c>
      <c r="T18" s="3" t="s">
        <v>79</v>
      </c>
      <c r="U18" s="4" t="b">
        <v>1</v>
      </c>
      <c r="V18" s="3" t="s">
        <v>31</v>
      </c>
      <c r="W18" s="1"/>
      <c r="Y18" s="3" t="s">
        <v>32</v>
      </c>
      <c r="Z18" s="3" t="s">
        <v>32</v>
      </c>
      <c r="AA18" s="3"/>
      <c r="AB18" s="3"/>
      <c r="AC18" s="4" t="s">
        <v>30</v>
      </c>
      <c r="AD18" s="3"/>
      <c r="AE18" s="3" t="s">
        <v>212</v>
      </c>
      <c r="AF18" s="4" t="s">
        <v>30</v>
      </c>
      <c r="AH18" s="4">
        <v>1</v>
      </c>
      <c r="AI18" s="3" t="s">
        <v>209</v>
      </c>
      <c r="AJ18" s="4"/>
      <c r="AK18" s="4"/>
      <c r="AL18" s="3"/>
    </row>
    <row r="19" spans="1:38" x14ac:dyDescent="0.35">
      <c r="A19" s="3" t="s">
        <v>213</v>
      </c>
      <c r="B19" s="4" t="s">
        <v>220</v>
      </c>
      <c r="C19" s="4">
        <f>VLOOKUP(A19, [1]Planilha1!$A$3:$B$1015,2,FALSE)</f>
        <v>8402</v>
      </c>
      <c r="D19" s="4">
        <f t="shared" si="0"/>
        <v>2.3338888888888887</v>
      </c>
      <c r="E19" s="4" t="s">
        <v>1125</v>
      </c>
      <c r="F19" s="3" t="s">
        <v>217</v>
      </c>
      <c r="G19" s="3" t="s">
        <v>214</v>
      </c>
      <c r="H19" s="3" t="s">
        <v>44</v>
      </c>
      <c r="I19" s="3" t="s">
        <v>33</v>
      </c>
      <c r="J19" s="3" t="s">
        <v>41</v>
      </c>
      <c r="K19" s="3" t="s">
        <v>216</v>
      </c>
      <c r="L19" s="1">
        <v>46052.58357638889</v>
      </c>
      <c r="M19" s="1">
        <v>46052.592800925922</v>
      </c>
      <c r="N19" s="1">
        <v>46052.641423611109</v>
      </c>
      <c r="O19" s="3" t="s">
        <v>43</v>
      </c>
      <c r="P19" s="3" t="s">
        <v>220</v>
      </c>
      <c r="Q19" s="3" t="s">
        <v>42</v>
      </c>
      <c r="R19" s="3" t="s">
        <v>219</v>
      </c>
      <c r="S19" s="3" t="s">
        <v>144</v>
      </c>
      <c r="T19" s="3" t="s">
        <v>143</v>
      </c>
      <c r="U19" s="4" t="b">
        <v>1</v>
      </c>
      <c r="V19" s="3" t="s">
        <v>31</v>
      </c>
      <c r="W19" s="1"/>
      <c r="Y19" s="3" t="s">
        <v>32</v>
      </c>
      <c r="Z19" s="3" t="s">
        <v>32</v>
      </c>
      <c r="AA19" s="3"/>
      <c r="AB19" s="3"/>
      <c r="AC19" s="4" t="s">
        <v>30</v>
      </c>
      <c r="AD19" s="3"/>
      <c r="AE19" s="3" t="s">
        <v>220</v>
      </c>
      <c r="AF19" s="4" t="s">
        <v>30</v>
      </c>
      <c r="AH19" s="4">
        <v>1</v>
      </c>
      <c r="AI19" s="3" t="s">
        <v>215</v>
      </c>
      <c r="AJ19" s="4" t="s">
        <v>218</v>
      </c>
      <c r="AK19" s="4"/>
      <c r="AL19" s="3"/>
    </row>
    <row r="20" spans="1:38" x14ac:dyDescent="0.35">
      <c r="A20" s="3" t="s">
        <v>221</v>
      </c>
      <c r="B20" s="4" t="s">
        <v>207</v>
      </c>
      <c r="C20" s="4">
        <f>VLOOKUP(A20, [1]Planilha1!$A$3:$B$1015,2,FALSE)</f>
        <v>2110</v>
      </c>
      <c r="D20" s="4">
        <f t="shared" si="0"/>
        <v>0.58611111111111114</v>
      </c>
      <c r="E20" s="4" t="s">
        <v>1125</v>
      </c>
      <c r="F20" s="3" t="s">
        <v>204</v>
      </c>
      <c r="G20" s="3" t="s">
        <v>72</v>
      </c>
      <c r="H20" s="3" t="s">
        <v>224</v>
      </c>
      <c r="I20" s="3" t="s">
        <v>33</v>
      </c>
      <c r="J20" s="3" t="s">
        <v>60</v>
      </c>
      <c r="L20" s="1">
        <v>46052.565972222219</v>
      </c>
      <c r="M20" s="1">
        <v>46052.565972222219</v>
      </c>
      <c r="N20" s="1">
        <v>46055.583333333336</v>
      </c>
      <c r="O20" s="3" t="s">
        <v>223</v>
      </c>
      <c r="P20" s="3" t="s">
        <v>207</v>
      </c>
      <c r="Q20" s="3" t="s">
        <v>35</v>
      </c>
      <c r="R20" s="3" t="s">
        <v>206</v>
      </c>
      <c r="S20" s="3" t="s">
        <v>37</v>
      </c>
      <c r="T20" s="3" t="s">
        <v>36</v>
      </c>
      <c r="U20" s="4" t="b">
        <v>1</v>
      </c>
      <c r="V20" s="3" t="s">
        <v>28</v>
      </c>
      <c r="W20" s="1"/>
      <c r="Y20" s="3" t="s">
        <v>29</v>
      </c>
      <c r="Z20" s="3" t="s">
        <v>29</v>
      </c>
      <c r="AA20" s="3"/>
      <c r="AB20" s="3"/>
      <c r="AC20" s="4" t="s">
        <v>30</v>
      </c>
      <c r="AD20" s="3"/>
      <c r="AE20" s="3" t="s">
        <v>207</v>
      </c>
      <c r="AF20" s="4" t="s">
        <v>30</v>
      </c>
      <c r="AH20" s="4">
        <v>0</v>
      </c>
      <c r="AI20" s="3" t="s">
        <v>222</v>
      </c>
      <c r="AJ20" s="4" t="s">
        <v>205</v>
      </c>
      <c r="AK20" s="4"/>
      <c r="AL20" s="3"/>
    </row>
    <row r="21" spans="1:38" x14ac:dyDescent="0.35">
      <c r="A21" s="3" t="s">
        <v>230</v>
      </c>
      <c r="B21" s="4" t="s">
        <v>94</v>
      </c>
      <c r="C21" s="4">
        <f>VLOOKUP(A21, [1]Planilha1!$A$3:$B$1015,2,FALSE)</f>
        <v>0</v>
      </c>
      <c r="D21" s="4">
        <f t="shared" si="0"/>
        <v>0</v>
      </c>
      <c r="E21" s="4" t="s">
        <v>1125</v>
      </c>
      <c r="F21" s="3" t="s">
        <v>92</v>
      </c>
      <c r="G21" s="3" t="s">
        <v>146</v>
      </c>
      <c r="H21" s="3" t="s">
        <v>148</v>
      </c>
      <c r="I21" s="3" t="s">
        <v>33</v>
      </c>
      <c r="J21" s="3" t="s">
        <v>60</v>
      </c>
      <c r="L21" s="1">
        <v>46052.539120370369</v>
      </c>
      <c r="M21" s="1">
        <v>46052.540023148147</v>
      </c>
      <c r="N21" s="1">
        <v>46055.541678240741</v>
      </c>
      <c r="O21" s="3" t="s">
        <v>147</v>
      </c>
      <c r="P21" s="3" t="s">
        <v>94</v>
      </c>
      <c r="Q21" s="3" t="s">
        <v>35</v>
      </c>
      <c r="R21" s="3" t="s">
        <v>93</v>
      </c>
      <c r="S21" s="3" t="s">
        <v>82</v>
      </c>
      <c r="T21" s="3" t="s">
        <v>81</v>
      </c>
      <c r="U21" s="4" t="b">
        <v>1</v>
      </c>
      <c r="V21" s="3" t="s">
        <v>31</v>
      </c>
      <c r="W21" s="1"/>
      <c r="Y21" s="3" t="s">
        <v>32</v>
      </c>
      <c r="Z21" s="3" t="s">
        <v>32</v>
      </c>
      <c r="AA21" s="3"/>
      <c r="AB21" s="3"/>
      <c r="AC21" s="4" t="s">
        <v>30</v>
      </c>
      <c r="AD21" s="3"/>
      <c r="AE21" s="3" t="s">
        <v>94</v>
      </c>
      <c r="AF21" s="4" t="s">
        <v>30</v>
      </c>
      <c r="AH21" s="4">
        <v>0</v>
      </c>
      <c r="AI21" s="3" t="s">
        <v>231</v>
      </c>
      <c r="AJ21" s="4"/>
      <c r="AK21" s="4"/>
      <c r="AL21" s="3"/>
    </row>
    <row r="22" spans="1:38" x14ac:dyDescent="0.35">
      <c r="A22" s="3" t="s">
        <v>232</v>
      </c>
      <c r="B22" s="4" t="s">
        <v>94</v>
      </c>
      <c r="C22" s="4">
        <f>VLOOKUP(A22, [1]Planilha1!$A$3:$B$1015,2,FALSE)</f>
        <v>0</v>
      </c>
      <c r="D22" s="4">
        <f t="shared" si="0"/>
        <v>0</v>
      </c>
      <c r="E22" s="4" t="s">
        <v>1125</v>
      </c>
      <c r="F22" s="3" t="s">
        <v>92</v>
      </c>
      <c r="G22" s="3" t="s">
        <v>233</v>
      </c>
      <c r="H22" s="3" t="s">
        <v>237</v>
      </c>
      <c r="I22" s="3" t="s">
        <v>33</v>
      </c>
      <c r="J22" s="3" t="s">
        <v>60</v>
      </c>
      <c r="K22" s="3" t="s">
        <v>235</v>
      </c>
      <c r="L22" s="1">
        <v>46052.527997685182</v>
      </c>
      <c r="M22" s="1">
        <v>46052.54828703704</v>
      </c>
      <c r="N22" s="1">
        <v>46055.583333333336</v>
      </c>
      <c r="O22" s="3" t="s">
        <v>236</v>
      </c>
      <c r="P22" s="3" t="s">
        <v>94</v>
      </c>
      <c r="Q22" s="3" t="s">
        <v>35</v>
      </c>
      <c r="R22" s="3" t="s">
        <v>93</v>
      </c>
      <c r="S22" s="3" t="s">
        <v>144</v>
      </c>
      <c r="T22" s="3" t="s">
        <v>143</v>
      </c>
      <c r="U22" s="4" t="b">
        <v>1</v>
      </c>
      <c r="V22" s="3" t="s">
        <v>31</v>
      </c>
      <c r="W22" s="1"/>
      <c r="Y22" s="3" t="s">
        <v>32</v>
      </c>
      <c r="Z22" s="3" t="s">
        <v>32</v>
      </c>
      <c r="AA22" s="3"/>
      <c r="AB22" s="3"/>
      <c r="AC22" s="4" t="s">
        <v>30</v>
      </c>
      <c r="AD22" s="3"/>
      <c r="AE22" s="3" t="s">
        <v>94</v>
      </c>
      <c r="AF22" s="4" t="s">
        <v>30</v>
      </c>
      <c r="AH22" s="4">
        <v>0</v>
      </c>
      <c r="AI22" s="3" t="s">
        <v>234</v>
      </c>
      <c r="AJ22" s="4"/>
      <c r="AK22" s="4"/>
      <c r="AL22" s="3"/>
    </row>
    <row r="23" spans="1:38" x14ac:dyDescent="0.35">
      <c r="A23" s="3" t="s">
        <v>238</v>
      </c>
      <c r="B23" s="4" t="s">
        <v>247</v>
      </c>
      <c r="C23" s="4">
        <f>VLOOKUP(A23, [1]Planilha1!$A$3:$B$1015,2,FALSE)</f>
        <v>0</v>
      </c>
      <c r="D23" s="4">
        <f t="shared" si="0"/>
        <v>0</v>
      </c>
      <c r="E23" s="4" t="s">
        <v>1125</v>
      </c>
      <c r="F23" s="3" t="s">
        <v>244</v>
      </c>
      <c r="G23" s="3" t="s">
        <v>239</v>
      </c>
      <c r="H23" s="3" t="s">
        <v>243</v>
      </c>
      <c r="I23" s="3" t="s">
        <v>33</v>
      </c>
      <c r="J23" s="3" t="s">
        <v>60</v>
      </c>
      <c r="K23" s="3" t="s">
        <v>241</v>
      </c>
      <c r="L23" s="1">
        <v>46052.509606481479</v>
      </c>
      <c r="M23" s="1">
        <v>46052.547534722224</v>
      </c>
      <c r="N23" s="1">
        <v>46055.583333333336</v>
      </c>
      <c r="O23" s="3" t="s">
        <v>242</v>
      </c>
      <c r="P23" s="3" t="s">
        <v>247</v>
      </c>
      <c r="Q23" s="3" t="s">
        <v>35</v>
      </c>
      <c r="R23" s="3" t="s">
        <v>246</v>
      </c>
      <c r="S23" s="3" t="s">
        <v>144</v>
      </c>
      <c r="T23" s="3" t="s">
        <v>143</v>
      </c>
      <c r="U23" s="4" t="b">
        <v>1</v>
      </c>
      <c r="V23" s="3" t="s">
        <v>31</v>
      </c>
      <c r="W23" s="1"/>
      <c r="Y23" s="3" t="s">
        <v>32</v>
      </c>
      <c r="Z23" s="3" t="s">
        <v>32</v>
      </c>
      <c r="AA23" s="3"/>
      <c r="AB23" s="3"/>
      <c r="AC23" s="4" t="s">
        <v>30</v>
      </c>
      <c r="AD23" s="3"/>
      <c r="AE23" s="3" t="s">
        <v>247</v>
      </c>
      <c r="AF23" s="4" t="s">
        <v>30</v>
      </c>
      <c r="AH23" s="4">
        <v>0</v>
      </c>
      <c r="AI23" s="3" t="s">
        <v>240</v>
      </c>
      <c r="AJ23" s="4" t="s">
        <v>245</v>
      </c>
      <c r="AK23" s="4"/>
      <c r="AL23" s="3"/>
    </row>
    <row r="24" spans="1:38" x14ac:dyDescent="0.35">
      <c r="A24" s="3" t="s">
        <v>248</v>
      </c>
      <c r="B24" s="4" t="s">
        <v>253</v>
      </c>
      <c r="C24" s="4">
        <f>VLOOKUP(A24, [1]Planilha1!$A$3:$B$1015,2,FALSE)</f>
        <v>15380</v>
      </c>
      <c r="D24" s="4">
        <f t="shared" si="0"/>
        <v>4.2722222222222221</v>
      </c>
      <c r="E24" s="4" t="s">
        <v>1125</v>
      </c>
      <c r="F24" s="3" t="s">
        <v>251</v>
      </c>
      <c r="G24" s="3" t="s">
        <v>74</v>
      </c>
      <c r="H24" s="3" t="s">
        <v>44</v>
      </c>
      <c r="I24" s="3" t="s">
        <v>33</v>
      </c>
      <c r="J24" s="3" t="s">
        <v>250</v>
      </c>
      <c r="L24" s="1">
        <v>46052.507881944446</v>
      </c>
      <c r="M24" s="1">
        <v>46052.513472222221</v>
      </c>
      <c r="N24" s="1">
        <v>46055.625</v>
      </c>
      <c r="O24" s="3" t="s">
        <v>43</v>
      </c>
      <c r="P24" s="3" t="s">
        <v>253</v>
      </c>
      <c r="Q24" s="3" t="s">
        <v>35</v>
      </c>
      <c r="R24" s="3" t="s">
        <v>252</v>
      </c>
      <c r="S24" s="3" t="s">
        <v>80</v>
      </c>
      <c r="T24" s="3" t="s">
        <v>79</v>
      </c>
      <c r="U24" s="4" t="b">
        <v>1</v>
      </c>
      <c r="V24" s="3" t="s">
        <v>31</v>
      </c>
      <c r="W24" s="1"/>
      <c r="Y24" s="3" t="s">
        <v>32</v>
      </c>
      <c r="Z24" s="3" t="s">
        <v>32</v>
      </c>
      <c r="AA24" s="3"/>
      <c r="AB24" s="3"/>
      <c r="AC24" s="4" t="s">
        <v>30</v>
      </c>
      <c r="AD24" s="3"/>
      <c r="AE24" s="3" t="s">
        <v>253</v>
      </c>
      <c r="AF24" s="4" t="s">
        <v>30</v>
      </c>
      <c r="AH24" s="4">
        <v>1</v>
      </c>
      <c r="AI24" s="3" t="s">
        <v>249</v>
      </c>
      <c r="AJ24" s="4" t="s">
        <v>5806</v>
      </c>
      <c r="AK24" s="4"/>
      <c r="AL24" s="3"/>
    </row>
    <row r="25" spans="1:38" x14ac:dyDescent="0.35">
      <c r="A25" s="3" t="s">
        <v>254</v>
      </c>
      <c r="B25" s="4" t="s">
        <v>259</v>
      </c>
      <c r="C25" s="4">
        <f>VLOOKUP(A25, [1]Planilha1!$A$3:$B$1015,2,FALSE)</f>
        <v>23890</v>
      </c>
      <c r="D25" s="4">
        <f t="shared" si="0"/>
        <v>6.6361111111111111</v>
      </c>
      <c r="E25" s="4" t="s">
        <v>1125</v>
      </c>
      <c r="F25" s="3" t="s">
        <v>256</v>
      </c>
      <c r="G25" s="3" t="s">
        <v>74</v>
      </c>
      <c r="H25" s="3" t="s">
        <v>44</v>
      </c>
      <c r="I25" s="3" t="s">
        <v>33</v>
      </c>
      <c r="J25" s="3" t="s">
        <v>41</v>
      </c>
      <c r="L25" s="1">
        <v>46052.505208333336</v>
      </c>
      <c r="M25" s="1">
        <v>46052.508310185185</v>
      </c>
      <c r="N25" s="1">
        <v>46052.646562499998</v>
      </c>
      <c r="O25" s="3" t="s">
        <v>43</v>
      </c>
      <c r="P25" s="3" t="s">
        <v>259</v>
      </c>
      <c r="Q25" s="3" t="s">
        <v>42</v>
      </c>
      <c r="R25" s="3" t="s">
        <v>258</v>
      </c>
      <c r="S25" s="3" t="s">
        <v>80</v>
      </c>
      <c r="T25" s="3" t="s">
        <v>79</v>
      </c>
      <c r="U25" s="4" t="b">
        <v>1</v>
      </c>
      <c r="V25" s="3" t="s">
        <v>31</v>
      </c>
      <c r="W25" s="1"/>
      <c r="Y25" s="3" t="s">
        <v>32</v>
      </c>
      <c r="Z25" s="3" t="s">
        <v>32</v>
      </c>
      <c r="AA25" s="3"/>
      <c r="AB25" s="3"/>
      <c r="AC25" s="4" t="s">
        <v>30</v>
      </c>
      <c r="AD25" s="3"/>
      <c r="AE25" s="3" t="s">
        <v>259</v>
      </c>
      <c r="AF25" s="4" t="s">
        <v>30</v>
      </c>
      <c r="AH25" s="4">
        <v>1</v>
      </c>
      <c r="AI25" s="3" t="s">
        <v>255</v>
      </c>
      <c r="AJ25" s="4" t="s">
        <v>257</v>
      </c>
      <c r="AK25" s="4"/>
      <c r="AL25" s="3"/>
    </row>
    <row r="26" spans="1:38" x14ac:dyDescent="0.35">
      <c r="A26" s="3" t="s">
        <v>264</v>
      </c>
      <c r="B26" s="4" t="s">
        <v>107</v>
      </c>
      <c r="C26" s="4">
        <f>VLOOKUP(A26, [1]Planilha1!$A$3:$B$1015,2,FALSE)</f>
        <v>26664</v>
      </c>
      <c r="D26" s="4">
        <f t="shared" si="0"/>
        <v>7.4066666666666663</v>
      </c>
      <c r="E26" s="4" t="s">
        <v>1125</v>
      </c>
      <c r="F26" s="3" t="s">
        <v>267</v>
      </c>
      <c r="G26" s="3" t="s">
        <v>265</v>
      </c>
      <c r="H26" s="3" t="s">
        <v>224</v>
      </c>
      <c r="I26" s="3" t="s">
        <v>33</v>
      </c>
      <c r="J26" s="3" t="s">
        <v>41</v>
      </c>
      <c r="L26" s="1">
        <v>46052.495671296296</v>
      </c>
      <c r="M26" s="1">
        <v>46052.495671296296</v>
      </c>
      <c r="N26" s="1">
        <v>46052.649976851855</v>
      </c>
      <c r="O26" s="3" t="s">
        <v>223</v>
      </c>
      <c r="P26" s="3" t="s">
        <v>107</v>
      </c>
      <c r="Q26" s="3" t="s">
        <v>42</v>
      </c>
      <c r="R26" s="3" t="s">
        <v>106</v>
      </c>
      <c r="S26" s="3" t="s">
        <v>37</v>
      </c>
      <c r="T26" s="3" t="s">
        <v>36</v>
      </c>
      <c r="U26" s="4" t="b">
        <v>1</v>
      </c>
      <c r="V26" s="3" t="s">
        <v>28</v>
      </c>
      <c r="W26" s="1"/>
      <c r="Y26" s="3" t="s">
        <v>29</v>
      </c>
      <c r="Z26" s="3" t="s">
        <v>29</v>
      </c>
      <c r="AA26" s="3"/>
      <c r="AB26" s="3"/>
      <c r="AC26" s="4" t="s">
        <v>30</v>
      </c>
      <c r="AD26" s="3"/>
      <c r="AE26" s="3" t="s">
        <v>107</v>
      </c>
      <c r="AF26" s="4" t="s">
        <v>30</v>
      </c>
      <c r="AH26" s="4">
        <v>1</v>
      </c>
      <c r="AI26" s="3" t="s">
        <v>266</v>
      </c>
      <c r="AJ26" s="4" t="s">
        <v>5807</v>
      </c>
      <c r="AK26" s="4"/>
      <c r="AL26" s="3"/>
    </row>
    <row r="27" spans="1:38" x14ac:dyDescent="0.35">
      <c r="A27" s="3" t="s">
        <v>268</v>
      </c>
      <c r="B27" s="4" t="s">
        <v>274</v>
      </c>
      <c r="C27" s="4">
        <f>VLOOKUP(A27, [1]Planilha1!$A$3:$B$1015,2,FALSE)</f>
        <v>24244</v>
      </c>
      <c r="D27" s="4">
        <f t="shared" si="0"/>
        <v>6.7344444444444447</v>
      </c>
      <c r="E27" s="4" t="s">
        <v>1125</v>
      </c>
      <c r="F27" s="3" t="s">
        <v>271</v>
      </c>
      <c r="G27" s="3" t="s">
        <v>269</v>
      </c>
      <c r="H27" s="3" t="s">
        <v>44</v>
      </c>
      <c r="I27" s="3" t="s">
        <v>33</v>
      </c>
      <c r="J27" s="3" t="s">
        <v>41</v>
      </c>
      <c r="L27" s="1">
        <v>46052.49287037037</v>
      </c>
      <c r="M27" s="1">
        <v>46052.496481481481</v>
      </c>
      <c r="N27" s="1">
        <v>46052.636782407404</v>
      </c>
      <c r="O27" s="3" t="s">
        <v>43</v>
      </c>
      <c r="P27" s="3" t="s">
        <v>274</v>
      </c>
      <c r="Q27" s="3" t="s">
        <v>42</v>
      </c>
      <c r="R27" s="3" t="s">
        <v>273</v>
      </c>
      <c r="S27" s="3" t="s">
        <v>276</v>
      </c>
      <c r="T27" s="3" t="s">
        <v>275</v>
      </c>
      <c r="U27" s="4" t="b">
        <v>1</v>
      </c>
      <c r="V27" s="3" t="s">
        <v>31</v>
      </c>
      <c r="W27" s="1"/>
      <c r="Y27" s="3" t="s">
        <v>32</v>
      </c>
      <c r="Z27" s="3" t="s">
        <v>32</v>
      </c>
      <c r="AA27" s="3"/>
      <c r="AB27" s="3"/>
      <c r="AC27" s="4" t="s">
        <v>30</v>
      </c>
      <c r="AD27" s="3"/>
      <c r="AE27" s="3" t="s">
        <v>274</v>
      </c>
      <c r="AF27" s="4" t="s">
        <v>30</v>
      </c>
      <c r="AH27" s="4">
        <v>1</v>
      </c>
      <c r="AI27" s="3" t="s">
        <v>270</v>
      </c>
      <c r="AJ27" s="4" t="s">
        <v>272</v>
      </c>
      <c r="AK27" s="4"/>
      <c r="AL27" s="3"/>
    </row>
    <row r="28" spans="1:38" x14ac:dyDescent="0.35">
      <c r="A28" s="3" t="s">
        <v>277</v>
      </c>
      <c r="B28" s="4" t="s">
        <v>282</v>
      </c>
      <c r="C28" s="4">
        <f>VLOOKUP(A28, [1]Planilha1!$A$3:$B$1015,2,FALSE)</f>
        <v>26174</v>
      </c>
      <c r="D28" s="4">
        <f t="shared" si="0"/>
        <v>7.2705555555555552</v>
      </c>
      <c r="E28" s="4" t="s">
        <v>1125</v>
      </c>
      <c r="F28" s="3" t="s">
        <v>279</v>
      </c>
      <c r="G28" s="3" t="s">
        <v>74</v>
      </c>
      <c r="H28" s="3" t="s">
        <v>44</v>
      </c>
      <c r="I28" s="3" t="s">
        <v>33</v>
      </c>
      <c r="J28" s="3" t="s">
        <v>41</v>
      </c>
      <c r="L28" s="1">
        <v>46052.491863425923</v>
      </c>
      <c r="M28" s="1">
        <v>46052.493090277778</v>
      </c>
      <c r="N28" s="1">
        <v>46052.644560185188</v>
      </c>
      <c r="O28" s="3" t="s">
        <v>43</v>
      </c>
      <c r="P28" s="3" t="s">
        <v>282</v>
      </c>
      <c r="Q28" s="3" t="s">
        <v>35</v>
      </c>
      <c r="R28" s="3" t="s">
        <v>281</v>
      </c>
      <c r="S28" s="3" t="s">
        <v>80</v>
      </c>
      <c r="T28" s="3" t="s">
        <v>79</v>
      </c>
      <c r="U28" s="4" t="b">
        <v>1</v>
      </c>
      <c r="V28" s="3" t="s">
        <v>31</v>
      </c>
      <c r="W28" s="1"/>
      <c r="Y28" s="3" t="s">
        <v>32</v>
      </c>
      <c r="Z28" s="3" t="s">
        <v>32</v>
      </c>
      <c r="AA28" s="3"/>
      <c r="AB28" s="3"/>
      <c r="AC28" s="4" t="s">
        <v>30</v>
      </c>
      <c r="AD28" s="3"/>
      <c r="AE28" s="3" t="s">
        <v>282</v>
      </c>
      <c r="AF28" s="4" t="s">
        <v>30</v>
      </c>
      <c r="AH28" s="4">
        <v>1</v>
      </c>
      <c r="AI28" s="3" t="s">
        <v>278</v>
      </c>
      <c r="AJ28" s="4" t="s">
        <v>280</v>
      </c>
      <c r="AK28" s="4"/>
      <c r="AL28" s="3"/>
    </row>
    <row r="29" spans="1:38" x14ac:dyDescent="0.35">
      <c r="A29" s="3" t="s">
        <v>287</v>
      </c>
      <c r="B29" s="4" t="s">
        <v>292</v>
      </c>
      <c r="C29" s="4">
        <f>VLOOKUP(A29, [1]Planilha1!$A$3:$B$1015,2,FALSE)</f>
        <v>28882</v>
      </c>
      <c r="D29" s="4">
        <f t="shared" si="0"/>
        <v>8.0227777777777778</v>
      </c>
      <c r="E29" s="4" t="s">
        <v>1125</v>
      </c>
      <c r="F29" s="3" t="s">
        <v>289</v>
      </c>
      <c r="G29" s="3" t="s">
        <v>74</v>
      </c>
      <c r="H29" s="3" t="s">
        <v>44</v>
      </c>
      <c r="I29" s="3" t="s">
        <v>33</v>
      </c>
      <c r="J29" s="3" t="s">
        <v>41</v>
      </c>
      <c r="L29" s="1">
        <v>46052.474618055552</v>
      </c>
      <c r="M29" s="1">
        <v>46052.476446759261</v>
      </c>
      <c r="N29" s="1">
        <v>46052.643587962964</v>
      </c>
      <c r="O29" s="3" t="s">
        <v>43</v>
      </c>
      <c r="P29" s="3" t="s">
        <v>292</v>
      </c>
      <c r="Q29" s="3" t="s">
        <v>42</v>
      </c>
      <c r="R29" s="3" t="s">
        <v>291</v>
      </c>
      <c r="S29" s="3" t="s">
        <v>80</v>
      </c>
      <c r="T29" s="3" t="s">
        <v>79</v>
      </c>
      <c r="U29" s="4" t="b">
        <v>1</v>
      </c>
      <c r="V29" s="3" t="s">
        <v>31</v>
      </c>
      <c r="W29" s="1"/>
      <c r="Y29" s="3" t="s">
        <v>32</v>
      </c>
      <c r="Z29" s="3" t="s">
        <v>32</v>
      </c>
      <c r="AA29" s="3"/>
      <c r="AB29" s="3"/>
      <c r="AC29" s="4" t="s">
        <v>30</v>
      </c>
      <c r="AD29" s="3"/>
      <c r="AE29" s="3" t="s">
        <v>292</v>
      </c>
      <c r="AF29" s="4" t="s">
        <v>30</v>
      </c>
      <c r="AH29" s="4">
        <v>1</v>
      </c>
      <c r="AI29" s="3" t="s">
        <v>288</v>
      </c>
      <c r="AJ29" s="4" t="s">
        <v>290</v>
      </c>
      <c r="AK29" s="4"/>
      <c r="AL29" s="3"/>
    </row>
    <row r="30" spans="1:38" x14ac:dyDescent="0.35">
      <c r="A30" s="3" t="s">
        <v>293</v>
      </c>
      <c r="B30" s="4" t="s">
        <v>298</v>
      </c>
      <c r="C30" s="4">
        <f>VLOOKUP(A30, [1]Planilha1!$A$3:$B$1015,2,FALSE)</f>
        <v>39478</v>
      </c>
      <c r="D30" s="4">
        <f t="shared" si="0"/>
        <v>10.966111111111111</v>
      </c>
      <c r="E30" s="4" t="s">
        <v>1125</v>
      </c>
      <c r="F30" s="3" t="s">
        <v>296</v>
      </c>
      <c r="G30" s="3" t="s">
        <v>294</v>
      </c>
      <c r="H30" s="3" t="s">
        <v>44</v>
      </c>
      <c r="I30" s="3" t="s">
        <v>33</v>
      </c>
      <c r="J30" s="3" t="s">
        <v>41</v>
      </c>
      <c r="L30" s="1">
        <v>46052.469664351855</v>
      </c>
      <c r="M30" s="1">
        <v>46052.469664351855</v>
      </c>
      <c r="N30" s="1">
        <v>46052.634768518517</v>
      </c>
      <c r="O30" s="3" t="s">
        <v>43</v>
      </c>
      <c r="P30" s="3" t="s">
        <v>298</v>
      </c>
      <c r="Q30" s="3" t="s">
        <v>42</v>
      </c>
      <c r="R30" s="3" t="s">
        <v>297</v>
      </c>
      <c r="S30" s="3" t="s">
        <v>37</v>
      </c>
      <c r="T30" s="3" t="s">
        <v>36</v>
      </c>
      <c r="U30" s="4" t="b">
        <v>1</v>
      </c>
      <c r="V30" s="3" t="s">
        <v>28</v>
      </c>
      <c r="W30" s="1"/>
      <c r="Y30" s="3" t="s">
        <v>29</v>
      </c>
      <c r="Z30" s="3" t="s">
        <v>29</v>
      </c>
      <c r="AA30" s="3"/>
      <c r="AB30" s="3"/>
      <c r="AC30" s="4" t="s">
        <v>30</v>
      </c>
      <c r="AD30" s="3"/>
      <c r="AE30" s="3" t="s">
        <v>298</v>
      </c>
      <c r="AF30" s="4" t="s">
        <v>30</v>
      </c>
      <c r="AH30" s="4">
        <v>2</v>
      </c>
      <c r="AI30" s="3" t="s">
        <v>295</v>
      </c>
      <c r="AJ30" s="4" t="s">
        <v>5808</v>
      </c>
      <c r="AK30" s="4"/>
      <c r="AL30" s="3"/>
    </row>
    <row r="31" spans="1:38" x14ac:dyDescent="0.35">
      <c r="A31" s="3" t="s">
        <v>299</v>
      </c>
      <c r="B31" s="4" t="s">
        <v>304</v>
      </c>
      <c r="C31" s="4">
        <f>VLOOKUP(A31, [1]Planilha1!$A$3:$B$1015,2,FALSE)</f>
        <v>31378</v>
      </c>
      <c r="D31" s="4">
        <f t="shared" si="0"/>
        <v>8.7161111111111111</v>
      </c>
      <c r="E31" s="4" t="s">
        <v>1125</v>
      </c>
      <c r="F31" s="3" t="s">
        <v>302</v>
      </c>
      <c r="G31" s="3" t="s">
        <v>300</v>
      </c>
      <c r="H31" s="3" t="s">
        <v>224</v>
      </c>
      <c r="I31" s="3" t="s">
        <v>33</v>
      </c>
      <c r="J31" s="3" t="s">
        <v>41</v>
      </c>
      <c r="L31" s="1">
        <v>46052.467766203707</v>
      </c>
      <c r="M31" s="1">
        <v>46052.467766203707</v>
      </c>
      <c r="N31" s="1">
        <v>46052.649351851855</v>
      </c>
      <c r="O31" s="3" t="s">
        <v>223</v>
      </c>
      <c r="P31" s="3" t="s">
        <v>304</v>
      </c>
      <c r="Q31" s="3" t="s">
        <v>42</v>
      </c>
      <c r="R31" s="3" t="s">
        <v>303</v>
      </c>
      <c r="S31" s="3" t="s">
        <v>37</v>
      </c>
      <c r="T31" s="3" t="s">
        <v>36</v>
      </c>
      <c r="U31" s="4" t="b">
        <v>1</v>
      </c>
      <c r="V31" s="3" t="s">
        <v>28</v>
      </c>
      <c r="W31" s="1"/>
      <c r="Y31" s="3" t="s">
        <v>29</v>
      </c>
      <c r="Z31" s="3" t="s">
        <v>29</v>
      </c>
      <c r="AA31" s="3"/>
      <c r="AB31" s="3"/>
      <c r="AC31" s="4" t="s">
        <v>30</v>
      </c>
      <c r="AD31" s="3"/>
      <c r="AE31" s="3" t="s">
        <v>304</v>
      </c>
      <c r="AF31" s="4" t="s">
        <v>30</v>
      </c>
      <c r="AH31" s="4">
        <v>1</v>
      </c>
      <c r="AI31" s="3" t="s">
        <v>301</v>
      </c>
      <c r="AJ31" s="4" t="s">
        <v>5809</v>
      </c>
      <c r="AK31" s="4"/>
      <c r="AL31" s="3"/>
    </row>
    <row r="32" spans="1:38" x14ac:dyDescent="0.35">
      <c r="A32" s="3" t="s">
        <v>305</v>
      </c>
      <c r="B32" s="4" t="s">
        <v>310</v>
      </c>
      <c r="C32" s="4">
        <f>VLOOKUP(A32, [1]Planilha1!$A$3:$B$1015,2,FALSE)</f>
        <v>40550</v>
      </c>
      <c r="D32" s="4">
        <f t="shared" si="0"/>
        <v>11.263888888888889</v>
      </c>
      <c r="E32" s="4" t="s">
        <v>1125</v>
      </c>
      <c r="F32" s="3" t="s">
        <v>308</v>
      </c>
      <c r="G32" s="3" t="s">
        <v>306</v>
      </c>
      <c r="H32" s="3" t="s">
        <v>44</v>
      </c>
      <c r="I32" s="3" t="s">
        <v>33</v>
      </c>
      <c r="J32" s="3" t="s">
        <v>41</v>
      </c>
      <c r="L32" s="1">
        <v>46052.449918981481</v>
      </c>
      <c r="M32" s="1">
        <v>46052.449918981481</v>
      </c>
      <c r="N32" s="1">
        <v>46052.618263888886</v>
      </c>
      <c r="O32" s="3" t="s">
        <v>43</v>
      </c>
      <c r="P32" s="3" t="s">
        <v>310</v>
      </c>
      <c r="Q32" s="3" t="s">
        <v>42</v>
      </c>
      <c r="R32" s="3" t="s">
        <v>309</v>
      </c>
      <c r="S32" s="3" t="s">
        <v>37</v>
      </c>
      <c r="T32" s="3" t="s">
        <v>36</v>
      </c>
      <c r="U32" s="4" t="b">
        <v>1</v>
      </c>
      <c r="V32" s="3" t="s">
        <v>28</v>
      </c>
      <c r="W32" s="1"/>
      <c r="Y32" s="3" t="s">
        <v>29</v>
      </c>
      <c r="Z32" s="3" t="s">
        <v>29</v>
      </c>
      <c r="AA32" s="3"/>
      <c r="AB32" s="3"/>
      <c r="AC32" s="4" t="s">
        <v>30</v>
      </c>
      <c r="AD32" s="3"/>
      <c r="AE32" s="3" t="s">
        <v>310</v>
      </c>
      <c r="AF32" s="4" t="s">
        <v>30</v>
      </c>
      <c r="AH32" s="4">
        <v>2</v>
      </c>
      <c r="AI32" s="3" t="s">
        <v>307</v>
      </c>
      <c r="AJ32" s="4" t="s">
        <v>5810</v>
      </c>
      <c r="AK32" s="4"/>
      <c r="AL32" s="3"/>
    </row>
    <row r="33" spans="1:38" x14ac:dyDescent="0.35">
      <c r="A33" s="3" t="s">
        <v>311</v>
      </c>
      <c r="B33" s="4" t="s">
        <v>316</v>
      </c>
      <c r="C33" s="4">
        <f>VLOOKUP(A33, [1]Planilha1!$A$3:$B$1015,2,FALSE)</f>
        <v>22666</v>
      </c>
      <c r="D33" s="4">
        <f t="shared" si="0"/>
        <v>6.2961111111111112</v>
      </c>
      <c r="E33" s="4" t="s">
        <v>1125</v>
      </c>
      <c r="F33" s="3" t="s">
        <v>314</v>
      </c>
      <c r="G33" s="3" t="s">
        <v>312</v>
      </c>
      <c r="H33" s="3" t="s">
        <v>44</v>
      </c>
      <c r="I33" s="3" t="s">
        <v>33</v>
      </c>
      <c r="J33" s="3" t="s">
        <v>34</v>
      </c>
      <c r="L33" s="1">
        <v>46052.449699074074</v>
      </c>
      <c r="M33" s="1">
        <v>46052.456469907411</v>
      </c>
      <c r="N33" s="1">
        <v>46055.625</v>
      </c>
      <c r="O33" s="3" t="s">
        <v>43</v>
      </c>
      <c r="P33" s="3" t="s">
        <v>316</v>
      </c>
      <c r="Q33" s="3" t="s">
        <v>286</v>
      </c>
      <c r="R33" s="3" t="s">
        <v>315</v>
      </c>
      <c r="S33" s="3" t="s">
        <v>62</v>
      </c>
      <c r="T33" s="3" t="s">
        <v>61</v>
      </c>
      <c r="U33" s="4" t="b">
        <v>0</v>
      </c>
      <c r="V33" s="3" t="s">
        <v>31</v>
      </c>
      <c r="W33" s="1"/>
      <c r="Y33" s="3" t="s">
        <v>32</v>
      </c>
      <c r="Z33" s="3" t="s">
        <v>32</v>
      </c>
      <c r="AA33" s="3"/>
      <c r="AB33" s="3"/>
      <c r="AC33" s="4" t="s">
        <v>30</v>
      </c>
      <c r="AD33" s="3"/>
      <c r="AE33" s="3" t="s">
        <v>316</v>
      </c>
      <c r="AF33" s="4" t="s">
        <v>30</v>
      </c>
      <c r="AH33" s="4">
        <v>2</v>
      </c>
      <c r="AI33" s="3" t="s">
        <v>313</v>
      </c>
      <c r="AJ33" s="4" t="s">
        <v>5811</v>
      </c>
      <c r="AK33" s="4"/>
      <c r="AL33" s="3"/>
    </row>
    <row r="34" spans="1:38" x14ac:dyDescent="0.35">
      <c r="A34" s="3" t="s">
        <v>318</v>
      </c>
      <c r="B34" s="4" t="s">
        <v>94</v>
      </c>
      <c r="C34" s="4">
        <f>VLOOKUP(A34, [1]Planilha1!$A$3:$B$1015,2,FALSE)</f>
        <v>0</v>
      </c>
      <c r="D34" s="4">
        <f t="shared" si="0"/>
        <v>0</v>
      </c>
      <c r="E34" s="4" t="s">
        <v>1125</v>
      </c>
      <c r="F34" s="3" t="s">
        <v>92</v>
      </c>
      <c r="G34" s="3" t="s">
        <v>319</v>
      </c>
      <c r="H34" s="3" t="s">
        <v>148</v>
      </c>
      <c r="I34" s="3" t="s">
        <v>33</v>
      </c>
      <c r="J34" s="3" t="s">
        <v>60</v>
      </c>
      <c r="L34" s="1">
        <v>46052.442511574074</v>
      </c>
      <c r="M34" s="1">
        <v>46052.445636574077</v>
      </c>
      <c r="N34" s="1">
        <v>46055.458333333336</v>
      </c>
      <c r="O34" s="3" t="s">
        <v>147</v>
      </c>
      <c r="P34" s="3" t="s">
        <v>94</v>
      </c>
      <c r="Q34" s="3" t="s">
        <v>35</v>
      </c>
      <c r="R34" s="3" t="s">
        <v>93</v>
      </c>
      <c r="S34" s="3" t="s">
        <v>82</v>
      </c>
      <c r="T34" s="3" t="s">
        <v>81</v>
      </c>
      <c r="U34" s="4" t="b">
        <v>1</v>
      </c>
      <c r="V34" s="3" t="s">
        <v>31</v>
      </c>
      <c r="W34" s="1"/>
      <c r="Y34" s="3" t="s">
        <v>32</v>
      </c>
      <c r="Z34" s="3" t="s">
        <v>32</v>
      </c>
      <c r="AA34" s="3"/>
      <c r="AB34" s="3"/>
      <c r="AC34" s="4" t="s">
        <v>30</v>
      </c>
      <c r="AD34" s="3"/>
      <c r="AE34" s="3" t="s">
        <v>94</v>
      </c>
      <c r="AF34" s="4" t="s">
        <v>30</v>
      </c>
      <c r="AH34" s="4">
        <v>0</v>
      </c>
      <c r="AI34" s="3" t="s">
        <v>320</v>
      </c>
      <c r="AJ34" s="4"/>
      <c r="AK34" s="4"/>
      <c r="AL34" s="3"/>
    </row>
    <row r="35" spans="1:38" x14ac:dyDescent="0.35">
      <c r="A35" s="3" t="s">
        <v>322</v>
      </c>
      <c r="B35" s="4" t="s">
        <v>327</v>
      </c>
      <c r="C35" s="4">
        <f>VLOOKUP(A35, [1]Planilha1!$A$3:$B$1015,2,FALSE)</f>
        <v>0</v>
      </c>
      <c r="D35" s="4">
        <f t="shared" si="0"/>
        <v>0</v>
      </c>
      <c r="E35" s="4" t="s">
        <v>1125</v>
      </c>
      <c r="F35" s="3" t="s">
        <v>325</v>
      </c>
      <c r="G35" s="3" t="s">
        <v>134</v>
      </c>
      <c r="H35" s="3" t="s">
        <v>138</v>
      </c>
      <c r="I35" s="3" t="s">
        <v>33</v>
      </c>
      <c r="J35" s="3" t="s">
        <v>60</v>
      </c>
      <c r="K35" s="3" t="s">
        <v>324</v>
      </c>
      <c r="L35" s="1">
        <v>46052.428171296298</v>
      </c>
      <c r="M35" s="1">
        <v>46052.43953703704</v>
      </c>
      <c r="N35" s="1">
        <v>46055.458333333336</v>
      </c>
      <c r="O35" s="3" t="s">
        <v>137</v>
      </c>
      <c r="P35" s="3" t="s">
        <v>327</v>
      </c>
      <c r="Q35" s="3" t="s">
        <v>35</v>
      </c>
      <c r="R35" s="3" t="s">
        <v>326</v>
      </c>
      <c r="S35" s="3" t="s">
        <v>144</v>
      </c>
      <c r="T35" s="3" t="s">
        <v>143</v>
      </c>
      <c r="U35" s="4" t="b">
        <v>1</v>
      </c>
      <c r="V35" s="3" t="s">
        <v>31</v>
      </c>
      <c r="W35" s="1"/>
      <c r="Y35" s="3" t="s">
        <v>32</v>
      </c>
      <c r="Z35" s="3" t="s">
        <v>32</v>
      </c>
      <c r="AA35" s="3"/>
      <c r="AB35" s="3"/>
      <c r="AC35" s="4" t="s">
        <v>30</v>
      </c>
      <c r="AD35" s="3"/>
      <c r="AE35" s="3" t="s">
        <v>327</v>
      </c>
      <c r="AF35" s="4" t="s">
        <v>30</v>
      </c>
      <c r="AH35" s="4">
        <v>0</v>
      </c>
      <c r="AI35" s="3" t="s">
        <v>323</v>
      </c>
      <c r="AJ35" s="4" t="s">
        <v>5812</v>
      </c>
      <c r="AK35" s="4"/>
      <c r="AL35" s="3"/>
    </row>
    <row r="36" spans="1:38" x14ac:dyDescent="0.35">
      <c r="A36" s="3" t="s">
        <v>328</v>
      </c>
      <c r="B36" s="4"/>
      <c r="C36" s="4">
        <f>VLOOKUP(A36, [1]Planilha1!$A$3:$B$1015,2,FALSE)</f>
        <v>1688</v>
      </c>
      <c r="D36" s="4">
        <f t="shared" si="0"/>
        <v>0.46888888888888891</v>
      </c>
      <c r="E36" s="4" t="s">
        <v>1125</v>
      </c>
      <c r="F36" s="3" t="s">
        <v>49</v>
      </c>
      <c r="G36" s="3" t="s">
        <v>44</v>
      </c>
      <c r="H36" s="3" t="s">
        <v>44</v>
      </c>
      <c r="I36" s="3" t="s">
        <v>33</v>
      </c>
      <c r="J36" s="3" t="s">
        <v>60</v>
      </c>
      <c r="L36" s="1">
        <v>46052.403715277775</v>
      </c>
      <c r="M36" s="1">
        <v>46052.403715277775</v>
      </c>
      <c r="N36" s="1">
        <v>46055.416666666664</v>
      </c>
      <c r="O36" s="3" t="s">
        <v>43</v>
      </c>
      <c r="Q36" s="3" t="s">
        <v>35</v>
      </c>
      <c r="R36" s="3" t="s">
        <v>51</v>
      </c>
      <c r="S36" s="3" t="s">
        <v>37</v>
      </c>
      <c r="T36" s="3" t="s">
        <v>36</v>
      </c>
      <c r="U36" s="4" t="b">
        <v>1</v>
      </c>
      <c r="V36" s="3" t="s">
        <v>28</v>
      </c>
      <c r="W36" s="1"/>
      <c r="Y36" s="3" t="s">
        <v>29</v>
      </c>
      <c r="Z36" s="3" t="s">
        <v>29</v>
      </c>
      <c r="AA36" s="3"/>
      <c r="AB36" s="3"/>
      <c r="AC36" s="4" t="s">
        <v>30</v>
      </c>
      <c r="AD36" s="3"/>
      <c r="AE36" s="3"/>
      <c r="AF36" s="4" t="s">
        <v>30</v>
      </c>
      <c r="AH36" s="4">
        <v>0</v>
      </c>
      <c r="AI36" s="3" t="s">
        <v>329</v>
      </c>
      <c r="AJ36" s="4" t="s">
        <v>50</v>
      </c>
      <c r="AK36" s="4"/>
      <c r="AL36" s="3"/>
    </row>
    <row r="37" spans="1:38" x14ac:dyDescent="0.35">
      <c r="A37" s="3" t="s">
        <v>330</v>
      </c>
      <c r="B37" s="4" t="s">
        <v>337</v>
      </c>
      <c r="C37" s="4">
        <f>VLOOKUP(A37, [1]Planilha1!$A$3:$B$1015,2,FALSE)</f>
        <v>28721</v>
      </c>
      <c r="D37" s="4">
        <f t="shared" si="0"/>
        <v>7.9780555555555557</v>
      </c>
      <c r="E37" s="4" t="s">
        <v>1125</v>
      </c>
      <c r="F37" s="3" t="s">
        <v>334</v>
      </c>
      <c r="G37" s="3" t="s">
        <v>331</v>
      </c>
      <c r="H37" s="3" t="s">
        <v>126</v>
      </c>
      <c r="I37" s="3" t="s">
        <v>33</v>
      </c>
      <c r="J37" s="3" t="s">
        <v>41</v>
      </c>
      <c r="K37" s="3" t="s">
        <v>333</v>
      </c>
      <c r="L37" s="1">
        <v>46052.40116898148</v>
      </c>
      <c r="M37" s="1">
        <v>46052.403715277775</v>
      </c>
      <c r="N37" s="1">
        <v>46052.578657407408</v>
      </c>
      <c r="O37" s="3" t="s">
        <v>125</v>
      </c>
      <c r="P37" s="3" t="s">
        <v>337</v>
      </c>
      <c r="Q37" s="3" t="s">
        <v>42</v>
      </c>
      <c r="R37" s="3" t="s">
        <v>336</v>
      </c>
      <c r="S37" s="3" t="s">
        <v>339</v>
      </c>
      <c r="T37" s="3" t="s">
        <v>338</v>
      </c>
      <c r="U37" s="4" t="b">
        <v>1</v>
      </c>
      <c r="V37" s="3" t="s">
        <v>31</v>
      </c>
      <c r="W37" s="1"/>
      <c r="Y37" s="3" t="s">
        <v>32</v>
      </c>
      <c r="Z37" s="3" t="s">
        <v>32</v>
      </c>
      <c r="AA37" s="3"/>
      <c r="AB37" s="3"/>
      <c r="AC37" s="4" t="s">
        <v>30</v>
      </c>
      <c r="AD37" s="3"/>
      <c r="AE37" s="3" t="s">
        <v>337</v>
      </c>
      <c r="AF37" s="4" t="s">
        <v>30</v>
      </c>
      <c r="AH37" s="4">
        <v>2</v>
      </c>
      <c r="AI37" s="3" t="s">
        <v>332</v>
      </c>
      <c r="AJ37" s="4" t="s">
        <v>335</v>
      </c>
      <c r="AK37" s="4"/>
      <c r="AL37" s="3"/>
    </row>
    <row r="38" spans="1:38" x14ac:dyDescent="0.35">
      <c r="A38" s="3" t="s">
        <v>341</v>
      </c>
      <c r="B38" s="4" t="s">
        <v>350</v>
      </c>
      <c r="C38" s="4">
        <f>VLOOKUP(A38, [1]Planilha1!$A$3:$B$1015,2,FALSE)</f>
        <v>27420</v>
      </c>
      <c r="D38" s="4">
        <f t="shared" si="0"/>
        <v>7.6166666666666663</v>
      </c>
      <c r="E38" s="4" t="s">
        <v>1125</v>
      </c>
      <c r="F38" s="3" t="s">
        <v>347</v>
      </c>
      <c r="G38" s="3" t="s">
        <v>342</v>
      </c>
      <c r="H38" s="3" t="s">
        <v>346</v>
      </c>
      <c r="I38" s="3" t="s">
        <v>33</v>
      </c>
      <c r="J38" s="3" t="s">
        <v>41</v>
      </c>
      <c r="K38" s="3" t="s">
        <v>344</v>
      </c>
      <c r="L38" s="1">
        <v>46052.387627314813</v>
      </c>
      <c r="M38" s="1">
        <v>46052.390636574077</v>
      </c>
      <c r="N38" s="1">
        <v>46052.685034722221</v>
      </c>
      <c r="O38" s="3" t="s">
        <v>345</v>
      </c>
      <c r="P38" s="3" t="s">
        <v>350</v>
      </c>
      <c r="Q38" s="3" t="s">
        <v>42</v>
      </c>
      <c r="R38" s="3" t="s">
        <v>349</v>
      </c>
      <c r="S38" s="3" t="s">
        <v>339</v>
      </c>
      <c r="T38" s="3" t="s">
        <v>338</v>
      </c>
      <c r="U38" s="4" t="b">
        <v>1</v>
      </c>
      <c r="V38" s="3" t="s">
        <v>31</v>
      </c>
      <c r="W38" s="1"/>
      <c r="Y38" s="3" t="s">
        <v>32</v>
      </c>
      <c r="Z38" s="3" t="s">
        <v>32</v>
      </c>
      <c r="AA38" s="3"/>
      <c r="AB38" s="3"/>
      <c r="AC38" s="4" t="s">
        <v>30</v>
      </c>
      <c r="AD38" s="3"/>
      <c r="AE38" s="3" t="s">
        <v>350</v>
      </c>
      <c r="AF38" s="4" t="s">
        <v>30</v>
      </c>
      <c r="AH38" s="4">
        <v>1</v>
      </c>
      <c r="AI38" s="3" t="s">
        <v>343</v>
      </c>
      <c r="AJ38" s="4" t="s">
        <v>348</v>
      </c>
      <c r="AK38" s="4"/>
      <c r="AL38" s="3"/>
    </row>
    <row r="39" spans="1:38" x14ac:dyDescent="0.35">
      <c r="A39" s="3" t="s">
        <v>351</v>
      </c>
      <c r="B39" s="4" t="s">
        <v>358</v>
      </c>
      <c r="C39" s="4">
        <f>VLOOKUP(A39, [1]Planilha1!$A$3:$B$1015,2,FALSE)</f>
        <v>0</v>
      </c>
      <c r="D39" s="4">
        <f t="shared" si="0"/>
        <v>0</v>
      </c>
      <c r="E39" s="4" t="s">
        <v>1125</v>
      </c>
      <c r="F39" s="3" t="s">
        <v>356</v>
      </c>
      <c r="G39" s="3" t="s">
        <v>352</v>
      </c>
      <c r="H39" s="3" t="s">
        <v>195</v>
      </c>
      <c r="I39" s="3" t="s">
        <v>33</v>
      </c>
      <c r="J39" s="3" t="s">
        <v>60</v>
      </c>
      <c r="K39" s="3" t="s">
        <v>354</v>
      </c>
      <c r="L39" s="1">
        <v>46052.375532407408</v>
      </c>
      <c r="M39" s="1">
        <v>46052.418530092589</v>
      </c>
      <c r="N39" s="1">
        <v>46055.458333333336</v>
      </c>
      <c r="O39" s="3" t="s">
        <v>355</v>
      </c>
      <c r="P39" s="3" t="s">
        <v>358</v>
      </c>
      <c r="Q39" s="3" t="s">
        <v>35</v>
      </c>
      <c r="R39" s="3" t="s">
        <v>357</v>
      </c>
      <c r="S39" s="3" t="s">
        <v>144</v>
      </c>
      <c r="T39" s="3" t="s">
        <v>143</v>
      </c>
      <c r="U39" s="4" t="b">
        <v>1</v>
      </c>
      <c r="V39" s="3" t="s">
        <v>31</v>
      </c>
      <c r="W39" s="1"/>
      <c r="Y39" s="3" t="s">
        <v>32</v>
      </c>
      <c r="Z39" s="3" t="s">
        <v>32</v>
      </c>
      <c r="AA39" s="3"/>
      <c r="AB39" s="3"/>
      <c r="AC39" s="4" t="s">
        <v>30</v>
      </c>
      <c r="AD39" s="3"/>
      <c r="AE39" s="3" t="s">
        <v>358</v>
      </c>
      <c r="AF39" s="4" t="s">
        <v>30</v>
      </c>
      <c r="AH39" s="4">
        <v>0</v>
      </c>
      <c r="AI39" s="3" t="s">
        <v>353</v>
      </c>
      <c r="AJ39" s="4" t="s">
        <v>5813</v>
      </c>
      <c r="AK39" s="4"/>
      <c r="AL39" s="3"/>
    </row>
    <row r="40" spans="1:38" x14ac:dyDescent="0.35">
      <c r="A40" s="3" t="s">
        <v>359</v>
      </c>
      <c r="B40" s="4" t="s">
        <v>366</v>
      </c>
      <c r="C40" s="4">
        <f>VLOOKUP(A40, [1]Planilha1!$A$3:$B$1015,2,FALSE)</f>
        <v>39902</v>
      </c>
      <c r="D40" s="4">
        <f t="shared" si="0"/>
        <v>11.08388888888889</v>
      </c>
      <c r="E40" s="4" t="s">
        <v>1125</v>
      </c>
      <c r="F40" s="3" t="s">
        <v>363</v>
      </c>
      <c r="G40" s="3" t="s">
        <v>360</v>
      </c>
      <c r="H40" s="3" t="s">
        <v>44</v>
      </c>
      <c r="I40" s="3" t="s">
        <v>33</v>
      </c>
      <c r="J40" s="3" t="s">
        <v>41</v>
      </c>
      <c r="K40" s="3" t="s">
        <v>362</v>
      </c>
      <c r="L40" s="1">
        <v>46052.374409722222</v>
      </c>
      <c r="M40" s="1">
        <v>46052.380543981482</v>
      </c>
      <c r="N40" s="1">
        <v>46055.488217592596</v>
      </c>
      <c r="O40" s="3" t="s">
        <v>43</v>
      </c>
      <c r="P40" s="3" t="s">
        <v>366</v>
      </c>
      <c r="Q40" s="3" t="s">
        <v>42</v>
      </c>
      <c r="R40" s="3" t="s">
        <v>365</v>
      </c>
      <c r="S40" s="3" t="s">
        <v>276</v>
      </c>
      <c r="T40" s="3" t="s">
        <v>275</v>
      </c>
      <c r="U40" s="4" t="b">
        <v>1</v>
      </c>
      <c r="V40" s="3" t="s">
        <v>31</v>
      </c>
      <c r="W40" s="1">
        <v>46052.617743055554</v>
      </c>
      <c r="Y40" s="3" t="s">
        <v>32</v>
      </c>
      <c r="Z40" s="3" t="s">
        <v>32</v>
      </c>
      <c r="AA40" s="3"/>
      <c r="AB40" s="3"/>
      <c r="AC40" s="4" t="s">
        <v>30</v>
      </c>
      <c r="AD40" s="3"/>
      <c r="AE40" s="3" t="s">
        <v>366</v>
      </c>
      <c r="AF40" s="4" t="s">
        <v>30</v>
      </c>
      <c r="AH40" s="4">
        <v>6</v>
      </c>
      <c r="AI40" s="3" t="s">
        <v>361</v>
      </c>
      <c r="AJ40" s="4" t="s">
        <v>364</v>
      </c>
      <c r="AK40" s="4"/>
      <c r="AL40" s="3"/>
    </row>
    <row r="41" spans="1:38" x14ac:dyDescent="0.35">
      <c r="A41" s="3" t="s">
        <v>372</v>
      </c>
      <c r="B41" s="4" t="s">
        <v>379</v>
      </c>
      <c r="C41" s="4">
        <f>VLOOKUP(A41, [1]Planilha1!$A$3:$B$1015,2,FALSE)</f>
        <v>3012</v>
      </c>
      <c r="D41" s="4">
        <f t="shared" si="0"/>
        <v>0.83666666666666667</v>
      </c>
      <c r="E41" s="4" t="s">
        <v>1125</v>
      </c>
      <c r="F41" s="3" t="s">
        <v>376</v>
      </c>
      <c r="G41" s="3" t="s">
        <v>373</v>
      </c>
      <c r="H41" s="3" t="s">
        <v>224</v>
      </c>
      <c r="I41" s="3" t="s">
        <v>33</v>
      </c>
      <c r="J41" s="3" t="s">
        <v>41</v>
      </c>
      <c r="K41" s="3" t="s">
        <v>375</v>
      </c>
      <c r="L41" s="1">
        <v>46052.353564814817</v>
      </c>
      <c r="M41" s="1">
        <v>46052.353564814817</v>
      </c>
      <c r="N41" s="1">
        <v>46052.381712962961</v>
      </c>
      <c r="O41" s="3" t="s">
        <v>223</v>
      </c>
      <c r="P41" s="3" t="s">
        <v>379</v>
      </c>
      <c r="Q41" s="3" t="s">
        <v>42</v>
      </c>
      <c r="R41" s="3" t="s">
        <v>378</v>
      </c>
      <c r="S41" s="3" t="s">
        <v>37</v>
      </c>
      <c r="T41" s="3" t="s">
        <v>36</v>
      </c>
      <c r="U41" s="4" t="b">
        <v>1</v>
      </c>
      <c r="V41" s="3" t="s">
        <v>28</v>
      </c>
      <c r="W41" s="1"/>
      <c r="Y41" s="3" t="s">
        <v>29</v>
      </c>
      <c r="Z41" s="3" t="s">
        <v>29</v>
      </c>
      <c r="AA41" s="3"/>
      <c r="AB41" s="3"/>
      <c r="AC41" s="4" t="s">
        <v>30</v>
      </c>
      <c r="AD41" s="3"/>
      <c r="AE41" s="3" t="s">
        <v>379</v>
      </c>
      <c r="AF41" s="4" t="s">
        <v>30</v>
      </c>
      <c r="AH41" s="4">
        <v>1</v>
      </c>
      <c r="AI41" s="3" t="s">
        <v>374</v>
      </c>
      <c r="AJ41" s="4" t="s">
        <v>377</v>
      </c>
      <c r="AK41" s="4"/>
      <c r="AL41" s="3"/>
    </row>
    <row r="42" spans="1:38" x14ac:dyDescent="0.35">
      <c r="A42" s="3" t="s">
        <v>380</v>
      </c>
      <c r="B42" s="4" t="s">
        <v>386</v>
      </c>
      <c r="C42" s="4">
        <f>VLOOKUP(A42, [1]Planilha1!$A$3:$B$1015,2,FALSE)</f>
        <v>6062</v>
      </c>
      <c r="D42" s="4">
        <f t="shared" si="0"/>
        <v>1.683888888888889</v>
      </c>
      <c r="E42" s="4" t="s">
        <v>1125</v>
      </c>
      <c r="F42" s="3" t="s">
        <v>383</v>
      </c>
      <c r="G42" s="3" t="s">
        <v>381</v>
      </c>
      <c r="H42" s="3" t="s">
        <v>171</v>
      </c>
      <c r="I42" s="3" t="s">
        <v>33</v>
      </c>
      <c r="J42" s="3" t="s">
        <v>250</v>
      </c>
      <c r="L42" s="1">
        <v>46052.207430555558</v>
      </c>
      <c r="M42" s="1">
        <v>46052.207430555558</v>
      </c>
      <c r="N42" s="1">
        <v>46055.375011574077</v>
      </c>
      <c r="O42" s="3" t="s">
        <v>170</v>
      </c>
      <c r="P42" s="3" t="s">
        <v>386</v>
      </c>
      <c r="Q42" s="3" t="s">
        <v>35</v>
      </c>
      <c r="R42" s="3" t="s">
        <v>385</v>
      </c>
      <c r="S42" s="3" t="s">
        <v>37</v>
      </c>
      <c r="T42" s="3" t="s">
        <v>36</v>
      </c>
      <c r="U42" s="4" t="b">
        <v>1</v>
      </c>
      <c r="V42" s="3" t="s">
        <v>28</v>
      </c>
      <c r="W42" s="1"/>
      <c r="Y42" s="3" t="s">
        <v>29</v>
      </c>
      <c r="Z42" s="3" t="s">
        <v>29</v>
      </c>
      <c r="AA42" s="3"/>
      <c r="AB42" s="3"/>
      <c r="AC42" s="4" t="s">
        <v>30</v>
      </c>
      <c r="AD42" s="3"/>
      <c r="AE42" s="3" t="s">
        <v>386</v>
      </c>
      <c r="AF42" s="4" t="s">
        <v>30</v>
      </c>
      <c r="AH42" s="4">
        <v>0</v>
      </c>
      <c r="AI42" s="3" t="s">
        <v>382</v>
      </c>
      <c r="AJ42" s="4" t="s">
        <v>384</v>
      </c>
      <c r="AK42" s="4"/>
      <c r="AL42" s="3"/>
    </row>
    <row r="43" spans="1:38" x14ac:dyDescent="0.35">
      <c r="A43" s="3" t="s">
        <v>387</v>
      </c>
      <c r="B43" s="4" t="s">
        <v>393</v>
      </c>
      <c r="C43" s="4">
        <f>VLOOKUP(A43, [1]Planilha1!$A$3:$B$1015,2,FALSE)</f>
        <v>7183</v>
      </c>
      <c r="D43" s="4">
        <f t="shared" si="0"/>
        <v>1.9952777777777777</v>
      </c>
      <c r="E43" s="4" t="s">
        <v>1125</v>
      </c>
      <c r="F43" s="3" t="s">
        <v>390</v>
      </c>
      <c r="G43" s="3" t="s">
        <v>388</v>
      </c>
      <c r="H43" s="3" t="s">
        <v>44</v>
      </c>
      <c r="I43" s="3" t="s">
        <v>33</v>
      </c>
      <c r="J43" s="3" t="s">
        <v>41</v>
      </c>
      <c r="L43" s="1">
        <v>46051.875960648147</v>
      </c>
      <c r="M43" s="1">
        <v>46051.875960648147</v>
      </c>
      <c r="N43" s="1">
        <v>46052.374803240738</v>
      </c>
      <c r="O43" s="3" t="s">
        <v>43</v>
      </c>
      <c r="P43" s="3" t="s">
        <v>393</v>
      </c>
      <c r="Q43" s="3" t="s">
        <v>42</v>
      </c>
      <c r="R43" s="3" t="s">
        <v>392</v>
      </c>
      <c r="S43" s="3" t="s">
        <v>37</v>
      </c>
      <c r="T43" s="3" t="s">
        <v>36</v>
      </c>
      <c r="U43" s="4" t="b">
        <v>1</v>
      </c>
      <c r="V43" s="3" t="s">
        <v>28</v>
      </c>
      <c r="W43" s="1"/>
      <c r="Y43" s="3" t="s">
        <v>29</v>
      </c>
      <c r="Z43" s="3" t="s">
        <v>29</v>
      </c>
      <c r="AA43" s="3"/>
      <c r="AB43" s="3"/>
      <c r="AC43" s="4" t="s">
        <v>30</v>
      </c>
      <c r="AD43" s="3"/>
      <c r="AE43" s="3" t="s">
        <v>393</v>
      </c>
      <c r="AF43" s="4" t="s">
        <v>30</v>
      </c>
      <c r="AH43" s="4">
        <v>0</v>
      </c>
      <c r="AI43" s="3" t="s">
        <v>389</v>
      </c>
      <c r="AJ43" s="4" t="s">
        <v>391</v>
      </c>
      <c r="AK43" s="4"/>
      <c r="AL43" s="3"/>
    </row>
    <row r="44" spans="1:38" x14ac:dyDescent="0.35">
      <c r="A44" s="3" t="s">
        <v>394</v>
      </c>
      <c r="B44" s="4" t="s">
        <v>398</v>
      </c>
      <c r="C44" s="4">
        <f>VLOOKUP(A44, [1]Planilha1!$A$3:$B$1015,2,FALSE)</f>
        <v>0</v>
      </c>
      <c r="D44" s="4">
        <f t="shared" si="0"/>
        <v>0</v>
      </c>
      <c r="E44" s="4" t="s">
        <v>1125</v>
      </c>
      <c r="F44" s="3" t="s">
        <v>396</v>
      </c>
      <c r="G44" s="3" t="s">
        <v>74</v>
      </c>
      <c r="H44" s="3" t="s">
        <v>44</v>
      </c>
      <c r="I44" s="3" t="s">
        <v>33</v>
      </c>
      <c r="J44" s="3" t="s">
        <v>41</v>
      </c>
      <c r="L44" s="1">
        <v>46051.750636574077</v>
      </c>
      <c r="M44" s="1">
        <v>46051.752789351849</v>
      </c>
      <c r="N44" s="1">
        <v>46052.359270833331</v>
      </c>
      <c r="O44" s="3" t="s">
        <v>43</v>
      </c>
      <c r="P44" s="3" t="s">
        <v>398</v>
      </c>
      <c r="Q44" s="3" t="s">
        <v>42</v>
      </c>
      <c r="R44" s="3" t="s">
        <v>397</v>
      </c>
      <c r="S44" s="3" t="s">
        <v>80</v>
      </c>
      <c r="T44" s="3" t="s">
        <v>79</v>
      </c>
      <c r="U44" s="4" t="b">
        <v>1</v>
      </c>
      <c r="V44" s="3" t="s">
        <v>31</v>
      </c>
      <c r="W44" s="1"/>
      <c r="Y44" s="3" t="s">
        <v>32</v>
      </c>
      <c r="Z44" s="3" t="s">
        <v>32</v>
      </c>
      <c r="AA44" s="3"/>
      <c r="AB44" s="3"/>
      <c r="AC44" s="4" t="s">
        <v>30</v>
      </c>
      <c r="AD44" s="3"/>
      <c r="AE44" s="3" t="s">
        <v>398</v>
      </c>
      <c r="AF44" s="4" t="s">
        <v>30</v>
      </c>
      <c r="AH44" s="4">
        <v>1</v>
      </c>
      <c r="AI44" s="3" t="s">
        <v>395</v>
      </c>
      <c r="AJ44" s="4" t="s">
        <v>5814</v>
      </c>
      <c r="AK44" s="4"/>
      <c r="AL44" s="3"/>
    </row>
    <row r="45" spans="1:38" x14ac:dyDescent="0.35">
      <c r="A45" s="3" t="s">
        <v>411</v>
      </c>
      <c r="B45" s="4" t="s">
        <v>410</v>
      </c>
      <c r="C45" s="4">
        <f>VLOOKUP(A45, [1]Planilha1!$A$3:$B$1015,2,FALSE)</f>
        <v>0</v>
      </c>
      <c r="D45" s="4">
        <f t="shared" si="0"/>
        <v>0</v>
      </c>
      <c r="E45" s="4" t="s">
        <v>1125</v>
      </c>
      <c r="F45" s="3" t="s">
        <v>407</v>
      </c>
      <c r="G45" s="3" t="s">
        <v>412</v>
      </c>
      <c r="H45" s="3" t="s">
        <v>44</v>
      </c>
      <c r="I45" s="3" t="s">
        <v>33</v>
      </c>
      <c r="J45" s="3" t="s">
        <v>60</v>
      </c>
      <c r="L45" s="1">
        <v>46051.707569444443</v>
      </c>
      <c r="M45" s="1">
        <v>46051.712754629632</v>
      </c>
      <c r="N45" s="1">
        <v>46054.75</v>
      </c>
      <c r="O45" s="3" t="s">
        <v>43</v>
      </c>
      <c r="P45" s="3" t="s">
        <v>410</v>
      </c>
      <c r="Q45" s="3" t="s">
        <v>35</v>
      </c>
      <c r="R45" s="3" t="s">
        <v>409</v>
      </c>
      <c r="S45" s="3" t="s">
        <v>98</v>
      </c>
      <c r="T45" s="3" t="s">
        <v>97</v>
      </c>
      <c r="U45" s="4" t="b">
        <v>1</v>
      </c>
      <c r="V45" s="3" t="s">
        <v>31</v>
      </c>
      <c r="W45" s="1"/>
      <c r="Y45" s="3" t="s">
        <v>32</v>
      </c>
      <c r="Z45" s="3" t="s">
        <v>32</v>
      </c>
      <c r="AA45" s="3"/>
      <c r="AB45" s="3"/>
      <c r="AC45" s="4" t="s">
        <v>30</v>
      </c>
      <c r="AD45" s="3"/>
      <c r="AE45" s="3" t="s">
        <v>410</v>
      </c>
      <c r="AF45" s="4" t="s">
        <v>30</v>
      </c>
      <c r="AH45" s="4">
        <v>0</v>
      </c>
      <c r="AI45" s="3" t="s">
        <v>413</v>
      </c>
      <c r="AJ45" s="4" t="s">
        <v>408</v>
      </c>
      <c r="AK45" s="4"/>
      <c r="AL45" s="3"/>
    </row>
    <row r="46" spans="1:38" x14ac:dyDescent="0.35">
      <c r="A46" s="3" t="s">
        <v>418</v>
      </c>
      <c r="B46" s="4" t="s">
        <v>423</v>
      </c>
      <c r="C46" s="4">
        <f>VLOOKUP(A46, [1]Planilha1!$A$3:$B$1015,2,FALSE)</f>
        <v>0</v>
      </c>
      <c r="D46" s="4">
        <f t="shared" si="0"/>
        <v>0</v>
      </c>
      <c r="E46" s="4" t="s">
        <v>1125</v>
      </c>
      <c r="F46" s="3" t="s">
        <v>421</v>
      </c>
      <c r="G46" s="3" t="s">
        <v>126</v>
      </c>
      <c r="H46" s="3" t="s">
        <v>126</v>
      </c>
      <c r="I46" s="3" t="s">
        <v>33</v>
      </c>
      <c r="J46" s="3" t="s">
        <v>60</v>
      </c>
      <c r="K46" s="3" t="s">
        <v>420</v>
      </c>
      <c r="L46" s="1">
        <v>46051.705879629626</v>
      </c>
      <c r="M46" s="1">
        <v>46051.726469907408</v>
      </c>
      <c r="N46" s="1">
        <v>46054.75</v>
      </c>
      <c r="O46" s="3" t="s">
        <v>125</v>
      </c>
      <c r="P46" s="3" t="s">
        <v>423</v>
      </c>
      <c r="Q46" s="3" t="s">
        <v>42</v>
      </c>
      <c r="R46" s="3" t="s">
        <v>422</v>
      </c>
      <c r="S46" s="3" t="s">
        <v>120</v>
      </c>
      <c r="T46" s="3" t="s">
        <v>119</v>
      </c>
      <c r="U46" s="4" t="b">
        <v>1</v>
      </c>
      <c r="V46" s="3" t="s">
        <v>31</v>
      </c>
      <c r="W46" s="1"/>
      <c r="Y46" s="3" t="s">
        <v>32</v>
      </c>
      <c r="Z46" s="3" t="s">
        <v>32</v>
      </c>
      <c r="AA46" s="3"/>
      <c r="AB46" s="3"/>
      <c r="AC46" s="4" t="s">
        <v>30</v>
      </c>
      <c r="AD46" s="3"/>
      <c r="AE46" s="3" t="s">
        <v>423</v>
      </c>
      <c r="AF46" s="4" t="s">
        <v>30</v>
      </c>
      <c r="AH46" s="4">
        <v>0</v>
      </c>
      <c r="AI46" s="3" t="s">
        <v>419</v>
      </c>
      <c r="AJ46" s="4" t="s">
        <v>5815</v>
      </c>
      <c r="AK46" s="4"/>
      <c r="AL46" s="3"/>
    </row>
    <row r="47" spans="1:38" x14ac:dyDescent="0.35">
      <c r="A47" s="3" t="s">
        <v>424</v>
      </c>
      <c r="B47" s="4" t="s">
        <v>431</v>
      </c>
      <c r="C47" s="4">
        <f>VLOOKUP(A47, [1]Planilha1!$A$3:$B$1015,2,FALSE)</f>
        <v>18378</v>
      </c>
      <c r="D47" s="4">
        <f t="shared" si="0"/>
        <v>5.1050000000000004</v>
      </c>
      <c r="E47" s="4" t="s">
        <v>1125</v>
      </c>
      <c r="F47" s="3" t="s">
        <v>429</v>
      </c>
      <c r="G47" s="3" t="s">
        <v>425</v>
      </c>
      <c r="H47" s="3" t="s">
        <v>428</v>
      </c>
      <c r="I47" s="3" t="s">
        <v>33</v>
      </c>
      <c r="J47" s="3" t="s">
        <v>41</v>
      </c>
      <c r="L47" s="1">
        <v>46051.704606481479</v>
      </c>
      <c r="M47" s="1">
        <v>46051.704606481479</v>
      </c>
      <c r="N47" s="1">
        <v>46052.371921296297</v>
      </c>
      <c r="O47" s="3" t="s">
        <v>427</v>
      </c>
      <c r="P47" s="3" t="s">
        <v>431</v>
      </c>
      <c r="Q47" s="3" t="s">
        <v>42</v>
      </c>
      <c r="R47" s="3" t="s">
        <v>430</v>
      </c>
      <c r="S47" s="3" t="s">
        <v>37</v>
      </c>
      <c r="T47" s="3" t="s">
        <v>36</v>
      </c>
      <c r="U47" s="4" t="b">
        <v>1</v>
      </c>
      <c r="V47" s="3" t="s">
        <v>28</v>
      </c>
      <c r="W47" s="1"/>
      <c r="Y47" s="3" t="s">
        <v>29</v>
      </c>
      <c r="Z47" s="3" t="s">
        <v>29</v>
      </c>
      <c r="AA47" s="3"/>
      <c r="AB47" s="3"/>
      <c r="AC47" s="4" t="s">
        <v>30</v>
      </c>
      <c r="AD47" s="3"/>
      <c r="AE47" s="3" t="s">
        <v>431</v>
      </c>
      <c r="AF47" s="4" t="s">
        <v>30</v>
      </c>
      <c r="AH47" s="4">
        <v>1</v>
      </c>
      <c r="AI47" s="3" t="s">
        <v>426</v>
      </c>
      <c r="AJ47" s="4" t="s">
        <v>5816</v>
      </c>
      <c r="AK47" s="4"/>
      <c r="AL47" s="3"/>
    </row>
    <row r="48" spans="1:38" x14ac:dyDescent="0.35">
      <c r="A48" s="3" t="s">
        <v>432</v>
      </c>
      <c r="B48" s="4" t="s">
        <v>94</v>
      </c>
      <c r="C48" s="4">
        <f>VLOOKUP(A48, [1]Planilha1!$A$3:$B$1015,2,FALSE)</f>
        <v>0</v>
      </c>
      <c r="D48" s="4">
        <f t="shared" si="0"/>
        <v>0</v>
      </c>
      <c r="E48" s="4" t="s">
        <v>1125</v>
      </c>
      <c r="F48" s="3" t="s">
        <v>92</v>
      </c>
      <c r="G48" s="3" t="s">
        <v>433</v>
      </c>
      <c r="H48" s="3" t="s">
        <v>148</v>
      </c>
      <c r="I48" s="3" t="s">
        <v>33</v>
      </c>
      <c r="J48" s="3" t="s">
        <v>60</v>
      </c>
      <c r="L48" s="1">
        <v>46051.702384259261</v>
      </c>
      <c r="M48" s="1">
        <v>46051.703125</v>
      </c>
      <c r="N48" s="1">
        <v>46054.708333333336</v>
      </c>
      <c r="O48" s="3" t="s">
        <v>147</v>
      </c>
      <c r="P48" s="3" t="s">
        <v>94</v>
      </c>
      <c r="Q48" s="3" t="s">
        <v>35</v>
      </c>
      <c r="R48" s="3" t="s">
        <v>93</v>
      </c>
      <c r="S48" s="3" t="s">
        <v>82</v>
      </c>
      <c r="T48" s="3" t="s">
        <v>81</v>
      </c>
      <c r="U48" s="4" t="b">
        <v>1</v>
      </c>
      <c r="V48" s="3" t="s">
        <v>31</v>
      </c>
      <c r="W48" s="1"/>
      <c r="Y48" s="3" t="s">
        <v>32</v>
      </c>
      <c r="Z48" s="3" t="s">
        <v>32</v>
      </c>
      <c r="AA48" s="3"/>
      <c r="AB48" s="3"/>
      <c r="AC48" s="4" t="s">
        <v>30</v>
      </c>
      <c r="AD48" s="3"/>
      <c r="AE48" s="3" t="s">
        <v>94</v>
      </c>
      <c r="AF48" s="4" t="s">
        <v>30</v>
      </c>
      <c r="AH48" s="4">
        <v>0</v>
      </c>
      <c r="AI48" s="3" t="s">
        <v>434</v>
      </c>
      <c r="AJ48" s="4"/>
      <c r="AK48" s="4"/>
      <c r="AL48" s="3"/>
    </row>
    <row r="49" spans="1:38" x14ac:dyDescent="0.35">
      <c r="A49" s="3" t="s">
        <v>435</v>
      </c>
      <c r="B49" s="4" t="s">
        <v>441</v>
      </c>
      <c r="C49" s="4">
        <f>VLOOKUP(A49, [1]Planilha1!$A$3:$B$1015,2,FALSE)</f>
        <v>7486</v>
      </c>
      <c r="D49" s="4">
        <f t="shared" si="0"/>
        <v>2.0794444444444444</v>
      </c>
      <c r="E49" s="4" t="s">
        <v>1125</v>
      </c>
      <c r="F49" s="3" t="s">
        <v>438</v>
      </c>
      <c r="G49" s="3" t="s">
        <v>44</v>
      </c>
      <c r="H49" s="3" t="s">
        <v>44</v>
      </c>
      <c r="I49" s="3" t="s">
        <v>33</v>
      </c>
      <c r="J49" s="3" t="s">
        <v>41</v>
      </c>
      <c r="K49" s="3" t="s">
        <v>437</v>
      </c>
      <c r="L49" s="1">
        <v>46051.701967592591</v>
      </c>
      <c r="M49" s="1">
        <v>46051.706678240742</v>
      </c>
      <c r="N49" s="1">
        <v>46052.363113425927</v>
      </c>
      <c r="O49" s="3" t="s">
        <v>43</v>
      </c>
      <c r="P49" s="3" t="s">
        <v>441</v>
      </c>
      <c r="Q49" s="3" t="s">
        <v>42</v>
      </c>
      <c r="R49" s="3" t="s">
        <v>440</v>
      </c>
      <c r="S49" s="3" t="s">
        <v>96</v>
      </c>
      <c r="T49" s="3" t="s">
        <v>95</v>
      </c>
      <c r="U49" s="4" t="b">
        <v>1</v>
      </c>
      <c r="V49" s="3" t="s">
        <v>31</v>
      </c>
      <c r="W49" s="1"/>
      <c r="Y49" s="3" t="s">
        <v>32</v>
      </c>
      <c r="Z49" s="3" t="s">
        <v>32</v>
      </c>
      <c r="AA49" s="3"/>
      <c r="AB49" s="3"/>
      <c r="AC49" s="4" t="s">
        <v>30</v>
      </c>
      <c r="AD49" s="3"/>
      <c r="AE49" s="3" t="s">
        <v>441</v>
      </c>
      <c r="AF49" s="4" t="s">
        <v>30</v>
      </c>
      <c r="AH49" s="4">
        <v>1</v>
      </c>
      <c r="AI49" s="3" t="s">
        <v>436</v>
      </c>
      <c r="AJ49" s="4" t="s">
        <v>439</v>
      </c>
      <c r="AK49" s="4"/>
      <c r="AL49" s="3"/>
    </row>
    <row r="50" spans="1:38" x14ac:dyDescent="0.35">
      <c r="A50" s="3" t="s">
        <v>442</v>
      </c>
      <c r="B50" s="4" t="s">
        <v>446</v>
      </c>
      <c r="C50" s="4">
        <f>VLOOKUP(A50, [1]Planilha1!$A$3:$B$1015,2,FALSE)</f>
        <v>7946</v>
      </c>
      <c r="D50" s="4">
        <f t="shared" si="0"/>
        <v>2.2072222222222222</v>
      </c>
      <c r="E50" s="4" t="s">
        <v>1125</v>
      </c>
      <c r="F50" s="3" t="s">
        <v>444</v>
      </c>
      <c r="G50" s="3" t="s">
        <v>74</v>
      </c>
      <c r="H50" s="3" t="s">
        <v>44</v>
      </c>
      <c r="I50" s="3" t="s">
        <v>33</v>
      </c>
      <c r="J50" s="3" t="s">
        <v>41</v>
      </c>
      <c r="L50" s="1">
        <v>46051.701793981483</v>
      </c>
      <c r="M50" s="1">
        <v>46051.704016203701</v>
      </c>
      <c r="N50" s="1">
        <v>46052.327465277776</v>
      </c>
      <c r="O50" s="3" t="s">
        <v>43</v>
      </c>
      <c r="P50" s="3" t="s">
        <v>446</v>
      </c>
      <c r="Q50" s="3" t="s">
        <v>42</v>
      </c>
      <c r="R50" s="3" t="s">
        <v>445</v>
      </c>
      <c r="S50" s="3" t="s">
        <v>80</v>
      </c>
      <c r="T50" s="3" t="s">
        <v>79</v>
      </c>
      <c r="U50" s="4" t="b">
        <v>1</v>
      </c>
      <c r="V50" s="3" t="s">
        <v>31</v>
      </c>
      <c r="W50" s="1"/>
      <c r="Y50" s="3" t="s">
        <v>32</v>
      </c>
      <c r="Z50" s="3" t="s">
        <v>32</v>
      </c>
      <c r="AA50" s="3"/>
      <c r="AB50" s="3"/>
      <c r="AC50" s="4" t="s">
        <v>30</v>
      </c>
      <c r="AD50" s="3"/>
      <c r="AE50" s="3" t="s">
        <v>446</v>
      </c>
      <c r="AF50" s="4" t="s">
        <v>30</v>
      </c>
      <c r="AH50" s="4">
        <v>1</v>
      </c>
      <c r="AI50" s="3" t="s">
        <v>443</v>
      </c>
      <c r="AJ50" s="4" t="s">
        <v>5817</v>
      </c>
      <c r="AK50" s="4"/>
      <c r="AL50" s="3"/>
    </row>
    <row r="51" spans="1:38" x14ac:dyDescent="0.35">
      <c r="A51" s="3" t="s">
        <v>451</v>
      </c>
      <c r="B51" s="4" t="s">
        <v>58</v>
      </c>
      <c r="C51" s="4">
        <f>VLOOKUP(A51, [1]Planilha1!$A$3:$B$1015,2,FALSE)</f>
        <v>35054</v>
      </c>
      <c r="D51" s="4">
        <f t="shared" si="0"/>
        <v>9.737222222222222</v>
      </c>
      <c r="E51" s="4" t="s">
        <v>1125</v>
      </c>
      <c r="F51" s="3" t="s">
        <v>54</v>
      </c>
      <c r="G51" s="3" t="s">
        <v>452</v>
      </c>
      <c r="H51" s="3" t="s">
        <v>455</v>
      </c>
      <c r="I51" s="3" t="s">
        <v>33</v>
      </c>
      <c r="J51" s="3" t="s">
        <v>152</v>
      </c>
      <c r="L51" s="1">
        <v>46051.690821759257</v>
      </c>
      <c r="M51" s="1">
        <v>46051.700775462959</v>
      </c>
      <c r="N51" s="1">
        <v>46058.404872685183</v>
      </c>
      <c r="O51" s="3" t="s">
        <v>454</v>
      </c>
      <c r="P51" s="3" t="s">
        <v>57</v>
      </c>
      <c r="Q51" s="3" t="s">
        <v>52</v>
      </c>
      <c r="R51" s="3" t="s">
        <v>56</v>
      </c>
      <c r="S51" s="3" t="s">
        <v>158</v>
      </c>
      <c r="T51" s="3" t="s">
        <v>157</v>
      </c>
      <c r="U51" s="4" t="b">
        <v>0</v>
      </c>
      <c r="V51" s="3" t="s">
        <v>28</v>
      </c>
      <c r="W51" s="1"/>
      <c r="Y51" s="3" t="s">
        <v>29</v>
      </c>
      <c r="Z51" s="3" t="s">
        <v>29</v>
      </c>
      <c r="AA51" s="3" t="s">
        <v>196</v>
      </c>
      <c r="AB51" s="3" t="s">
        <v>58</v>
      </c>
      <c r="AC51" s="4" t="s">
        <v>30</v>
      </c>
      <c r="AD51" s="3" t="s">
        <v>59</v>
      </c>
      <c r="AE51" s="3" t="s">
        <v>57</v>
      </c>
      <c r="AF51" s="4" t="s">
        <v>30</v>
      </c>
      <c r="AH51" s="4">
        <v>2</v>
      </c>
      <c r="AI51" s="3" t="s">
        <v>453</v>
      </c>
      <c r="AJ51" s="4" t="s">
        <v>55</v>
      </c>
      <c r="AK51" s="4" t="s">
        <v>197</v>
      </c>
      <c r="AL51" s="3"/>
    </row>
    <row r="52" spans="1:38" x14ac:dyDescent="0.35">
      <c r="A52" s="3" t="s">
        <v>456</v>
      </c>
      <c r="B52" s="4" t="s">
        <v>464</v>
      </c>
      <c r="C52" s="4">
        <f>VLOOKUP(A52, [1]Planilha1!$A$3:$B$1015,2,FALSE)</f>
        <v>0</v>
      </c>
      <c r="D52" s="4">
        <f t="shared" si="0"/>
        <v>0</v>
      </c>
      <c r="E52" s="4" t="s">
        <v>1125</v>
      </c>
      <c r="F52" s="3" t="s">
        <v>461</v>
      </c>
      <c r="G52" s="3" t="s">
        <v>457</v>
      </c>
      <c r="H52" s="3" t="s">
        <v>457</v>
      </c>
      <c r="I52" s="3" t="s">
        <v>33</v>
      </c>
      <c r="J52" s="3" t="s">
        <v>459</v>
      </c>
      <c r="L52" s="1">
        <v>46051.682118055556</v>
      </c>
      <c r="M52" s="1">
        <v>46051.688043981485</v>
      </c>
      <c r="N52" s="1">
        <v>46054.708333333336</v>
      </c>
      <c r="O52" s="3" t="s">
        <v>460</v>
      </c>
      <c r="P52" s="3" t="s">
        <v>464</v>
      </c>
      <c r="Q52" s="3" t="s">
        <v>35</v>
      </c>
      <c r="R52" s="3" t="s">
        <v>463</v>
      </c>
      <c r="S52" s="3" t="s">
        <v>82</v>
      </c>
      <c r="T52" s="3" t="s">
        <v>81</v>
      </c>
      <c r="U52" s="4" t="b">
        <v>1</v>
      </c>
      <c r="V52" s="3" t="s">
        <v>31</v>
      </c>
      <c r="W52" s="1"/>
      <c r="Y52" s="3" t="s">
        <v>32</v>
      </c>
      <c r="Z52" s="3" t="s">
        <v>32</v>
      </c>
      <c r="AA52" s="3"/>
      <c r="AB52" s="3"/>
      <c r="AC52" s="4" t="s">
        <v>30</v>
      </c>
      <c r="AD52" s="3"/>
      <c r="AE52" s="3" t="s">
        <v>464</v>
      </c>
      <c r="AF52" s="4" t="s">
        <v>30</v>
      </c>
      <c r="AH52" s="4">
        <v>0</v>
      </c>
      <c r="AI52" s="3" t="s">
        <v>458</v>
      </c>
      <c r="AJ52" s="4" t="s">
        <v>462</v>
      </c>
      <c r="AK52" s="4"/>
      <c r="AL52" s="3"/>
    </row>
    <row r="53" spans="1:38" x14ac:dyDescent="0.35">
      <c r="A53" s="3" t="s">
        <v>465</v>
      </c>
      <c r="B53" s="4" t="s">
        <v>402</v>
      </c>
      <c r="C53" s="4">
        <f>VLOOKUP(A53, [1]Planilha1!$A$3:$B$1015,2,FALSE)</f>
        <v>8912</v>
      </c>
      <c r="D53" s="4">
        <f t="shared" si="0"/>
        <v>2.4755555555555557</v>
      </c>
      <c r="E53" s="4" t="s">
        <v>1125</v>
      </c>
      <c r="F53" s="3" t="s">
        <v>399</v>
      </c>
      <c r="G53" s="3" t="s">
        <v>74</v>
      </c>
      <c r="H53" s="3" t="s">
        <v>44</v>
      </c>
      <c r="I53" s="3" t="s">
        <v>33</v>
      </c>
      <c r="J53" s="3" t="s">
        <v>41</v>
      </c>
      <c r="L53" s="1">
        <v>46051.678564814814</v>
      </c>
      <c r="M53" s="1">
        <v>46051.693460648145</v>
      </c>
      <c r="N53" s="1">
        <v>46054.75</v>
      </c>
      <c r="O53" s="3" t="s">
        <v>43</v>
      </c>
      <c r="P53" s="3" t="s">
        <v>402</v>
      </c>
      <c r="Q53" s="3" t="s">
        <v>35</v>
      </c>
      <c r="R53" s="3" t="s">
        <v>401</v>
      </c>
      <c r="S53" s="3" t="s">
        <v>80</v>
      </c>
      <c r="T53" s="3" t="s">
        <v>79</v>
      </c>
      <c r="U53" s="4" t="b">
        <v>1</v>
      </c>
      <c r="V53" s="3" t="s">
        <v>31</v>
      </c>
      <c r="W53" s="1"/>
      <c r="Y53" s="3" t="s">
        <v>32</v>
      </c>
      <c r="Z53" s="3" t="s">
        <v>32</v>
      </c>
      <c r="AA53" s="3"/>
      <c r="AB53" s="3"/>
      <c r="AC53" s="4" t="s">
        <v>30</v>
      </c>
      <c r="AD53" s="3"/>
      <c r="AE53" s="3" t="s">
        <v>402</v>
      </c>
      <c r="AF53" s="4" t="s">
        <v>30</v>
      </c>
      <c r="AH53" s="4">
        <v>1</v>
      </c>
      <c r="AI53" s="3" t="s">
        <v>466</v>
      </c>
      <c r="AJ53" s="4" t="s">
        <v>400</v>
      </c>
      <c r="AK53" s="4"/>
      <c r="AL53" s="3"/>
    </row>
    <row r="54" spans="1:38" x14ac:dyDescent="0.35">
      <c r="A54" s="3" t="s">
        <v>467</v>
      </c>
      <c r="B54" s="4" t="s">
        <v>472</v>
      </c>
      <c r="C54" s="4">
        <f>VLOOKUP(A54, [1]Planilha1!$A$3:$B$1015,2,FALSE)</f>
        <v>1010</v>
      </c>
      <c r="D54" s="4">
        <f t="shared" si="0"/>
        <v>0.28055555555555556</v>
      </c>
      <c r="E54" s="4" t="s">
        <v>1125</v>
      </c>
      <c r="F54" s="3" t="s">
        <v>469</v>
      </c>
      <c r="G54" s="3" t="s">
        <v>72</v>
      </c>
      <c r="H54" s="3" t="s">
        <v>44</v>
      </c>
      <c r="I54" s="3" t="s">
        <v>33</v>
      </c>
      <c r="J54" s="3" t="s">
        <v>60</v>
      </c>
      <c r="L54" s="1">
        <v>46051.6721875</v>
      </c>
      <c r="M54" s="1">
        <v>46051.6721875</v>
      </c>
      <c r="N54" s="1">
        <v>46054.708333333336</v>
      </c>
      <c r="O54" s="3" t="s">
        <v>43</v>
      </c>
      <c r="P54" s="3" t="s">
        <v>472</v>
      </c>
      <c r="Q54" s="3" t="s">
        <v>35</v>
      </c>
      <c r="R54" s="3" t="s">
        <v>471</v>
      </c>
      <c r="S54" s="3" t="s">
        <v>37</v>
      </c>
      <c r="T54" s="3" t="s">
        <v>36</v>
      </c>
      <c r="U54" s="4" t="b">
        <v>1</v>
      </c>
      <c r="V54" s="3" t="s">
        <v>28</v>
      </c>
      <c r="W54" s="1"/>
      <c r="Y54" s="3" t="s">
        <v>29</v>
      </c>
      <c r="Z54" s="3" t="s">
        <v>29</v>
      </c>
      <c r="AA54" s="3"/>
      <c r="AB54" s="3"/>
      <c r="AC54" s="4" t="s">
        <v>30</v>
      </c>
      <c r="AD54" s="3"/>
      <c r="AE54" s="3" t="s">
        <v>472</v>
      </c>
      <c r="AF54" s="4" t="s">
        <v>30</v>
      </c>
      <c r="AH54" s="4">
        <v>0</v>
      </c>
      <c r="AI54" s="3" t="s">
        <v>468</v>
      </c>
      <c r="AJ54" s="4" t="s">
        <v>470</v>
      </c>
      <c r="AK54" s="4"/>
      <c r="AL54" s="3"/>
    </row>
    <row r="55" spans="1:38" x14ac:dyDescent="0.35">
      <c r="A55" s="3" t="s">
        <v>473</v>
      </c>
      <c r="B55" s="4" t="s">
        <v>481</v>
      </c>
      <c r="C55" s="4">
        <f>VLOOKUP(A55, [1]Planilha1!$A$3:$B$1015,2,FALSE)</f>
        <v>0</v>
      </c>
      <c r="D55" s="4">
        <f t="shared" si="0"/>
        <v>0</v>
      </c>
      <c r="E55" s="4" t="s">
        <v>1125</v>
      </c>
      <c r="F55" s="3" t="s">
        <v>478</v>
      </c>
      <c r="G55" s="3" t="s">
        <v>474</v>
      </c>
      <c r="H55" s="3" t="s">
        <v>474</v>
      </c>
      <c r="I55" s="3" t="s">
        <v>33</v>
      </c>
      <c r="J55" s="3" t="s">
        <v>459</v>
      </c>
      <c r="K55" s="3" t="s">
        <v>476</v>
      </c>
      <c r="L55" s="1">
        <v>46051.66741898148</v>
      </c>
      <c r="M55" s="1">
        <v>46051.706701388888</v>
      </c>
      <c r="N55" s="1">
        <v>46054.708333333336</v>
      </c>
      <c r="O55" s="3" t="s">
        <v>477</v>
      </c>
      <c r="P55" s="3" t="s">
        <v>481</v>
      </c>
      <c r="Q55" s="3" t="s">
        <v>35</v>
      </c>
      <c r="R55" s="3" t="s">
        <v>480</v>
      </c>
      <c r="S55" s="3" t="s">
        <v>98</v>
      </c>
      <c r="T55" s="3" t="s">
        <v>97</v>
      </c>
      <c r="U55" s="4" t="b">
        <v>1</v>
      </c>
      <c r="V55" s="3" t="s">
        <v>31</v>
      </c>
      <c r="W55" s="1"/>
      <c r="Y55" s="3" t="s">
        <v>32</v>
      </c>
      <c r="Z55" s="3" t="s">
        <v>32</v>
      </c>
      <c r="AA55" s="3"/>
      <c r="AB55" s="3"/>
      <c r="AC55" s="4" t="s">
        <v>30</v>
      </c>
      <c r="AD55" s="3"/>
      <c r="AE55" s="3" t="s">
        <v>481</v>
      </c>
      <c r="AF55" s="4" t="s">
        <v>30</v>
      </c>
      <c r="AH55" s="4">
        <v>0</v>
      </c>
      <c r="AI55" s="3" t="s">
        <v>475</v>
      </c>
      <c r="AJ55" s="4" t="s">
        <v>479</v>
      </c>
      <c r="AK55" s="4"/>
      <c r="AL55" s="3"/>
    </row>
    <row r="56" spans="1:38" x14ac:dyDescent="0.35">
      <c r="A56" s="3" t="s">
        <v>487</v>
      </c>
      <c r="B56" s="4" t="s">
        <v>94</v>
      </c>
      <c r="C56" s="4">
        <f>VLOOKUP(A56, [1]Planilha1!$A$3:$B$1015,2,FALSE)</f>
        <v>0</v>
      </c>
      <c r="D56" s="4">
        <f t="shared" si="0"/>
        <v>0</v>
      </c>
      <c r="E56" s="4" t="s">
        <v>1125</v>
      </c>
      <c r="F56" s="3" t="s">
        <v>92</v>
      </c>
      <c r="G56" s="3" t="s">
        <v>237</v>
      </c>
      <c r="H56" s="3" t="s">
        <v>237</v>
      </c>
      <c r="I56" s="3" t="s">
        <v>33</v>
      </c>
      <c r="J56" s="3" t="s">
        <v>60</v>
      </c>
      <c r="L56" s="1">
        <v>46051.651701388888</v>
      </c>
      <c r="M56" s="1">
        <v>46051.653495370374</v>
      </c>
      <c r="N56" s="1">
        <v>46054.666678240741</v>
      </c>
      <c r="O56" s="3" t="s">
        <v>236</v>
      </c>
      <c r="P56" s="3" t="s">
        <v>94</v>
      </c>
      <c r="Q56" s="3" t="s">
        <v>35</v>
      </c>
      <c r="R56" s="3" t="s">
        <v>93</v>
      </c>
      <c r="S56" s="3" t="s">
        <v>82</v>
      </c>
      <c r="T56" s="3" t="s">
        <v>81</v>
      </c>
      <c r="U56" s="4" t="b">
        <v>1</v>
      </c>
      <c r="V56" s="3" t="s">
        <v>31</v>
      </c>
      <c r="W56" s="1"/>
      <c r="Y56" s="3" t="s">
        <v>32</v>
      </c>
      <c r="Z56" s="3" t="s">
        <v>32</v>
      </c>
      <c r="AA56" s="3"/>
      <c r="AB56" s="3"/>
      <c r="AC56" s="4" t="s">
        <v>30</v>
      </c>
      <c r="AD56" s="3"/>
      <c r="AE56" s="3" t="s">
        <v>94</v>
      </c>
      <c r="AF56" s="4" t="s">
        <v>30</v>
      </c>
      <c r="AH56" s="4">
        <v>0</v>
      </c>
      <c r="AI56" s="3" t="s">
        <v>488</v>
      </c>
      <c r="AJ56" s="4"/>
      <c r="AK56" s="4"/>
      <c r="AL56" s="3"/>
    </row>
    <row r="57" spans="1:38" x14ac:dyDescent="0.35">
      <c r="A57" s="3" t="s">
        <v>489</v>
      </c>
      <c r="B57" s="4" t="s">
        <v>496</v>
      </c>
      <c r="C57" s="4">
        <f>VLOOKUP(A57, [1]Planilha1!$A$3:$B$1015,2,FALSE)</f>
        <v>33688</v>
      </c>
      <c r="D57" s="4">
        <f t="shared" si="0"/>
        <v>9.3577777777777786</v>
      </c>
      <c r="E57" s="4" t="s">
        <v>1125</v>
      </c>
      <c r="F57" s="3" t="s">
        <v>493</v>
      </c>
      <c r="G57" s="3" t="s">
        <v>490</v>
      </c>
      <c r="H57" s="3" t="s">
        <v>44</v>
      </c>
      <c r="I57" s="3" t="s">
        <v>33</v>
      </c>
      <c r="J57" s="3" t="s">
        <v>250</v>
      </c>
      <c r="K57" s="3" t="s">
        <v>492</v>
      </c>
      <c r="L57" s="1">
        <v>46051.651585648149</v>
      </c>
      <c r="M57" s="1">
        <v>46051.653263888889</v>
      </c>
      <c r="N57" s="1">
        <v>46055.375011574077</v>
      </c>
      <c r="O57" s="3" t="s">
        <v>43</v>
      </c>
      <c r="P57" s="3" t="s">
        <v>496</v>
      </c>
      <c r="Q57" s="3" t="s">
        <v>35</v>
      </c>
      <c r="R57" s="3" t="s">
        <v>495</v>
      </c>
      <c r="S57" s="3" t="s">
        <v>339</v>
      </c>
      <c r="T57" s="3" t="s">
        <v>338</v>
      </c>
      <c r="U57" s="4" t="b">
        <v>1</v>
      </c>
      <c r="V57" s="3" t="s">
        <v>31</v>
      </c>
      <c r="W57" s="1"/>
      <c r="Y57" s="3" t="s">
        <v>32</v>
      </c>
      <c r="Z57" s="3" t="s">
        <v>32</v>
      </c>
      <c r="AA57" s="3"/>
      <c r="AB57" s="3"/>
      <c r="AC57" s="4" t="s">
        <v>30</v>
      </c>
      <c r="AD57" s="3"/>
      <c r="AE57" s="3" t="s">
        <v>496</v>
      </c>
      <c r="AF57" s="4" t="s">
        <v>30</v>
      </c>
      <c r="AH57" s="4">
        <v>0</v>
      </c>
      <c r="AI57" s="3" t="s">
        <v>491</v>
      </c>
      <c r="AJ57" s="4" t="s">
        <v>494</v>
      </c>
      <c r="AK57" s="4"/>
      <c r="AL57" s="3"/>
    </row>
    <row r="58" spans="1:38" x14ac:dyDescent="0.35">
      <c r="A58" s="3" t="s">
        <v>497</v>
      </c>
      <c r="B58" s="4" t="s">
        <v>358</v>
      </c>
      <c r="C58" s="4">
        <f>VLOOKUP(A58, [1]Planilha1!$A$3:$B$1015,2,FALSE)</f>
        <v>59110</v>
      </c>
      <c r="D58" s="4">
        <f t="shared" si="0"/>
        <v>16.419444444444444</v>
      </c>
      <c r="E58" s="4" t="s">
        <v>1125</v>
      </c>
      <c r="F58" s="3" t="s">
        <v>356</v>
      </c>
      <c r="G58" s="3" t="s">
        <v>498</v>
      </c>
      <c r="H58" s="3" t="s">
        <v>138</v>
      </c>
      <c r="I58" s="3" t="s">
        <v>33</v>
      </c>
      <c r="J58" s="3" t="s">
        <v>41</v>
      </c>
      <c r="K58" s="3" t="s">
        <v>500</v>
      </c>
      <c r="L58" s="1">
        <v>46051.645312499997</v>
      </c>
      <c r="M58" s="1">
        <v>46051.64943287037</v>
      </c>
      <c r="N58" s="1">
        <v>46055.625</v>
      </c>
      <c r="O58" s="3" t="s">
        <v>137</v>
      </c>
      <c r="P58" s="3" t="s">
        <v>358</v>
      </c>
      <c r="Q58" s="3" t="s">
        <v>42</v>
      </c>
      <c r="R58" s="3" t="s">
        <v>357</v>
      </c>
      <c r="S58" s="3" t="s">
        <v>80</v>
      </c>
      <c r="T58" s="3" t="s">
        <v>79</v>
      </c>
      <c r="U58" s="4" t="b">
        <v>1</v>
      </c>
      <c r="V58" s="3" t="s">
        <v>31</v>
      </c>
      <c r="W58" s="1"/>
      <c r="Y58" s="3" t="s">
        <v>32</v>
      </c>
      <c r="Z58" s="3" t="s">
        <v>32</v>
      </c>
      <c r="AA58" s="3"/>
      <c r="AB58" s="3"/>
      <c r="AC58" s="4" t="s">
        <v>30</v>
      </c>
      <c r="AD58" s="3"/>
      <c r="AE58" s="3" t="s">
        <v>358</v>
      </c>
      <c r="AF58" s="4" t="s">
        <v>30</v>
      </c>
      <c r="AH58" s="4">
        <v>3</v>
      </c>
      <c r="AI58" s="3" t="s">
        <v>499</v>
      </c>
      <c r="AJ58" s="4" t="s">
        <v>5813</v>
      </c>
      <c r="AK58" s="4"/>
      <c r="AL58" s="3"/>
    </row>
    <row r="59" spans="1:38" x14ac:dyDescent="0.35">
      <c r="A59" s="3" t="s">
        <v>501</v>
      </c>
      <c r="B59" s="4" t="s">
        <v>506</v>
      </c>
      <c r="C59" s="4">
        <f>VLOOKUP(A59, [1]Planilha1!$A$3:$B$1015,2,FALSE)</f>
        <v>29780</v>
      </c>
      <c r="D59" s="4">
        <f t="shared" si="0"/>
        <v>8.2722222222222221</v>
      </c>
      <c r="E59" s="4" t="s">
        <v>1125</v>
      </c>
      <c r="F59" s="3" t="s">
        <v>504</v>
      </c>
      <c r="G59" s="3" t="s">
        <v>502</v>
      </c>
      <c r="H59" s="3" t="s">
        <v>224</v>
      </c>
      <c r="I59" s="3" t="s">
        <v>33</v>
      </c>
      <c r="J59" s="3" t="s">
        <v>41</v>
      </c>
      <c r="L59" s="1">
        <v>46051.637881944444</v>
      </c>
      <c r="M59" s="1">
        <v>46051.637881944444</v>
      </c>
      <c r="N59" s="1">
        <v>46052.370439814818</v>
      </c>
      <c r="O59" s="3" t="s">
        <v>223</v>
      </c>
      <c r="P59" s="3" t="s">
        <v>506</v>
      </c>
      <c r="Q59" s="3" t="s">
        <v>42</v>
      </c>
      <c r="R59" s="3" t="s">
        <v>505</v>
      </c>
      <c r="S59" s="3" t="s">
        <v>37</v>
      </c>
      <c r="T59" s="3" t="s">
        <v>36</v>
      </c>
      <c r="U59" s="4" t="b">
        <v>1</v>
      </c>
      <c r="V59" s="3" t="s">
        <v>28</v>
      </c>
      <c r="W59" s="1"/>
      <c r="Y59" s="3" t="s">
        <v>29</v>
      </c>
      <c r="Z59" s="3" t="s">
        <v>29</v>
      </c>
      <c r="AA59" s="3"/>
      <c r="AB59" s="3"/>
      <c r="AC59" s="4" t="s">
        <v>30</v>
      </c>
      <c r="AD59" s="3"/>
      <c r="AE59" s="3" t="s">
        <v>506</v>
      </c>
      <c r="AF59" s="4" t="s">
        <v>30</v>
      </c>
      <c r="AH59" s="4">
        <v>1</v>
      </c>
      <c r="AI59" s="3" t="s">
        <v>503</v>
      </c>
      <c r="AJ59" s="4"/>
      <c r="AK59" s="4"/>
      <c r="AL59" s="3"/>
    </row>
    <row r="60" spans="1:38" x14ac:dyDescent="0.35">
      <c r="A60" s="3" t="s">
        <v>507</v>
      </c>
      <c r="B60" s="4" t="s">
        <v>513</v>
      </c>
      <c r="C60" s="4">
        <f>VLOOKUP(A60, [1]Planilha1!$A$3:$B$1015,2,FALSE)</f>
        <v>5076</v>
      </c>
      <c r="D60" s="4">
        <f t="shared" si="0"/>
        <v>1.41</v>
      </c>
      <c r="E60" s="4" t="s">
        <v>1125</v>
      </c>
      <c r="F60" s="3" t="s">
        <v>510</v>
      </c>
      <c r="G60" s="3" t="s">
        <v>508</v>
      </c>
      <c r="H60" s="3" t="s">
        <v>44</v>
      </c>
      <c r="I60" s="3" t="s">
        <v>33</v>
      </c>
      <c r="J60" s="3" t="s">
        <v>41</v>
      </c>
      <c r="L60" s="1">
        <v>46051.628379629627</v>
      </c>
      <c r="M60" s="1">
        <v>46051.628379629627</v>
      </c>
      <c r="N60" s="1">
        <v>46051.647962962961</v>
      </c>
      <c r="O60" s="3" t="s">
        <v>43</v>
      </c>
      <c r="P60" s="3" t="s">
        <v>513</v>
      </c>
      <c r="Q60" s="3" t="s">
        <v>42</v>
      </c>
      <c r="R60" s="3" t="s">
        <v>512</v>
      </c>
      <c r="S60" s="3" t="s">
        <v>37</v>
      </c>
      <c r="T60" s="3" t="s">
        <v>36</v>
      </c>
      <c r="U60" s="4" t="b">
        <v>1</v>
      </c>
      <c r="V60" s="3" t="s">
        <v>28</v>
      </c>
      <c r="W60" s="1"/>
      <c r="Y60" s="3" t="s">
        <v>29</v>
      </c>
      <c r="Z60" s="3" t="s">
        <v>29</v>
      </c>
      <c r="AA60" s="3"/>
      <c r="AB60" s="3"/>
      <c r="AC60" s="4" t="s">
        <v>30</v>
      </c>
      <c r="AD60" s="3"/>
      <c r="AE60" s="3" t="s">
        <v>513</v>
      </c>
      <c r="AF60" s="4" t="s">
        <v>30</v>
      </c>
      <c r="AH60" s="4">
        <v>0</v>
      </c>
      <c r="AI60" s="3" t="s">
        <v>509</v>
      </c>
      <c r="AJ60" s="4" t="s">
        <v>511</v>
      </c>
      <c r="AK60" s="4"/>
      <c r="AL60" s="3"/>
    </row>
    <row r="61" spans="1:38" x14ac:dyDescent="0.35">
      <c r="A61" s="3" t="s">
        <v>514</v>
      </c>
      <c r="B61" s="4" t="s">
        <v>520</v>
      </c>
      <c r="C61" s="4">
        <f>VLOOKUP(A61, [1]Planilha1!$A$3:$B$1015,2,FALSE)</f>
        <v>0</v>
      </c>
      <c r="D61" s="4">
        <f t="shared" si="0"/>
        <v>0</v>
      </c>
      <c r="E61" s="4" t="s">
        <v>1125</v>
      </c>
      <c r="F61" s="3" t="s">
        <v>517</v>
      </c>
      <c r="G61" s="3" t="s">
        <v>214</v>
      </c>
      <c r="H61" s="3" t="s">
        <v>44</v>
      </c>
      <c r="I61" s="3" t="s">
        <v>33</v>
      </c>
      <c r="J61" s="3" t="s">
        <v>60</v>
      </c>
      <c r="K61" s="3" t="s">
        <v>516</v>
      </c>
      <c r="L61" s="1">
        <v>46051.628159722219</v>
      </c>
      <c r="M61" s="1">
        <v>46051.631238425929</v>
      </c>
      <c r="N61" s="1">
        <v>46054.666678240741</v>
      </c>
      <c r="O61" s="3" t="s">
        <v>43</v>
      </c>
      <c r="P61" s="3" t="s">
        <v>520</v>
      </c>
      <c r="Q61" s="3" t="s">
        <v>35</v>
      </c>
      <c r="R61" s="3" t="s">
        <v>519</v>
      </c>
      <c r="S61" s="3" t="s">
        <v>144</v>
      </c>
      <c r="T61" s="3" t="s">
        <v>143</v>
      </c>
      <c r="U61" s="4" t="b">
        <v>1</v>
      </c>
      <c r="V61" s="3" t="s">
        <v>31</v>
      </c>
      <c r="W61" s="1"/>
      <c r="Y61" s="3" t="s">
        <v>32</v>
      </c>
      <c r="Z61" s="3" t="s">
        <v>32</v>
      </c>
      <c r="AA61" s="3"/>
      <c r="AB61" s="3"/>
      <c r="AC61" s="4" t="s">
        <v>30</v>
      </c>
      <c r="AD61" s="3"/>
      <c r="AE61" s="3" t="s">
        <v>520</v>
      </c>
      <c r="AF61" s="4" t="s">
        <v>30</v>
      </c>
      <c r="AH61" s="4">
        <v>0</v>
      </c>
      <c r="AI61" s="3" t="s">
        <v>515</v>
      </c>
      <c r="AJ61" s="4" t="s">
        <v>518</v>
      </c>
      <c r="AK61" s="4"/>
      <c r="AL61" s="3"/>
    </row>
    <row r="62" spans="1:38" x14ac:dyDescent="0.35">
      <c r="A62" s="3" t="s">
        <v>521</v>
      </c>
      <c r="B62" s="4" t="s">
        <v>527</v>
      </c>
      <c r="C62" s="4">
        <f>VLOOKUP(A62, [1]Planilha1!$A$3:$B$1015,2,FALSE)</f>
        <v>0</v>
      </c>
      <c r="D62" s="4">
        <f t="shared" si="0"/>
        <v>0</v>
      </c>
      <c r="E62" s="4" t="s">
        <v>1125</v>
      </c>
      <c r="F62" s="3" t="s">
        <v>524</v>
      </c>
      <c r="G62" s="3" t="s">
        <v>214</v>
      </c>
      <c r="H62" s="3" t="s">
        <v>44</v>
      </c>
      <c r="I62" s="3" t="s">
        <v>33</v>
      </c>
      <c r="J62" s="3" t="s">
        <v>60</v>
      </c>
      <c r="K62" s="3" t="s">
        <v>523</v>
      </c>
      <c r="L62" s="1">
        <v>46051.627453703702</v>
      </c>
      <c r="M62" s="1">
        <v>46051.669039351851</v>
      </c>
      <c r="N62" s="1">
        <v>46054.708333333336</v>
      </c>
      <c r="O62" s="3" t="s">
        <v>43</v>
      </c>
      <c r="P62" s="3" t="s">
        <v>527</v>
      </c>
      <c r="Q62" s="3" t="s">
        <v>35</v>
      </c>
      <c r="R62" s="3" t="s">
        <v>526</v>
      </c>
      <c r="S62" s="3" t="s">
        <v>144</v>
      </c>
      <c r="T62" s="3" t="s">
        <v>143</v>
      </c>
      <c r="U62" s="4" t="b">
        <v>1</v>
      </c>
      <c r="V62" s="3" t="s">
        <v>31</v>
      </c>
      <c r="W62" s="1"/>
      <c r="Y62" s="3" t="s">
        <v>32</v>
      </c>
      <c r="Z62" s="3" t="s">
        <v>32</v>
      </c>
      <c r="AA62" s="3"/>
      <c r="AB62" s="3"/>
      <c r="AC62" s="4" t="s">
        <v>30</v>
      </c>
      <c r="AD62" s="3"/>
      <c r="AE62" s="3" t="s">
        <v>527</v>
      </c>
      <c r="AF62" s="4" t="s">
        <v>30</v>
      </c>
      <c r="AH62" s="4">
        <v>0</v>
      </c>
      <c r="AI62" s="3" t="s">
        <v>522</v>
      </c>
      <c r="AJ62" s="4" t="s">
        <v>525</v>
      </c>
      <c r="AK62" s="4"/>
      <c r="AL62" s="3"/>
    </row>
    <row r="63" spans="1:38" x14ac:dyDescent="0.35">
      <c r="A63" s="3" t="s">
        <v>528</v>
      </c>
      <c r="B63" s="4" t="s">
        <v>532</v>
      </c>
      <c r="C63" s="4">
        <f>VLOOKUP(A63, [1]Planilha1!$A$3:$B$1015,2,FALSE)</f>
        <v>3760</v>
      </c>
      <c r="D63" s="4">
        <f t="shared" si="0"/>
        <v>1.0444444444444445</v>
      </c>
      <c r="E63" s="4" t="s">
        <v>1125</v>
      </c>
      <c r="F63" s="3" t="s">
        <v>530</v>
      </c>
      <c r="G63" s="3" t="s">
        <v>74</v>
      </c>
      <c r="H63" s="3" t="s">
        <v>44</v>
      </c>
      <c r="I63" s="3" t="s">
        <v>33</v>
      </c>
      <c r="J63" s="3" t="s">
        <v>41</v>
      </c>
      <c r="L63" s="1">
        <v>46051.625069444446</v>
      </c>
      <c r="M63" s="1">
        <v>46051.639618055553</v>
      </c>
      <c r="N63" s="1">
        <v>46051.661377314813</v>
      </c>
      <c r="O63" s="3" t="s">
        <v>43</v>
      </c>
      <c r="P63" s="3" t="s">
        <v>532</v>
      </c>
      <c r="Q63" s="3" t="s">
        <v>42</v>
      </c>
      <c r="R63" s="3" t="s">
        <v>531</v>
      </c>
      <c r="S63" s="3" t="s">
        <v>80</v>
      </c>
      <c r="T63" s="3" t="s">
        <v>79</v>
      </c>
      <c r="U63" s="4" t="b">
        <v>1</v>
      </c>
      <c r="V63" s="3" t="s">
        <v>31</v>
      </c>
      <c r="W63" s="1"/>
      <c r="Y63" s="3" t="s">
        <v>32</v>
      </c>
      <c r="Z63" s="3" t="s">
        <v>32</v>
      </c>
      <c r="AA63" s="3"/>
      <c r="AB63" s="3"/>
      <c r="AC63" s="4" t="s">
        <v>30</v>
      </c>
      <c r="AD63" s="3"/>
      <c r="AE63" s="3" t="s">
        <v>532</v>
      </c>
      <c r="AF63" s="4" t="s">
        <v>30</v>
      </c>
      <c r="AH63" s="4">
        <v>1</v>
      </c>
      <c r="AI63" s="3" t="s">
        <v>529</v>
      </c>
      <c r="AJ63" s="4"/>
      <c r="AK63" s="4"/>
      <c r="AL63" s="3"/>
    </row>
    <row r="64" spans="1:38" x14ac:dyDescent="0.35">
      <c r="A64" s="3" t="s">
        <v>533</v>
      </c>
      <c r="B64" s="4" t="s">
        <v>538</v>
      </c>
      <c r="C64" s="4">
        <f>VLOOKUP(A64, [1]Planilha1!$A$3:$B$1015,2,FALSE)</f>
        <v>1026</v>
      </c>
      <c r="D64" s="4">
        <f t="shared" si="0"/>
        <v>0.28499999999999998</v>
      </c>
      <c r="E64" s="4" t="s">
        <v>1125</v>
      </c>
      <c r="F64" s="3" t="s">
        <v>535</v>
      </c>
      <c r="G64" s="3" t="s">
        <v>183</v>
      </c>
      <c r="H64" s="3" t="s">
        <v>44</v>
      </c>
      <c r="I64" s="3" t="s">
        <v>33</v>
      </c>
      <c r="J64" s="3" t="s">
        <v>41</v>
      </c>
      <c r="L64" s="1">
        <v>46051.605624999997</v>
      </c>
      <c r="M64" s="1">
        <v>46051.616319444445</v>
      </c>
      <c r="N64" s="1">
        <v>46051.622256944444</v>
      </c>
      <c r="O64" s="3" t="s">
        <v>43</v>
      </c>
      <c r="P64" s="3" t="s">
        <v>538</v>
      </c>
      <c r="Q64" s="3" t="s">
        <v>42</v>
      </c>
      <c r="R64" s="3" t="s">
        <v>537</v>
      </c>
      <c r="S64" s="3" t="s">
        <v>190</v>
      </c>
      <c r="T64" s="3" t="s">
        <v>189</v>
      </c>
      <c r="U64" s="4" t="b">
        <v>1</v>
      </c>
      <c r="V64" s="3" t="s">
        <v>31</v>
      </c>
      <c r="W64" s="1"/>
      <c r="Y64" s="3" t="s">
        <v>32</v>
      </c>
      <c r="Z64" s="3" t="s">
        <v>32</v>
      </c>
      <c r="AA64" s="3"/>
      <c r="AB64" s="3"/>
      <c r="AC64" s="4" t="s">
        <v>30</v>
      </c>
      <c r="AD64" s="3"/>
      <c r="AE64" s="3" t="s">
        <v>538</v>
      </c>
      <c r="AF64" s="4" t="s">
        <v>30</v>
      </c>
      <c r="AH64" s="4">
        <v>1</v>
      </c>
      <c r="AI64" s="3" t="s">
        <v>534</v>
      </c>
      <c r="AJ64" s="4" t="s">
        <v>536</v>
      </c>
      <c r="AK64" s="4"/>
      <c r="AL64" s="3"/>
    </row>
    <row r="65" spans="1:38" x14ac:dyDescent="0.35">
      <c r="A65" s="3" t="s">
        <v>540</v>
      </c>
      <c r="B65" s="4" t="s">
        <v>545</v>
      </c>
      <c r="C65" s="4">
        <f>VLOOKUP(A65, [1]Planilha1!$A$3:$B$1015,2,FALSE)</f>
        <v>3214</v>
      </c>
      <c r="D65" s="4">
        <f t="shared" si="0"/>
        <v>0.89277777777777778</v>
      </c>
      <c r="E65" s="4" t="s">
        <v>1125</v>
      </c>
      <c r="F65" s="3" t="s">
        <v>543</v>
      </c>
      <c r="G65" s="3" t="s">
        <v>541</v>
      </c>
      <c r="H65" s="3" t="s">
        <v>44</v>
      </c>
      <c r="I65" s="3" t="s">
        <v>33</v>
      </c>
      <c r="J65" s="3" t="s">
        <v>41</v>
      </c>
      <c r="L65" s="1">
        <v>46051.599745370368</v>
      </c>
      <c r="M65" s="1">
        <v>46051.601678240739</v>
      </c>
      <c r="N65" s="1">
        <v>46051.62027777778</v>
      </c>
      <c r="O65" s="3" t="s">
        <v>43</v>
      </c>
      <c r="P65" s="3" t="s">
        <v>545</v>
      </c>
      <c r="Q65" s="3" t="s">
        <v>42</v>
      </c>
      <c r="R65" s="3" t="s">
        <v>544</v>
      </c>
      <c r="S65" s="3" t="s">
        <v>276</v>
      </c>
      <c r="T65" s="3" t="s">
        <v>275</v>
      </c>
      <c r="U65" s="4" t="b">
        <v>1</v>
      </c>
      <c r="V65" s="3" t="s">
        <v>31</v>
      </c>
      <c r="W65" s="1"/>
      <c r="Y65" s="3" t="s">
        <v>32</v>
      </c>
      <c r="Z65" s="3" t="s">
        <v>32</v>
      </c>
      <c r="AA65" s="3"/>
      <c r="AB65" s="3"/>
      <c r="AC65" s="4" t="s">
        <v>30</v>
      </c>
      <c r="AD65" s="3"/>
      <c r="AE65" s="3" t="s">
        <v>545</v>
      </c>
      <c r="AF65" s="4" t="s">
        <v>30</v>
      </c>
      <c r="AH65" s="4">
        <v>1</v>
      </c>
      <c r="AI65" s="3" t="s">
        <v>542</v>
      </c>
      <c r="AJ65" s="4" t="s">
        <v>5818</v>
      </c>
      <c r="AK65" s="4"/>
      <c r="AL65" s="3"/>
    </row>
    <row r="66" spans="1:38" x14ac:dyDescent="0.35">
      <c r="A66" s="3" t="s">
        <v>546</v>
      </c>
      <c r="B66" s="4" t="s">
        <v>552</v>
      </c>
      <c r="C66" s="4">
        <f>VLOOKUP(A66, [1]Planilha1!$A$3:$B$1015,2,FALSE)</f>
        <v>0</v>
      </c>
      <c r="D66" s="4">
        <f t="shared" si="0"/>
        <v>0</v>
      </c>
      <c r="E66" s="4" t="s">
        <v>1125</v>
      </c>
      <c r="F66" s="3" t="s">
        <v>549</v>
      </c>
      <c r="G66" s="3" t="s">
        <v>547</v>
      </c>
      <c r="H66" s="3" t="s">
        <v>428</v>
      </c>
      <c r="I66" s="3" t="s">
        <v>33</v>
      </c>
      <c r="J66" s="3" t="s">
        <v>459</v>
      </c>
      <c r="K66" s="3" t="s">
        <v>362</v>
      </c>
      <c r="L66" s="1">
        <v>46051.599120370367</v>
      </c>
      <c r="M66" s="1">
        <v>46051.603043981479</v>
      </c>
      <c r="N66" s="1">
        <v>46054.625</v>
      </c>
      <c r="O66" s="3" t="s">
        <v>427</v>
      </c>
      <c r="P66" s="3" t="s">
        <v>552</v>
      </c>
      <c r="Q66" s="3" t="s">
        <v>35</v>
      </c>
      <c r="R66" s="3" t="s">
        <v>551</v>
      </c>
      <c r="S66" s="3" t="s">
        <v>91</v>
      </c>
      <c r="T66" s="3" t="s">
        <v>90</v>
      </c>
      <c r="U66" s="4" t="b">
        <v>1</v>
      </c>
      <c r="V66" s="3" t="s">
        <v>31</v>
      </c>
      <c r="W66" s="1"/>
      <c r="Y66" s="3" t="s">
        <v>32</v>
      </c>
      <c r="Z66" s="3" t="s">
        <v>32</v>
      </c>
      <c r="AA66" s="3"/>
      <c r="AB66" s="3"/>
      <c r="AC66" s="4" t="s">
        <v>30</v>
      </c>
      <c r="AD66" s="3"/>
      <c r="AE66" s="3" t="s">
        <v>552</v>
      </c>
      <c r="AF66" s="4" t="s">
        <v>30</v>
      </c>
      <c r="AH66" s="4">
        <v>0</v>
      </c>
      <c r="AI66" s="3" t="s">
        <v>548</v>
      </c>
      <c r="AJ66" s="4" t="s">
        <v>550</v>
      </c>
      <c r="AK66" s="4"/>
      <c r="AL66" s="3"/>
    </row>
    <row r="67" spans="1:38" x14ac:dyDescent="0.35">
      <c r="A67" s="3" t="s">
        <v>560</v>
      </c>
      <c r="B67" s="4" t="s">
        <v>565</v>
      </c>
      <c r="C67" s="4">
        <f>VLOOKUP(A67, [1]Planilha1!$A$3:$B$1015,2,FALSE)</f>
        <v>8620</v>
      </c>
      <c r="D67" s="4">
        <f t="shared" ref="D67:D130" si="1">C67/3600</f>
        <v>2.3944444444444444</v>
      </c>
      <c r="E67" s="4" t="s">
        <v>1125</v>
      </c>
      <c r="F67" s="3" t="s">
        <v>563</v>
      </c>
      <c r="G67" s="3" t="s">
        <v>561</v>
      </c>
      <c r="H67" s="3" t="s">
        <v>44</v>
      </c>
      <c r="I67" s="3" t="s">
        <v>33</v>
      </c>
      <c r="J67" s="3" t="s">
        <v>41</v>
      </c>
      <c r="L67" s="1">
        <v>46051.575358796297</v>
      </c>
      <c r="M67" s="1">
        <v>46051.575358796297</v>
      </c>
      <c r="N67" s="1">
        <v>46051.625243055554</v>
      </c>
      <c r="O67" s="3" t="s">
        <v>43</v>
      </c>
      <c r="P67" s="3" t="s">
        <v>565</v>
      </c>
      <c r="Q67" s="3" t="s">
        <v>42</v>
      </c>
      <c r="R67" s="3" t="s">
        <v>564</v>
      </c>
      <c r="S67" s="3" t="s">
        <v>37</v>
      </c>
      <c r="T67" s="3" t="s">
        <v>36</v>
      </c>
      <c r="U67" s="4" t="b">
        <v>1</v>
      </c>
      <c r="V67" s="3" t="s">
        <v>28</v>
      </c>
      <c r="W67" s="1"/>
      <c r="Y67" s="3" t="s">
        <v>29</v>
      </c>
      <c r="Z67" s="3" t="s">
        <v>29</v>
      </c>
      <c r="AA67" s="3"/>
      <c r="AB67" s="3"/>
      <c r="AC67" s="4" t="s">
        <v>30</v>
      </c>
      <c r="AD67" s="3"/>
      <c r="AE67" s="3" t="s">
        <v>565</v>
      </c>
      <c r="AF67" s="4" t="s">
        <v>30</v>
      </c>
      <c r="AH67" s="4">
        <v>0</v>
      </c>
      <c r="AI67" s="3" t="s">
        <v>562</v>
      </c>
      <c r="AJ67" s="4"/>
      <c r="AK67" s="4"/>
      <c r="AL67" s="3"/>
    </row>
    <row r="68" spans="1:38" x14ac:dyDescent="0.35">
      <c r="A68" s="3" t="s">
        <v>566</v>
      </c>
      <c r="B68" s="4" t="s">
        <v>575</v>
      </c>
      <c r="C68" s="4">
        <f>VLOOKUP(A68, [1]Planilha1!$A$3:$B$1015,2,FALSE)</f>
        <v>0</v>
      </c>
      <c r="D68" s="4">
        <f t="shared" si="1"/>
        <v>0</v>
      </c>
      <c r="E68" s="4" t="s">
        <v>1125</v>
      </c>
      <c r="F68" s="3" t="s">
        <v>572</v>
      </c>
      <c r="G68" s="3" t="s">
        <v>567</v>
      </c>
      <c r="H68" s="3" t="s">
        <v>571</v>
      </c>
      <c r="I68" s="3" t="s">
        <v>33</v>
      </c>
      <c r="J68" s="3" t="s">
        <v>60</v>
      </c>
      <c r="K68" s="3" t="s">
        <v>569</v>
      </c>
      <c r="L68" s="1">
        <v>46051.565416666665</v>
      </c>
      <c r="M68" s="1">
        <v>46051.578298611108</v>
      </c>
      <c r="N68" s="1">
        <v>46054.583333333336</v>
      </c>
      <c r="O68" s="3" t="s">
        <v>570</v>
      </c>
      <c r="P68" s="3" t="s">
        <v>575</v>
      </c>
      <c r="Q68" s="3" t="s">
        <v>35</v>
      </c>
      <c r="R68" s="3" t="s">
        <v>574</v>
      </c>
      <c r="S68" s="3" t="s">
        <v>144</v>
      </c>
      <c r="T68" s="3" t="s">
        <v>143</v>
      </c>
      <c r="U68" s="4" t="b">
        <v>1</v>
      </c>
      <c r="V68" s="3" t="s">
        <v>31</v>
      </c>
      <c r="W68" s="1"/>
      <c r="Y68" s="3" t="s">
        <v>32</v>
      </c>
      <c r="Z68" s="3" t="s">
        <v>32</v>
      </c>
      <c r="AA68" s="3"/>
      <c r="AB68" s="3"/>
      <c r="AC68" s="4" t="s">
        <v>30</v>
      </c>
      <c r="AD68" s="3"/>
      <c r="AE68" s="3" t="s">
        <v>575</v>
      </c>
      <c r="AF68" s="4" t="s">
        <v>30</v>
      </c>
      <c r="AH68" s="4">
        <v>0</v>
      </c>
      <c r="AI68" s="3" t="s">
        <v>568</v>
      </c>
      <c r="AJ68" s="4" t="s">
        <v>573</v>
      </c>
      <c r="AK68" s="4"/>
      <c r="AL68" s="3"/>
    </row>
    <row r="69" spans="1:38" x14ac:dyDescent="0.35">
      <c r="A69" s="3" t="s">
        <v>576</v>
      </c>
      <c r="B69" s="4" t="s">
        <v>450</v>
      </c>
      <c r="C69" s="4">
        <f>VLOOKUP(A69, [1]Planilha1!$A$3:$B$1015,2,FALSE)</f>
        <v>20842</v>
      </c>
      <c r="D69" s="4">
        <f t="shared" si="1"/>
        <v>5.7894444444444444</v>
      </c>
      <c r="E69" s="4" t="s">
        <v>1125</v>
      </c>
      <c r="F69" s="3" t="s">
        <v>448</v>
      </c>
      <c r="G69" s="3" t="s">
        <v>577</v>
      </c>
      <c r="H69" s="3" t="s">
        <v>163</v>
      </c>
      <c r="I69" s="3" t="s">
        <v>33</v>
      </c>
      <c r="J69" s="3" t="s">
        <v>41</v>
      </c>
      <c r="L69" s="1">
        <v>46051.555208333331</v>
      </c>
      <c r="M69" s="1">
        <v>46051.555208333331</v>
      </c>
      <c r="N69" s="1">
        <v>46051.675821759258</v>
      </c>
      <c r="O69" s="3" t="s">
        <v>162</v>
      </c>
      <c r="P69" s="3" t="s">
        <v>450</v>
      </c>
      <c r="Q69" s="3" t="s">
        <v>42</v>
      </c>
      <c r="R69" s="3" t="s">
        <v>449</v>
      </c>
      <c r="S69" s="3" t="s">
        <v>37</v>
      </c>
      <c r="T69" s="3" t="s">
        <v>36</v>
      </c>
      <c r="U69" s="4" t="b">
        <v>1</v>
      </c>
      <c r="V69" s="3" t="s">
        <v>28</v>
      </c>
      <c r="W69" s="1"/>
      <c r="Y69" s="3" t="s">
        <v>29</v>
      </c>
      <c r="Z69" s="3" t="s">
        <v>29</v>
      </c>
      <c r="AA69" s="3"/>
      <c r="AB69" s="3"/>
      <c r="AC69" s="4" t="s">
        <v>30</v>
      </c>
      <c r="AD69" s="3"/>
      <c r="AE69" s="3" t="s">
        <v>450</v>
      </c>
      <c r="AF69" s="4" t="s">
        <v>30</v>
      </c>
      <c r="AH69" s="4">
        <v>1</v>
      </c>
      <c r="AI69" s="3" t="s">
        <v>578</v>
      </c>
      <c r="AJ69" s="4" t="s">
        <v>5819</v>
      </c>
      <c r="AK69" s="4"/>
      <c r="AL69" s="3"/>
    </row>
    <row r="70" spans="1:38" x14ac:dyDescent="0.35">
      <c r="A70" s="3" t="s">
        <v>579</v>
      </c>
      <c r="B70" s="4" t="s">
        <v>94</v>
      </c>
      <c r="C70" s="4">
        <f>VLOOKUP(A70, [1]Planilha1!$A$3:$B$1015,2,FALSE)</f>
        <v>0</v>
      </c>
      <c r="D70" s="4">
        <f t="shared" si="1"/>
        <v>0</v>
      </c>
      <c r="E70" s="4" t="s">
        <v>1125</v>
      </c>
      <c r="F70" s="3" t="s">
        <v>92</v>
      </c>
      <c r="G70" s="3" t="s">
        <v>580</v>
      </c>
      <c r="H70" s="3" t="s">
        <v>148</v>
      </c>
      <c r="I70" s="3" t="s">
        <v>33</v>
      </c>
      <c r="J70" s="3" t="s">
        <v>60</v>
      </c>
      <c r="L70" s="1">
        <v>46051.55023148148</v>
      </c>
      <c r="M70" s="1">
        <v>46051.561631944445</v>
      </c>
      <c r="N70" s="1">
        <v>46054.583333333336</v>
      </c>
      <c r="O70" s="3" t="s">
        <v>582</v>
      </c>
      <c r="P70" s="3" t="s">
        <v>94</v>
      </c>
      <c r="Q70" s="3" t="s">
        <v>35</v>
      </c>
      <c r="R70" s="3" t="s">
        <v>93</v>
      </c>
      <c r="S70" s="3" t="s">
        <v>190</v>
      </c>
      <c r="T70" s="3" t="s">
        <v>189</v>
      </c>
      <c r="U70" s="4" t="b">
        <v>1</v>
      </c>
      <c r="V70" s="3" t="s">
        <v>31</v>
      </c>
      <c r="W70" s="1"/>
      <c r="Y70" s="3" t="s">
        <v>32</v>
      </c>
      <c r="Z70" s="3" t="s">
        <v>32</v>
      </c>
      <c r="AA70" s="3"/>
      <c r="AB70" s="3"/>
      <c r="AC70" s="4" t="s">
        <v>30</v>
      </c>
      <c r="AD70" s="3"/>
      <c r="AE70" s="3" t="s">
        <v>94</v>
      </c>
      <c r="AF70" s="4" t="s">
        <v>30</v>
      </c>
      <c r="AH70" s="4">
        <v>0</v>
      </c>
      <c r="AI70" s="3" t="s">
        <v>581</v>
      </c>
      <c r="AJ70" s="4"/>
      <c r="AK70" s="4"/>
      <c r="AL70" s="3"/>
    </row>
    <row r="71" spans="1:38" x14ac:dyDescent="0.35">
      <c r="A71" s="3" t="s">
        <v>583</v>
      </c>
      <c r="B71" s="4" t="s">
        <v>94</v>
      </c>
      <c r="C71" s="4">
        <f>VLOOKUP(A71, [1]Planilha1!$A$3:$B$1015,2,FALSE)</f>
        <v>0</v>
      </c>
      <c r="D71" s="4">
        <f t="shared" si="1"/>
        <v>0</v>
      </c>
      <c r="E71" s="4" t="s">
        <v>1125</v>
      </c>
      <c r="F71" s="3" t="s">
        <v>92</v>
      </c>
      <c r="G71" s="3" t="s">
        <v>584</v>
      </c>
      <c r="H71" s="3" t="s">
        <v>148</v>
      </c>
      <c r="I71" s="3" t="s">
        <v>33</v>
      </c>
      <c r="J71" s="3" t="s">
        <v>60</v>
      </c>
      <c r="L71" s="1">
        <v>46051.541076388887</v>
      </c>
      <c r="M71" s="1">
        <v>46051.541956018518</v>
      </c>
      <c r="N71" s="1">
        <v>46054.583333333336</v>
      </c>
      <c r="O71" s="3" t="s">
        <v>147</v>
      </c>
      <c r="P71" s="3" t="s">
        <v>94</v>
      </c>
      <c r="Q71" s="3" t="s">
        <v>35</v>
      </c>
      <c r="R71" s="3" t="s">
        <v>93</v>
      </c>
      <c r="S71" s="3" t="s">
        <v>82</v>
      </c>
      <c r="T71" s="3" t="s">
        <v>81</v>
      </c>
      <c r="U71" s="4" t="b">
        <v>1</v>
      </c>
      <c r="V71" s="3" t="s">
        <v>31</v>
      </c>
      <c r="W71" s="1"/>
      <c r="Y71" s="3" t="s">
        <v>32</v>
      </c>
      <c r="Z71" s="3" t="s">
        <v>32</v>
      </c>
      <c r="AA71" s="3"/>
      <c r="AB71" s="3"/>
      <c r="AC71" s="4" t="s">
        <v>30</v>
      </c>
      <c r="AD71" s="3"/>
      <c r="AE71" s="3" t="s">
        <v>94</v>
      </c>
      <c r="AF71" s="4" t="s">
        <v>30</v>
      </c>
      <c r="AH71" s="4">
        <v>0</v>
      </c>
      <c r="AI71" s="3" t="s">
        <v>584</v>
      </c>
      <c r="AJ71" s="4"/>
      <c r="AK71" s="4"/>
      <c r="AL71" s="3"/>
    </row>
    <row r="72" spans="1:38" x14ac:dyDescent="0.35">
      <c r="A72" s="3" t="s">
        <v>585</v>
      </c>
      <c r="B72" s="4" t="s">
        <v>591</v>
      </c>
      <c r="C72" s="4">
        <f>VLOOKUP(A72, [1]Planilha1!$A$3:$B$1015,2,FALSE)</f>
        <v>0</v>
      </c>
      <c r="D72" s="4">
        <f t="shared" si="1"/>
        <v>0</v>
      </c>
      <c r="E72" s="4" t="s">
        <v>1125</v>
      </c>
      <c r="F72" s="3" t="s">
        <v>588</v>
      </c>
      <c r="G72" s="3" t="s">
        <v>134</v>
      </c>
      <c r="H72" s="3" t="s">
        <v>138</v>
      </c>
      <c r="I72" s="3" t="s">
        <v>33</v>
      </c>
      <c r="J72" s="3" t="s">
        <v>60</v>
      </c>
      <c r="K72" s="3" t="s">
        <v>587</v>
      </c>
      <c r="L72" s="1">
        <v>46051.530925925923</v>
      </c>
      <c r="M72" s="1">
        <v>46051.557476851849</v>
      </c>
      <c r="N72" s="1">
        <v>46054.583333333336</v>
      </c>
      <c r="O72" s="3" t="s">
        <v>137</v>
      </c>
      <c r="P72" s="3" t="s">
        <v>591</v>
      </c>
      <c r="Q72" s="3" t="s">
        <v>35</v>
      </c>
      <c r="R72" s="3" t="s">
        <v>590</v>
      </c>
      <c r="S72" s="3" t="s">
        <v>144</v>
      </c>
      <c r="T72" s="3" t="s">
        <v>143</v>
      </c>
      <c r="U72" s="4" t="b">
        <v>1</v>
      </c>
      <c r="V72" s="3" t="s">
        <v>31</v>
      </c>
      <c r="W72" s="1"/>
      <c r="Y72" s="3" t="s">
        <v>32</v>
      </c>
      <c r="Z72" s="3" t="s">
        <v>32</v>
      </c>
      <c r="AA72" s="3"/>
      <c r="AB72" s="3"/>
      <c r="AC72" s="4" t="s">
        <v>30</v>
      </c>
      <c r="AD72" s="3"/>
      <c r="AE72" s="3" t="s">
        <v>591</v>
      </c>
      <c r="AF72" s="4" t="s">
        <v>30</v>
      </c>
      <c r="AH72" s="4">
        <v>0</v>
      </c>
      <c r="AI72" s="3" t="s">
        <v>586</v>
      </c>
      <c r="AJ72" s="4" t="s">
        <v>589</v>
      </c>
      <c r="AK72" s="4"/>
      <c r="AL72" s="3"/>
    </row>
    <row r="73" spans="1:38" x14ac:dyDescent="0.35">
      <c r="A73" s="3" t="s">
        <v>592</v>
      </c>
      <c r="B73" s="4" t="s">
        <v>598</v>
      </c>
      <c r="C73" s="4">
        <f>VLOOKUP(A73, [1]Planilha1!$A$3:$B$1015,2,FALSE)</f>
        <v>3756</v>
      </c>
      <c r="D73" s="4">
        <f t="shared" si="1"/>
        <v>1.0433333333333332</v>
      </c>
      <c r="E73" s="4" t="s">
        <v>1125</v>
      </c>
      <c r="F73" s="3" t="s">
        <v>595</v>
      </c>
      <c r="G73" s="3" t="s">
        <v>214</v>
      </c>
      <c r="H73" s="3" t="s">
        <v>44</v>
      </c>
      <c r="I73" s="3" t="s">
        <v>33</v>
      </c>
      <c r="J73" s="3" t="s">
        <v>60</v>
      </c>
      <c r="K73" s="3" t="s">
        <v>594</v>
      </c>
      <c r="L73" s="1">
        <v>46051.50854166667</v>
      </c>
      <c r="M73" s="1">
        <v>46051.50854166667</v>
      </c>
      <c r="N73" s="1">
        <v>46054.541666666664</v>
      </c>
      <c r="O73" s="3" t="s">
        <v>43</v>
      </c>
      <c r="P73" s="3" t="s">
        <v>598</v>
      </c>
      <c r="Q73" s="3" t="s">
        <v>35</v>
      </c>
      <c r="R73" s="3" t="s">
        <v>597</v>
      </c>
      <c r="S73" s="3" t="s">
        <v>37</v>
      </c>
      <c r="T73" s="3" t="s">
        <v>36</v>
      </c>
      <c r="U73" s="4" t="b">
        <v>1</v>
      </c>
      <c r="V73" s="3" t="s">
        <v>28</v>
      </c>
      <c r="W73" s="1"/>
      <c r="Y73" s="3" t="s">
        <v>29</v>
      </c>
      <c r="Z73" s="3" t="s">
        <v>29</v>
      </c>
      <c r="AA73" s="3"/>
      <c r="AB73" s="3"/>
      <c r="AC73" s="4" t="s">
        <v>30</v>
      </c>
      <c r="AD73" s="3"/>
      <c r="AE73" s="3" t="s">
        <v>598</v>
      </c>
      <c r="AF73" s="4" t="s">
        <v>30</v>
      </c>
      <c r="AH73" s="4">
        <v>0</v>
      </c>
      <c r="AI73" s="3" t="s">
        <v>593</v>
      </c>
      <c r="AJ73" s="4" t="s">
        <v>596</v>
      </c>
      <c r="AK73" s="4"/>
      <c r="AL73" s="3"/>
    </row>
    <row r="74" spans="1:38" x14ac:dyDescent="0.35">
      <c r="A74" s="3" t="s">
        <v>599</v>
      </c>
      <c r="B74" s="4" t="s">
        <v>604</v>
      </c>
      <c r="C74" s="4">
        <f>VLOOKUP(A74, [1]Planilha1!$A$3:$B$1015,2,FALSE)</f>
        <v>19228</v>
      </c>
      <c r="D74" s="4">
        <f t="shared" si="1"/>
        <v>5.3411111111111111</v>
      </c>
      <c r="E74" s="4" t="s">
        <v>1125</v>
      </c>
      <c r="F74" s="3" t="s">
        <v>601</v>
      </c>
      <c r="G74" s="3" t="s">
        <v>74</v>
      </c>
      <c r="H74" s="3" t="s">
        <v>44</v>
      </c>
      <c r="I74" s="3" t="s">
        <v>33</v>
      </c>
      <c r="J74" s="3" t="s">
        <v>41</v>
      </c>
      <c r="L74" s="1">
        <v>46051.504548611112</v>
      </c>
      <c r="M74" s="1">
        <v>46051.514756944445</v>
      </c>
      <c r="N74" s="1">
        <v>46051.626030092593</v>
      </c>
      <c r="O74" s="3" t="s">
        <v>43</v>
      </c>
      <c r="P74" s="3" t="s">
        <v>604</v>
      </c>
      <c r="Q74" s="3" t="s">
        <v>42</v>
      </c>
      <c r="R74" s="3" t="s">
        <v>603</v>
      </c>
      <c r="S74" s="3" t="s">
        <v>80</v>
      </c>
      <c r="T74" s="3" t="s">
        <v>79</v>
      </c>
      <c r="U74" s="4" t="b">
        <v>1</v>
      </c>
      <c r="V74" s="3" t="s">
        <v>31</v>
      </c>
      <c r="W74" s="1"/>
      <c r="Y74" s="3" t="s">
        <v>32</v>
      </c>
      <c r="Z74" s="3" t="s">
        <v>32</v>
      </c>
      <c r="AA74" s="3"/>
      <c r="AB74" s="3"/>
      <c r="AC74" s="4" t="s">
        <v>30</v>
      </c>
      <c r="AD74" s="3"/>
      <c r="AE74" s="3" t="s">
        <v>604</v>
      </c>
      <c r="AF74" s="4" t="s">
        <v>30</v>
      </c>
      <c r="AH74" s="4">
        <v>1</v>
      </c>
      <c r="AI74" s="3" t="s">
        <v>600</v>
      </c>
      <c r="AJ74" s="4" t="s">
        <v>602</v>
      </c>
      <c r="AK74" s="4"/>
      <c r="AL74" s="3"/>
    </row>
    <row r="75" spans="1:38" x14ac:dyDescent="0.35">
      <c r="A75" s="3" t="s">
        <v>321</v>
      </c>
      <c r="B75" s="4" t="s">
        <v>611</v>
      </c>
      <c r="C75" s="4">
        <f>VLOOKUP(A75, [1]Planilha1!$A$3:$B$1015,2,FALSE)</f>
        <v>65925</v>
      </c>
      <c r="D75" s="4">
        <f t="shared" si="1"/>
        <v>18.3125</v>
      </c>
      <c r="E75" s="4" t="s">
        <v>1125</v>
      </c>
      <c r="F75" s="3" t="s">
        <v>608</v>
      </c>
      <c r="G75" s="3" t="s">
        <v>605</v>
      </c>
      <c r="H75" s="3" t="s">
        <v>44</v>
      </c>
      <c r="I75" s="3" t="s">
        <v>33</v>
      </c>
      <c r="J75" s="3" t="s">
        <v>607</v>
      </c>
      <c r="L75" s="1">
        <v>46051.502627314818</v>
      </c>
      <c r="M75" s="1">
        <v>46051.502627314818</v>
      </c>
      <c r="N75" s="1">
        <v>46055.458333333336</v>
      </c>
      <c r="O75" s="3" t="s">
        <v>43</v>
      </c>
      <c r="P75" s="3" t="s">
        <v>611</v>
      </c>
      <c r="Q75" s="3" t="s">
        <v>35</v>
      </c>
      <c r="R75" s="3" t="s">
        <v>610</v>
      </c>
      <c r="S75" s="3" t="s">
        <v>37</v>
      </c>
      <c r="T75" s="3" t="s">
        <v>36</v>
      </c>
      <c r="U75" s="4" t="b">
        <v>1</v>
      </c>
      <c r="V75" s="3" t="s">
        <v>28</v>
      </c>
      <c r="W75" s="1"/>
      <c r="Y75" s="3" t="s">
        <v>29</v>
      </c>
      <c r="Z75" s="3" t="s">
        <v>29</v>
      </c>
      <c r="AA75" s="3"/>
      <c r="AB75" s="3"/>
      <c r="AC75" s="4" t="s">
        <v>30</v>
      </c>
      <c r="AD75" s="3"/>
      <c r="AE75" s="3" t="s">
        <v>611</v>
      </c>
      <c r="AF75" s="4" t="s">
        <v>30</v>
      </c>
      <c r="AH75" s="4">
        <v>3</v>
      </c>
      <c r="AI75" s="3" t="s">
        <v>606</v>
      </c>
      <c r="AJ75" s="4" t="s">
        <v>609</v>
      </c>
      <c r="AK75" s="4"/>
      <c r="AL75" s="3"/>
    </row>
    <row r="76" spans="1:38" x14ac:dyDescent="0.35">
      <c r="A76" s="3" t="s">
        <v>612</v>
      </c>
      <c r="B76" s="4" t="s">
        <v>94</v>
      </c>
      <c r="C76" s="4">
        <f>VLOOKUP(A76, [1]Planilha1!$A$3:$B$1015,2,FALSE)</f>
        <v>0</v>
      </c>
      <c r="D76" s="4">
        <f t="shared" si="1"/>
        <v>0</v>
      </c>
      <c r="E76" s="4" t="s">
        <v>1125</v>
      </c>
      <c r="F76" s="3" t="s">
        <v>92</v>
      </c>
      <c r="G76" s="3" t="s">
        <v>433</v>
      </c>
      <c r="H76" s="3" t="s">
        <v>148</v>
      </c>
      <c r="I76" s="3" t="s">
        <v>33</v>
      </c>
      <c r="J76" s="3" t="s">
        <v>60</v>
      </c>
      <c r="L76" s="1">
        <v>46051.496944444443</v>
      </c>
      <c r="M76" s="1">
        <v>46051.497662037036</v>
      </c>
      <c r="N76" s="1">
        <v>46054.5</v>
      </c>
      <c r="O76" s="3" t="s">
        <v>147</v>
      </c>
      <c r="P76" s="3" t="s">
        <v>94</v>
      </c>
      <c r="Q76" s="3" t="s">
        <v>35</v>
      </c>
      <c r="R76" s="3" t="s">
        <v>93</v>
      </c>
      <c r="S76" s="3" t="s">
        <v>82</v>
      </c>
      <c r="T76" s="3" t="s">
        <v>81</v>
      </c>
      <c r="U76" s="4" t="b">
        <v>1</v>
      </c>
      <c r="V76" s="3" t="s">
        <v>31</v>
      </c>
      <c r="W76" s="1"/>
      <c r="Y76" s="3" t="s">
        <v>32</v>
      </c>
      <c r="Z76" s="3" t="s">
        <v>32</v>
      </c>
      <c r="AA76" s="3"/>
      <c r="AB76" s="3"/>
      <c r="AC76" s="4" t="s">
        <v>30</v>
      </c>
      <c r="AD76" s="3"/>
      <c r="AE76" s="3" t="s">
        <v>94</v>
      </c>
      <c r="AF76" s="4" t="s">
        <v>30</v>
      </c>
      <c r="AH76" s="4">
        <v>0</v>
      </c>
      <c r="AI76" s="3" t="s">
        <v>433</v>
      </c>
      <c r="AJ76" s="4"/>
      <c r="AK76" s="4"/>
      <c r="AL76" s="3"/>
    </row>
    <row r="77" spans="1:38" x14ac:dyDescent="0.35">
      <c r="A77" s="3" t="s">
        <v>613</v>
      </c>
      <c r="B77" s="4" t="s">
        <v>618</v>
      </c>
      <c r="C77" s="4">
        <f>VLOOKUP(A77, [1]Planilha1!$A$3:$B$1015,2,FALSE)</f>
        <v>42137</v>
      </c>
      <c r="D77" s="4">
        <f t="shared" si="1"/>
        <v>11.704722222222221</v>
      </c>
      <c r="E77" s="4" t="s">
        <v>1125</v>
      </c>
      <c r="F77" s="3" t="s">
        <v>616</v>
      </c>
      <c r="G77" s="3" t="s">
        <v>614</v>
      </c>
      <c r="H77" s="3" t="s">
        <v>44</v>
      </c>
      <c r="I77" s="3" t="s">
        <v>33</v>
      </c>
      <c r="J77" s="3" t="s">
        <v>41</v>
      </c>
      <c r="L77" s="1">
        <v>46051.479594907411</v>
      </c>
      <c r="M77" s="1">
        <v>46051.479594907411</v>
      </c>
      <c r="N77" s="1">
        <v>46051.648784722223</v>
      </c>
      <c r="O77" s="3" t="s">
        <v>43</v>
      </c>
      <c r="P77" s="3" t="s">
        <v>618</v>
      </c>
      <c r="Q77" s="3" t="s">
        <v>42</v>
      </c>
      <c r="R77" s="3" t="s">
        <v>617</v>
      </c>
      <c r="S77" s="3" t="s">
        <v>37</v>
      </c>
      <c r="T77" s="3" t="s">
        <v>36</v>
      </c>
      <c r="U77" s="4" t="b">
        <v>1</v>
      </c>
      <c r="V77" s="3" t="s">
        <v>28</v>
      </c>
      <c r="W77" s="1"/>
      <c r="Y77" s="3" t="s">
        <v>29</v>
      </c>
      <c r="Z77" s="3" t="s">
        <v>29</v>
      </c>
      <c r="AA77" s="3"/>
      <c r="AB77" s="3"/>
      <c r="AC77" s="4" t="s">
        <v>30</v>
      </c>
      <c r="AD77" s="3"/>
      <c r="AE77" s="3" t="s">
        <v>618</v>
      </c>
      <c r="AF77" s="4" t="s">
        <v>30</v>
      </c>
      <c r="AH77" s="4">
        <v>2</v>
      </c>
      <c r="AI77" s="3" t="s">
        <v>615</v>
      </c>
      <c r="AJ77" s="4" t="s">
        <v>5820</v>
      </c>
      <c r="AK77" s="4"/>
      <c r="AL77" s="3"/>
    </row>
    <row r="78" spans="1:38" x14ac:dyDescent="0.35">
      <c r="A78" s="3" t="s">
        <v>619</v>
      </c>
      <c r="B78" s="4" t="s">
        <v>625</v>
      </c>
      <c r="C78" s="4">
        <f>VLOOKUP(A78, [1]Planilha1!$A$3:$B$1015,2,FALSE)</f>
        <v>43818</v>
      </c>
      <c r="D78" s="4">
        <f t="shared" si="1"/>
        <v>12.171666666666667</v>
      </c>
      <c r="E78" s="4" t="s">
        <v>1125</v>
      </c>
      <c r="F78" s="3" t="s">
        <v>623</v>
      </c>
      <c r="G78" s="3" t="s">
        <v>614</v>
      </c>
      <c r="H78" s="3" t="s">
        <v>622</v>
      </c>
      <c r="I78" s="3" t="s">
        <v>33</v>
      </c>
      <c r="J78" s="3" t="s">
        <v>41</v>
      </c>
      <c r="L78" s="1">
        <v>46051.477037037039</v>
      </c>
      <c r="M78" s="1">
        <v>46051.477037037039</v>
      </c>
      <c r="N78" s="1">
        <v>46051.646087962959</v>
      </c>
      <c r="O78" s="3" t="s">
        <v>621</v>
      </c>
      <c r="P78" s="3" t="s">
        <v>625</v>
      </c>
      <c r="Q78" s="3" t="s">
        <v>42</v>
      </c>
      <c r="R78" s="3" t="s">
        <v>624</v>
      </c>
      <c r="S78" s="3" t="s">
        <v>37</v>
      </c>
      <c r="T78" s="3" t="s">
        <v>36</v>
      </c>
      <c r="U78" s="4" t="b">
        <v>1</v>
      </c>
      <c r="V78" s="3" t="s">
        <v>28</v>
      </c>
      <c r="W78" s="1"/>
      <c r="Y78" s="3" t="s">
        <v>29</v>
      </c>
      <c r="Z78" s="3" t="s">
        <v>29</v>
      </c>
      <c r="AA78" s="3"/>
      <c r="AB78" s="3"/>
      <c r="AC78" s="4" t="s">
        <v>30</v>
      </c>
      <c r="AD78" s="3"/>
      <c r="AE78" s="3" t="s">
        <v>625</v>
      </c>
      <c r="AF78" s="4" t="s">
        <v>30</v>
      </c>
      <c r="AH78" s="4">
        <v>0</v>
      </c>
      <c r="AI78" s="3" t="s">
        <v>620</v>
      </c>
      <c r="AJ78" s="4" t="s">
        <v>5821</v>
      </c>
      <c r="AK78" s="4"/>
      <c r="AL78" s="3"/>
    </row>
    <row r="79" spans="1:38" x14ac:dyDescent="0.35">
      <c r="A79" s="3" t="s">
        <v>626</v>
      </c>
      <c r="B79" s="4" t="s">
        <v>633</v>
      </c>
      <c r="C79" s="4">
        <f>VLOOKUP(A79, [1]Planilha1!$A$3:$B$1015,2,FALSE)</f>
        <v>45147</v>
      </c>
      <c r="D79" s="4">
        <f t="shared" si="1"/>
        <v>12.540833333333333</v>
      </c>
      <c r="E79" s="4" t="s">
        <v>1125</v>
      </c>
      <c r="F79" s="3" t="s">
        <v>630</v>
      </c>
      <c r="G79" s="3" t="s">
        <v>627</v>
      </c>
      <c r="H79" s="3" t="s">
        <v>428</v>
      </c>
      <c r="I79" s="3" t="s">
        <v>33</v>
      </c>
      <c r="J79" s="3" t="s">
        <v>41</v>
      </c>
      <c r="K79" s="3" t="s">
        <v>629</v>
      </c>
      <c r="L79" s="1">
        <v>46051.469270833331</v>
      </c>
      <c r="M79" s="1">
        <v>46051.469270833331</v>
      </c>
      <c r="N79" s="1">
        <v>46051.643449074072</v>
      </c>
      <c r="O79" s="3" t="s">
        <v>427</v>
      </c>
      <c r="P79" s="3" t="s">
        <v>633</v>
      </c>
      <c r="Q79" s="3" t="s">
        <v>42</v>
      </c>
      <c r="R79" s="3" t="s">
        <v>632</v>
      </c>
      <c r="S79" s="3" t="s">
        <v>37</v>
      </c>
      <c r="T79" s="3" t="s">
        <v>36</v>
      </c>
      <c r="U79" s="4" t="b">
        <v>1</v>
      </c>
      <c r="V79" s="3" t="s">
        <v>28</v>
      </c>
      <c r="W79" s="1"/>
      <c r="Y79" s="3" t="s">
        <v>29</v>
      </c>
      <c r="Z79" s="3" t="s">
        <v>29</v>
      </c>
      <c r="AA79" s="3"/>
      <c r="AB79" s="3"/>
      <c r="AC79" s="4" t="s">
        <v>30</v>
      </c>
      <c r="AD79" s="3"/>
      <c r="AE79" s="3" t="s">
        <v>633</v>
      </c>
      <c r="AF79" s="4" t="s">
        <v>30</v>
      </c>
      <c r="AH79" s="4">
        <v>0</v>
      </c>
      <c r="AI79" s="3" t="s">
        <v>628</v>
      </c>
      <c r="AJ79" s="4" t="s">
        <v>631</v>
      </c>
      <c r="AK79" s="4"/>
      <c r="AL79" s="3"/>
    </row>
    <row r="80" spans="1:38" x14ac:dyDescent="0.35">
      <c r="A80" s="3" t="s">
        <v>634</v>
      </c>
      <c r="B80" s="4" t="s">
        <v>640</v>
      </c>
      <c r="C80" s="4">
        <f>VLOOKUP(A80, [1]Planilha1!$A$3:$B$1015,2,FALSE)</f>
        <v>59751</v>
      </c>
      <c r="D80" s="4">
        <f t="shared" si="1"/>
        <v>16.5975</v>
      </c>
      <c r="E80" s="4" t="s">
        <v>1125</v>
      </c>
      <c r="F80" s="3" t="s">
        <v>637</v>
      </c>
      <c r="G80" s="3" t="s">
        <v>635</v>
      </c>
      <c r="H80" s="3" t="s">
        <v>224</v>
      </c>
      <c r="I80" s="3" t="s">
        <v>33</v>
      </c>
      <c r="J80" s="3" t="s">
        <v>41</v>
      </c>
      <c r="L80" s="1">
        <v>46051.462847222225</v>
      </c>
      <c r="M80" s="1">
        <v>46051.462847222225</v>
      </c>
      <c r="N80" s="1">
        <v>46052.367256944446</v>
      </c>
      <c r="O80" s="3" t="s">
        <v>223</v>
      </c>
      <c r="P80" s="3" t="s">
        <v>640</v>
      </c>
      <c r="Q80" s="3" t="s">
        <v>42</v>
      </c>
      <c r="R80" s="3" t="s">
        <v>639</v>
      </c>
      <c r="S80" s="3" t="s">
        <v>37</v>
      </c>
      <c r="T80" s="3" t="s">
        <v>36</v>
      </c>
      <c r="U80" s="4" t="b">
        <v>1</v>
      </c>
      <c r="V80" s="3" t="s">
        <v>28</v>
      </c>
      <c r="W80" s="1"/>
      <c r="Y80" s="3" t="s">
        <v>29</v>
      </c>
      <c r="Z80" s="3" t="s">
        <v>29</v>
      </c>
      <c r="AA80" s="3"/>
      <c r="AB80" s="3"/>
      <c r="AC80" s="4" t="s">
        <v>30</v>
      </c>
      <c r="AD80" s="3"/>
      <c r="AE80" s="3" t="s">
        <v>640</v>
      </c>
      <c r="AF80" s="4" t="s">
        <v>30</v>
      </c>
      <c r="AH80" s="4">
        <v>1</v>
      </c>
      <c r="AI80" s="3" t="s">
        <v>636</v>
      </c>
      <c r="AJ80" s="4" t="s">
        <v>638</v>
      </c>
      <c r="AK80" s="4"/>
      <c r="AL80" s="3"/>
    </row>
    <row r="81" spans="1:38" x14ac:dyDescent="0.35">
      <c r="A81" s="3" t="s">
        <v>645</v>
      </c>
      <c r="B81" s="4" t="s">
        <v>644</v>
      </c>
      <c r="C81" s="4">
        <f>VLOOKUP(A81, [1]Planilha1!$A$3:$B$1015,2,FALSE)</f>
        <v>46104</v>
      </c>
      <c r="D81" s="4">
        <f t="shared" si="1"/>
        <v>12.806666666666667</v>
      </c>
      <c r="E81" s="4" t="s">
        <v>1125</v>
      </c>
      <c r="F81" s="3" t="s">
        <v>642</v>
      </c>
      <c r="G81" s="3" t="s">
        <v>641</v>
      </c>
      <c r="H81" s="3" t="s">
        <v>346</v>
      </c>
      <c r="I81" s="3" t="s">
        <v>33</v>
      </c>
      <c r="J81" s="3" t="s">
        <v>41</v>
      </c>
      <c r="L81" s="1">
        <v>46051.459351851852</v>
      </c>
      <c r="M81" s="1">
        <v>46051.459363425929</v>
      </c>
      <c r="N81" s="1">
        <v>46051.637233796297</v>
      </c>
      <c r="O81" s="3" t="s">
        <v>345</v>
      </c>
      <c r="P81" s="3" t="s">
        <v>644</v>
      </c>
      <c r="Q81" s="3" t="s">
        <v>42</v>
      </c>
      <c r="R81" s="3" t="s">
        <v>643</v>
      </c>
      <c r="S81" s="3" t="s">
        <v>37</v>
      </c>
      <c r="T81" s="3" t="s">
        <v>36</v>
      </c>
      <c r="U81" s="4" t="b">
        <v>1</v>
      </c>
      <c r="V81" s="3" t="s">
        <v>28</v>
      </c>
      <c r="W81" s="1"/>
      <c r="Y81" s="3" t="s">
        <v>29</v>
      </c>
      <c r="Z81" s="3" t="s">
        <v>29</v>
      </c>
      <c r="AA81" s="3"/>
      <c r="AB81" s="3"/>
      <c r="AC81" s="4" t="s">
        <v>30</v>
      </c>
      <c r="AD81" s="3"/>
      <c r="AE81" s="3" t="s">
        <v>644</v>
      </c>
      <c r="AF81" s="4" t="s">
        <v>30</v>
      </c>
      <c r="AH81" s="4">
        <v>0</v>
      </c>
      <c r="AI81" s="3" t="s">
        <v>646</v>
      </c>
      <c r="AJ81" s="4" t="s">
        <v>5822</v>
      </c>
      <c r="AK81" s="4"/>
      <c r="AL81" s="3"/>
    </row>
    <row r="82" spans="1:38" x14ac:dyDescent="0.35">
      <c r="A82" s="3" t="s">
        <v>647</v>
      </c>
      <c r="B82" s="4" t="s">
        <v>653</v>
      </c>
      <c r="C82" s="4">
        <f>VLOOKUP(A82, [1]Planilha1!$A$3:$B$1015,2,FALSE)</f>
        <v>43014</v>
      </c>
      <c r="D82" s="4">
        <f t="shared" si="1"/>
        <v>11.948333333333334</v>
      </c>
      <c r="E82" s="4" t="s">
        <v>1125</v>
      </c>
      <c r="F82" s="3" t="s">
        <v>650</v>
      </c>
      <c r="G82" s="3" t="s">
        <v>648</v>
      </c>
      <c r="H82" s="3" t="s">
        <v>44</v>
      </c>
      <c r="I82" s="3" t="s">
        <v>33</v>
      </c>
      <c r="J82" s="3" t="s">
        <v>41</v>
      </c>
      <c r="L82" s="1">
        <v>46051.458171296297</v>
      </c>
      <c r="M82" s="1">
        <v>46051.458171296297</v>
      </c>
      <c r="N82" s="1">
        <v>46051.627164351848</v>
      </c>
      <c r="O82" s="3" t="s">
        <v>43</v>
      </c>
      <c r="P82" s="3" t="s">
        <v>653</v>
      </c>
      <c r="Q82" s="3" t="s">
        <v>42</v>
      </c>
      <c r="R82" s="3" t="s">
        <v>652</v>
      </c>
      <c r="S82" s="3" t="s">
        <v>37</v>
      </c>
      <c r="T82" s="3" t="s">
        <v>36</v>
      </c>
      <c r="U82" s="4" t="b">
        <v>1</v>
      </c>
      <c r="V82" s="3" t="s">
        <v>28</v>
      </c>
      <c r="W82" s="1"/>
      <c r="Y82" s="3" t="s">
        <v>29</v>
      </c>
      <c r="Z82" s="3" t="s">
        <v>29</v>
      </c>
      <c r="AA82" s="3"/>
      <c r="AB82" s="3"/>
      <c r="AC82" s="4" t="s">
        <v>30</v>
      </c>
      <c r="AD82" s="3"/>
      <c r="AE82" s="3" t="s">
        <v>653</v>
      </c>
      <c r="AF82" s="4" t="s">
        <v>30</v>
      </c>
      <c r="AH82" s="4">
        <v>2</v>
      </c>
      <c r="AI82" s="3" t="s">
        <v>649</v>
      </c>
      <c r="AJ82" s="4" t="s">
        <v>651</v>
      </c>
      <c r="AK82" s="4"/>
      <c r="AL82" s="3"/>
    </row>
    <row r="83" spans="1:38" x14ac:dyDescent="0.35">
      <c r="A83" s="3" t="s">
        <v>654</v>
      </c>
      <c r="B83" s="4" t="s">
        <v>658</v>
      </c>
      <c r="C83" s="4">
        <f>VLOOKUP(A83, [1]Planilha1!$A$3:$B$1015,2,FALSE)</f>
        <v>27704</v>
      </c>
      <c r="D83" s="4">
        <f t="shared" si="1"/>
        <v>7.6955555555555559</v>
      </c>
      <c r="E83" s="4" t="s">
        <v>1125</v>
      </c>
      <c r="F83" s="3" t="s">
        <v>656</v>
      </c>
      <c r="G83" s="3" t="s">
        <v>74</v>
      </c>
      <c r="H83" s="3" t="s">
        <v>44</v>
      </c>
      <c r="I83" s="3" t="s">
        <v>33</v>
      </c>
      <c r="J83" s="3" t="s">
        <v>41</v>
      </c>
      <c r="L83" s="1">
        <v>46051.456886574073</v>
      </c>
      <c r="M83" s="1">
        <v>46051.458564814813</v>
      </c>
      <c r="N83" s="1">
        <v>46051.618888888886</v>
      </c>
      <c r="O83" s="3" t="s">
        <v>43</v>
      </c>
      <c r="P83" s="3" t="s">
        <v>658</v>
      </c>
      <c r="Q83" s="3" t="s">
        <v>42</v>
      </c>
      <c r="R83" s="3" t="s">
        <v>657</v>
      </c>
      <c r="S83" s="3" t="s">
        <v>80</v>
      </c>
      <c r="T83" s="3" t="s">
        <v>79</v>
      </c>
      <c r="U83" s="4" t="b">
        <v>1</v>
      </c>
      <c r="V83" s="3" t="s">
        <v>31</v>
      </c>
      <c r="W83" s="1"/>
      <c r="Y83" s="3" t="s">
        <v>32</v>
      </c>
      <c r="Z83" s="3" t="s">
        <v>32</v>
      </c>
      <c r="AA83" s="3"/>
      <c r="AB83" s="3"/>
      <c r="AC83" s="4" t="s">
        <v>30</v>
      </c>
      <c r="AD83" s="3"/>
      <c r="AE83" s="3" t="s">
        <v>658</v>
      </c>
      <c r="AF83" s="4" t="s">
        <v>30</v>
      </c>
      <c r="AH83" s="4">
        <v>1</v>
      </c>
      <c r="AI83" s="3" t="s">
        <v>655</v>
      </c>
      <c r="AJ83" s="4" t="s">
        <v>5823</v>
      </c>
      <c r="AK83" s="4"/>
      <c r="AL83" s="3"/>
    </row>
    <row r="84" spans="1:38" x14ac:dyDescent="0.35">
      <c r="A84" s="3" t="s">
        <v>659</v>
      </c>
      <c r="B84" s="4" t="s">
        <v>513</v>
      </c>
      <c r="C84" s="4">
        <f>VLOOKUP(A84, [1]Planilha1!$A$3:$B$1015,2,FALSE)</f>
        <v>40704</v>
      </c>
      <c r="D84" s="4">
        <f t="shared" si="1"/>
        <v>11.306666666666667</v>
      </c>
      <c r="E84" s="4" t="s">
        <v>1125</v>
      </c>
      <c r="F84" s="3" t="s">
        <v>510</v>
      </c>
      <c r="G84" s="3" t="s">
        <v>660</v>
      </c>
      <c r="H84" s="3" t="s">
        <v>44</v>
      </c>
      <c r="I84" s="3" t="s">
        <v>33</v>
      </c>
      <c r="J84" s="3" t="s">
        <v>41</v>
      </c>
      <c r="L84" s="1">
        <v>46051.449097222219</v>
      </c>
      <c r="M84" s="1">
        <v>46051.449097222219</v>
      </c>
      <c r="N84" s="1">
        <v>46051.606134259258</v>
      </c>
      <c r="O84" s="3" t="s">
        <v>43</v>
      </c>
      <c r="P84" s="3" t="s">
        <v>513</v>
      </c>
      <c r="Q84" s="3" t="s">
        <v>42</v>
      </c>
      <c r="R84" s="3" t="s">
        <v>512</v>
      </c>
      <c r="S84" s="3" t="s">
        <v>37</v>
      </c>
      <c r="T84" s="3" t="s">
        <v>36</v>
      </c>
      <c r="U84" s="4" t="b">
        <v>1</v>
      </c>
      <c r="V84" s="3" t="s">
        <v>28</v>
      </c>
      <c r="W84" s="1"/>
      <c r="Y84" s="3" t="s">
        <v>29</v>
      </c>
      <c r="Z84" s="3" t="s">
        <v>29</v>
      </c>
      <c r="AA84" s="3"/>
      <c r="AB84" s="3"/>
      <c r="AC84" s="4" t="s">
        <v>30</v>
      </c>
      <c r="AD84" s="3"/>
      <c r="AE84" s="3" t="s">
        <v>513</v>
      </c>
      <c r="AF84" s="4" t="s">
        <v>30</v>
      </c>
      <c r="AH84" s="4">
        <v>0</v>
      </c>
      <c r="AI84" s="3" t="s">
        <v>661</v>
      </c>
      <c r="AJ84" s="4" t="s">
        <v>511</v>
      </c>
      <c r="AK84" s="4"/>
      <c r="AL84" s="3"/>
    </row>
    <row r="85" spans="1:38" x14ac:dyDescent="0.35">
      <c r="A85" s="3" t="s">
        <v>662</v>
      </c>
      <c r="B85" s="4" t="s">
        <v>669</v>
      </c>
      <c r="C85" s="4">
        <f>VLOOKUP(A85, [1]Planilha1!$A$3:$B$1015,2,FALSE)</f>
        <v>31216</v>
      </c>
      <c r="D85" s="4">
        <f t="shared" si="1"/>
        <v>8.6711111111111112</v>
      </c>
      <c r="E85" s="4" t="s">
        <v>1125</v>
      </c>
      <c r="F85" s="3" t="s">
        <v>666</v>
      </c>
      <c r="G85" s="3" t="s">
        <v>663</v>
      </c>
      <c r="H85" s="3" t="s">
        <v>171</v>
      </c>
      <c r="I85" s="3" t="s">
        <v>33</v>
      </c>
      <c r="J85" s="3" t="s">
        <v>41</v>
      </c>
      <c r="K85" s="3" t="s">
        <v>665</v>
      </c>
      <c r="L85" s="1">
        <v>46051.440937500003</v>
      </c>
      <c r="M85" s="1">
        <v>46051.440937500003</v>
      </c>
      <c r="N85" s="1">
        <v>46051.62158564815</v>
      </c>
      <c r="O85" s="3" t="s">
        <v>170</v>
      </c>
      <c r="P85" s="3" t="s">
        <v>669</v>
      </c>
      <c r="Q85" s="3" t="s">
        <v>35</v>
      </c>
      <c r="R85" s="3" t="s">
        <v>668</v>
      </c>
      <c r="S85" s="3" t="s">
        <v>37</v>
      </c>
      <c r="T85" s="3" t="s">
        <v>36</v>
      </c>
      <c r="U85" s="4" t="b">
        <v>1</v>
      </c>
      <c r="V85" s="3" t="s">
        <v>28</v>
      </c>
      <c r="W85" s="1"/>
      <c r="Y85" s="3" t="s">
        <v>29</v>
      </c>
      <c r="Z85" s="3" t="s">
        <v>29</v>
      </c>
      <c r="AA85" s="3"/>
      <c r="AB85" s="3"/>
      <c r="AC85" s="4" t="s">
        <v>30</v>
      </c>
      <c r="AD85" s="3"/>
      <c r="AE85" s="3" t="s">
        <v>669</v>
      </c>
      <c r="AF85" s="4" t="s">
        <v>30</v>
      </c>
      <c r="AH85" s="4">
        <v>1</v>
      </c>
      <c r="AI85" s="3" t="s">
        <v>664</v>
      </c>
      <c r="AJ85" s="4" t="s">
        <v>667</v>
      </c>
      <c r="AK85" s="4"/>
      <c r="AL85" s="3"/>
    </row>
    <row r="86" spans="1:38" x14ac:dyDescent="0.35">
      <c r="A86" s="3" t="s">
        <v>670</v>
      </c>
      <c r="B86" s="4" t="s">
        <v>675</v>
      </c>
      <c r="C86" s="4">
        <f>VLOOKUP(A86, [1]Planilha1!$A$3:$B$1015,2,FALSE)</f>
        <v>42039</v>
      </c>
      <c r="D86" s="4">
        <f t="shared" si="1"/>
        <v>11.6775</v>
      </c>
      <c r="E86" s="4" t="s">
        <v>1125</v>
      </c>
      <c r="F86" s="3" t="s">
        <v>673</v>
      </c>
      <c r="G86" s="3" t="s">
        <v>671</v>
      </c>
      <c r="H86" s="3" t="s">
        <v>163</v>
      </c>
      <c r="I86" s="3" t="s">
        <v>33</v>
      </c>
      <c r="J86" s="3" t="s">
        <v>41</v>
      </c>
      <c r="L86" s="1">
        <v>46051.440092592595</v>
      </c>
      <c r="M86" s="1">
        <v>46051.440092592595</v>
      </c>
      <c r="N86" s="1">
        <v>46051.602280092593</v>
      </c>
      <c r="O86" s="3" t="s">
        <v>162</v>
      </c>
      <c r="P86" s="3" t="s">
        <v>675</v>
      </c>
      <c r="Q86" s="3" t="s">
        <v>42</v>
      </c>
      <c r="R86" s="3" t="s">
        <v>674</v>
      </c>
      <c r="S86" s="3" t="s">
        <v>37</v>
      </c>
      <c r="T86" s="3" t="s">
        <v>36</v>
      </c>
      <c r="U86" s="4" t="b">
        <v>1</v>
      </c>
      <c r="V86" s="3" t="s">
        <v>28</v>
      </c>
      <c r="W86" s="1"/>
      <c r="Y86" s="3" t="s">
        <v>29</v>
      </c>
      <c r="Z86" s="3" t="s">
        <v>29</v>
      </c>
      <c r="AA86" s="3"/>
      <c r="AB86" s="3"/>
      <c r="AC86" s="4" t="s">
        <v>30</v>
      </c>
      <c r="AD86" s="3"/>
      <c r="AE86" s="3" t="s">
        <v>675</v>
      </c>
      <c r="AF86" s="4" t="s">
        <v>30</v>
      </c>
      <c r="AH86" s="4">
        <v>0</v>
      </c>
      <c r="AI86" s="3" t="s">
        <v>672</v>
      </c>
      <c r="AJ86" s="4" t="s">
        <v>5824</v>
      </c>
      <c r="AK86" s="4"/>
      <c r="AL86" s="3"/>
    </row>
    <row r="87" spans="1:38" x14ac:dyDescent="0.35">
      <c r="A87" s="3" t="s">
        <v>678</v>
      </c>
      <c r="B87" s="4" t="s">
        <v>684</v>
      </c>
      <c r="C87" s="4">
        <f>VLOOKUP(A87, [1]Planilha1!$A$3:$B$1015,2,FALSE)</f>
        <v>11388</v>
      </c>
      <c r="D87" s="4">
        <f t="shared" si="1"/>
        <v>3.1633333333333336</v>
      </c>
      <c r="E87" s="4" t="s">
        <v>1125</v>
      </c>
      <c r="F87" s="3" t="s">
        <v>681</v>
      </c>
      <c r="G87" s="3" t="s">
        <v>214</v>
      </c>
      <c r="H87" s="3" t="s">
        <v>44</v>
      </c>
      <c r="I87" s="3" t="s">
        <v>33</v>
      </c>
      <c r="J87" s="3" t="s">
        <v>459</v>
      </c>
      <c r="K87" s="3" t="s">
        <v>680</v>
      </c>
      <c r="L87" s="1">
        <v>46051.428726851853</v>
      </c>
      <c r="M87" s="1">
        <v>46051.428726851853</v>
      </c>
      <c r="N87" s="1">
        <v>46054.5</v>
      </c>
      <c r="O87" s="3" t="s">
        <v>43</v>
      </c>
      <c r="P87" s="3" t="s">
        <v>684</v>
      </c>
      <c r="Q87" s="3" t="s">
        <v>35</v>
      </c>
      <c r="R87" s="3" t="s">
        <v>683</v>
      </c>
      <c r="S87" s="3" t="s">
        <v>37</v>
      </c>
      <c r="T87" s="3" t="s">
        <v>36</v>
      </c>
      <c r="U87" s="4" t="b">
        <v>1</v>
      </c>
      <c r="V87" s="3" t="s">
        <v>28</v>
      </c>
      <c r="W87" s="1"/>
      <c r="Y87" s="3" t="s">
        <v>29</v>
      </c>
      <c r="Z87" s="3" t="s">
        <v>29</v>
      </c>
      <c r="AA87" s="3"/>
      <c r="AB87" s="3"/>
      <c r="AC87" s="4" t="s">
        <v>30</v>
      </c>
      <c r="AD87" s="3"/>
      <c r="AE87" s="3" t="s">
        <v>684</v>
      </c>
      <c r="AF87" s="4" t="s">
        <v>30</v>
      </c>
      <c r="AH87" s="4">
        <v>0</v>
      </c>
      <c r="AI87" s="3" t="s">
        <v>679</v>
      </c>
      <c r="AJ87" s="4" t="s">
        <v>682</v>
      </c>
      <c r="AK87" s="4"/>
      <c r="AL87" s="3"/>
    </row>
    <row r="88" spans="1:38" x14ac:dyDescent="0.35">
      <c r="A88" s="3" t="s">
        <v>685</v>
      </c>
      <c r="B88" s="4" t="s">
        <v>690</v>
      </c>
      <c r="C88" s="4">
        <f>VLOOKUP(A88, [1]Planilha1!$A$3:$B$1015,2,FALSE)</f>
        <v>29860</v>
      </c>
      <c r="D88" s="4">
        <f t="shared" si="1"/>
        <v>8.2944444444444443</v>
      </c>
      <c r="E88" s="4" t="s">
        <v>1125</v>
      </c>
      <c r="F88" s="3" t="s">
        <v>687</v>
      </c>
      <c r="G88" s="3" t="s">
        <v>74</v>
      </c>
      <c r="H88" s="3" t="s">
        <v>44</v>
      </c>
      <c r="I88" s="3" t="s">
        <v>33</v>
      </c>
      <c r="J88" s="3" t="s">
        <v>41</v>
      </c>
      <c r="L88" s="1">
        <v>46051.424895833334</v>
      </c>
      <c r="M88" s="1">
        <v>46051.426296296297</v>
      </c>
      <c r="N88" s="1">
        <v>46051.599097222221</v>
      </c>
      <c r="O88" s="3" t="s">
        <v>43</v>
      </c>
      <c r="P88" s="3" t="s">
        <v>690</v>
      </c>
      <c r="Q88" s="3" t="s">
        <v>42</v>
      </c>
      <c r="R88" s="3" t="s">
        <v>689</v>
      </c>
      <c r="S88" s="3" t="s">
        <v>80</v>
      </c>
      <c r="T88" s="3" t="s">
        <v>79</v>
      </c>
      <c r="U88" s="4" t="b">
        <v>1</v>
      </c>
      <c r="V88" s="3" t="s">
        <v>31</v>
      </c>
      <c r="W88" s="1"/>
      <c r="Y88" s="3" t="s">
        <v>32</v>
      </c>
      <c r="Z88" s="3" t="s">
        <v>32</v>
      </c>
      <c r="AA88" s="3"/>
      <c r="AB88" s="3"/>
      <c r="AC88" s="4" t="s">
        <v>30</v>
      </c>
      <c r="AD88" s="3"/>
      <c r="AE88" s="3" t="s">
        <v>690</v>
      </c>
      <c r="AF88" s="4" t="s">
        <v>30</v>
      </c>
      <c r="AH88" s="4">
        <v>1</v>
      </c>
      <c r="AI88" s="3" t="s">
        <v>686</v>
      </c>
      <c r="AJ88" s="4" t="s">
        <v>688</v>
      </c>
      <c r="AK88" s="4"/>
      <c r="AL88" s="3"/>
    </row>
    <row r="89" spans="1:38" x14ac:dyDescent="0.35">
      <c r="A89" s="3" t="s">
        <v>691</v>
      </c>
      <c r="B89" s="4" t="s">
        <v>698</v>
      </c>
      <c r="C89" s="4">
        <f>VLOOKUP(A89, [1]Planilha1!$A$3:$B$1015,2,FALSE)</f>
        <v>0</v>
      </c>
      <c r="D89" s="4">
        <f t="shared" si="1"/>
        <v>0</v>
      </c>
      <c r="E89" s="4" t="s">
        <v>1125</v>
      </c>
      <c r="F89" s="3" t="s">
        <v>696</v>
      </c>
      <c r="G89" s="3" t="s">
        <v>692</v>
      </c>
      <c r="H89" s="3" t="s">
        <v>695</v>
      </c>
      <c r="I89" s="3" t="s">
        <v>33</v>
      </c>
      <c r="J89" s="3" t="s">
        <v>60</v>
      </c>
      <c r="L89" s="1">
        <v>46051.422939814816</v>
      </c>
      <c r="M89" s="1">
        <v>46051.428622685184</v>
      </c>
      <c r="N89" s="1">
        <v>46054.458344907405</v>
      </c>
      <c r="O89" s="3" t="s">
        <v>694</v>
      </c>
      <c r="P89" s="3" t="s">
        <v>698</v>
      </c>
      <c r="Q89" s="3" t="s">
        <v>35</v>
      </c>
      <c r="R89" s="3" t="s">
        <v>697</v>
      </c>
      <c r="S89" s="3" t="s">
        <v>98</v>
      </c>
      <c r="T89" s="3" t="s">
        <v>97</v>
      </c>
      <c r="U89" s="4" t="b">
        <v>1</v>
      </c>
      <c r="V89" s="3" t="s">
        <v>31</v>
      </c>
      <c r="W89" s="1"/>
      <c r="Y89" s="3" t="s">
        <v>32</v>
      </c>
      <c r="Z89" s="3" t="s">
        <v>32</v>
      </c>
      <c r="AA89" s="3"/>
      <c r="AB89" s="3"/>
      <c r="AC89" s="4" t="s">
        <v>30</v>
      </c>
      <c r="AD89" s="3"/>
      <c r="AE89" s="3" t="s">
        <v>698</v>
      </c>
      <c r="AF89" s="4" t="s">
        <v>30</v>
      </c>
      <c r="AH89" s="4">
        <v>0</v>
      </c>
      <c r="AI89" s="3" t="s">
        <v>693</v>
      </c>
      <c r="AJ89" s="4">
        <v>86596561</v>
      </c>
      <c r="AK89" s="4"/>
      <c r="AL89" s="3"/>
    </row>
    <row r="90" spans="1:38" x14ac:dyDescent="0.35">
      <c r="A90" s="3" t="s">
        <v>699</v>
      </c>
      <c r="B90" s="4" t="s">
        <v>706</v>
      </c>
      <c r="C90" s="4">
        <f>VLOOKUP(A90, [1]Planilha1!$A$3:$B$1015,2,FALSE)</f>
        <v>41568</v>
      </c>
      <c r="D90" s="4">
        <f t="shared" si="1"/>
        <v>11.546666666666667</v>
      </c>
      <c r="E90" s="4" t="s">
        <v>1125</v>
      </c>
      <c r="F90" s="3" t="s">
        <v>703</v>
      </c>
      <c r="G90" s="3" t="s">
        <v>700</v>
      </c>
      <c r="H90" s="3" t="s">
        <v>44</v>
      </c>
      <c r="I90" s="3" t="s">
        <v>33</v>
      </c>
      <c r="J90" s="3" t="s">
        <v>34</v>
      </c>
      <c r="K90" s="3" t="s">
        <v>702</v>
      </c>
      <c r="L90" s="1">
        <v>46051.417372685188</v>
      </c>
      <c r="M90" s="1">
        <v>46051.440381944441</v>
      </c>
      <c r="N90" s="1">
        <v>46054.708333333336</v>
      </c>
      <c r="O90" s="3" t="s">
        <v>43</v>
      </c>
      <c r="P90" s="3" t="s">
        <v>706</v>
      </c>
      <c r="Q90" s="3" t="s">
        <v>35</v>
      </c>
      <c r="R90" s="3" t="s">
        <v>705</v>
      </c>
      <c r="S90" s="3" t="s">
        <v>190</v>
      </c>
      <c r="T90" s="3" t="s">
        <v>189</v>
      </c>
      <c r="U90" s="4" t="b">
        <v>0</v>
      </c>
      <c r="V90" s="3" t="s">
        <v>31</v>
      </c>
      <c r="W90" s="1"/>
      <c r="Y90" s="3" t="s">
        <v>32</v>
      </c>
      <c r="Z90" s="3" t="s">
        <v>32</v>
      </c>
      <c r="AA90" s="3"/>
      <c r="AB90" s="3"/>
      <c r="AC90" s="4" t="s">
        <v>30</v>
      </c>
      <c r="AD90" s="3"/>
      <c r="AE90" s="3" t="s">
        <v>706</v>
      </c>
      <c r="AF90" s="4" t="s">
        <v>30</v>
      </c>
      <c r="AH90" s="4">
        <v>1</v>
      </c>
      <c r="AI90" s="3" t="s">
        <v>701</v>
      </c>
      <c r="AJ90" s="4" t="s">
        <v>704</v>
      </c>
      <c r="AK90" s="4"/>
      <c r="AL90" s="3"/>
    </row>
    <row r="91" spans="1:38" x14ac:dyDescent="0.35">
      <c r="A91" s="3" t="s">
        <v>709</v>
      </c>
      <c r="B91" s="4"/>
      <c r="C91" s="4">
        <f>VLOOKUP(A91, [1]Planilha1!$A$3:$B$1015,2,FALSE)</f>
        <v>662</v>
      </c>
      <c r="D91" s="4">
        <f t="shared" si="1"/>
        <v>0.18388888888888888</v>
      </c>
      <c r="E91" s="4" t="s">
        <v>1125</v>
      </c>
      <c r="F91" s="3" t="s">
        <v>49</v>
      </c>
      <c r="G91" s="3" t="s">
        <v>72</v>
      </c>
      <c r="H91" s="3" t="s">
        <v>44</v>
      </c>
      <c r="I91" s="3" t="s">
        <v>33</v>
      </c>
      <c r="J91" s="3" t="s">
        <v>60</v>
      </c>
      <c r="L91" s="1">
        <v>46051.414305555554</v>
      </c>
      <c r="M91" s="1">
        <v>46051.414305555554</v>
      </c>
      <c r="N91" s="1">
        <v>46054.458344907405</v>
      </c>
      <c r="O91" s="3" t="s">
        <v>43</v>
      </c>
      <c r="Q91" s="3" t="s">
        <v>42</v>
      </c>
      <c r="R91" s="3" t="s">
        <v>51</v>
      </c>
      <c r="S91" s="3" t="s">
        <v>37</v>
      </c>
      <c r="T91" s="3" t="s">
        <v>36</v>
      </c>
      <c r="U91" s="4" t="b">
        <v>1</v>
      </c>
      <c r="V91" s="3" t="s">
        <v>28</v>
      </c>
      <c r="W91" s="1"/>
      <c r="Y91" s="3" t="s">
        <v>29</v>
      </c>
      <c r="Z91" s="3" t="s">
        <v>29</v>
      </c>
      <c r="AA91" s="3"/>
      <c r="AB91" s="3"/>
      <c r="AC91" s="4" t="s">
        <v>30</v>
      </c>
      <c r="AD91" s="3"/>
      <c r="AE91" s="3"/>
      <c r="AF91" s="4" t="s">
        <v>30</v>
      </c>
      <c r="AH91" s="4">
        <v>0</v>
      </c>
      <c r="AI91" s="3" t="s">
        <v>710</v>
      </c>
      <c r="AJ91" s="4" t="s">
        <v>50</v>
      </c>
      <c r="AK91" s="4"/>
      <c r="AL91" s="3"/>
    </row>
    <row r="92" spans="1:38" x14ac:dyDescent="0.35">
      <c r="A92" s="3" t="s">
        <v>711</v>
      </c>
      <c r="B92" s="4" t="s">
        <v>717</v>
      </c>
      <c r="C92" s="4">
        <f>VLOOKUP(A92, [1]Planilha1!$A$3:$B$1015,2,FALSE)</f>
        <v>0</v>
      </c>
      <c r="D92" s="4">
        <f t="shared" si="1"/>
        <v>0</v>
      </c>
      <c r="E92" s="4" t="s">
        <v>1125</v>
      </c>
      <c r="F92" s="3" t="s">
        <v>714</v>
      </c>
      <c r="G92" s="3" t="s">
        <v>134</v>
      </c>
      <c r="H92" s="3" t="s">
        <v>138</v>
      </c>
      <c r="I92" s="3" t="s">
        <v>33</v>
      </c>
      <c r="J92" s="3" t="s">
        <v>60</v>
      </c>
      <c r="K92" s="3" t="s">
        <v>713</v>
      </c>
      <c r="L92" s="1">
        <v>46051.412314814814</v>
      </c>
      <c r="M92" s="1">
        <v>46051.435520833336</v>
      </c>
      <c r="N92" s="1">
        <v>46054.458344907405</v>
      </c>
      <c r="O92" s="3" t="s">
        <v>137</v>
      </c>
      <c r="P92" s="3" t="s">
        <v>717</v>
      </c>
      <c r="Q92" s="3" t="s">
        <v>35</v>
      </c>
      <c r="R92" s="3" t="s">
        <v>716</v>
      </c>
      <c r="S92" s="3" t="s">
        <v>144</v>
      </c>
      <c r="T92" s="3" t="s">
        <v>143</v>
      </c>
      <c r="U92" s="4" t="b">
        <v>1</v>
      </c>
      <c r="V92" s="3" t="s">
        <v>31</v>
      </c>
      <c r="W92" s="1"/>
      <c r="Y92" s="3" t="s">
        <v>32</v>
      </c>
      <c r="Z92" s="3" t="s">
        <v>32</v>
      </c>
      <c r="AA92" s="3"/>
      <c r="AB92" s="3"/>
      <c r="AC92" s="4" t="s">
        <v>30</v>
      </c>
      <c r="AD92" s="3"/>
      <c r="AE92" s="3" t="s">
        <v>717</v>
      </c>
      <c r="AF92" s="4" t="s">
        <v>30</v>
      </c>
      <c r="AH92" s="4">
        <v>0</v>
      </c>
      <c r="AI92" s="3" t="s">
        <v>712</v>
      </c>
      <c r="AJ92" s="4" t="s">
        <v>715</v>
      </c>
      <c r="AK92" s="4"/>
      <c r="AL92" s="3"/>
    </row>
    <row r="93" spans="1:38" x14ac:dyDescent="0.35">
      <c r="A93" s="3" t="s">
        <v>723</v>
      </c>
      <c r="B93" s="4" t="s">
        <v>94</v>
      </c>
      <c r="C93" s="4">
        <f>VLOOKUP(A93, [1]Planilha1!$A$3:$B$1015,2,FALSE)</f>
        <v>21033</v>
      </c>
      <c r="D93" s="4">
        <f t="shared" si="1"/>
        <v>5.8425000000000002</v>
      </c>
      <c r="E93" s="4" t="s">
        <v>1125</v>
      </c>
      <c r="F93" s="3" t="s">
        <v>92</v>
      </c>
      <c r="G93" s="3" t="s">
        <v>724</v>
      </c>
      <c r="H93" s="3" t="s">
        <v>727</v>
      </c>
      <c r="I93" s="3" t="s">
        <v>33</v>
      </c>
      <c r="J93" s="3" t="s">
        <v>41</v>
      </c>
      <c r="L93" s="1">
        <v>46051.398287037038</v>
      </c>
      <c r="M93" s="1">
        <v>46051.398287037038</v>
      </c>
      <c r="N93" s="1">
        <v>46051.479432870372</v>
      </c>
      <c r="O93" s="3" t="s">
        <v>726</v>
      </c>
      <c r="P93" s="3" t="s">
        <v>94</v>
      </c>
      <c r="Q93" s="3" t="s">
        <v>42</v>
      </c>
      <c r="R93" s="3" t="s">
        <v>93</v>
      </c>
      <c r="S93" s="3" t="s">
        <v>37</v>
      </c>
      <c r="T93" s="3" t="s">
        <v>36</v>
      </c>
      <c r="U93" s="4" t="b">
        <v>1</v>
      </c>
      <c r="V93" s="3" t="s">
        <v>28</v>
      </c>
      <c r="W93" s="1"/>
      <c r="Y93" s="3" t="s">
        <v>29</v>
      </c>
      <c r="Z93" s="3" t="s">
        <v>29</v>
      </c>
      <c r="AA93" s="3"/>
      <c r="AB93" s="3"/>
      <c r="AC93" s="4" t="s">
        <v>30</v>
      </c>
      <c r="AD93" s="3"/>
      <c r="AE93" s="3" t="s">
        <v>94</v>
      </c>
      <c r="AF93" s="4" t="s">
        <v>30</v>
      </c>
      <c r="AH93" s="4">
        <v>0</v>
      </c>
      <c r="AI93" s="3" t="s">
        <v>725</v>
      </c>
      <c r="AJ93" s="4"/>
      <c r="AK93" s="4"/>
      <c r="AL93" s="3"/>
    </row>
    <row r="94" spans="1:38" x14ac:dyDescent="0.35">
      <c r="A94" s="3" t="s">
        <v>728</v>
      </c>
      <c r="B94" s="4" t="s">
        <v>734</v>
      </c>
      <c r="C94" s="4">
        <f>VLOOKUP(A94, [1]Planilha1!$A$3:$B$1015,2,FALSE)</f>
        <v>35158</v>
      </c>
      <c r="D94" s="4">
        <f t="shared" si="1"/>
        <v>9.7661111111111119</v>
      </c>
      <c r="E94" s="4" t="s">
        <v>1125</v>
      </c>
      <c r="F94" s="3" t="s">
        <v>731</v>
      </c>
      <c r="G94" s="3" t="s">
        <v>729</v>
      </c>
      <c r="H94" s="3" t="s">
        <v>224</v>
      </c>
      <c r="I94" s="3" t="s">
        <v>33</v>
      </c>
      <c r="J94" s="3" t="s">
        <v>41</v>
      </c>
      <c r="L94" s="1">
        <v>46051.393923611111</v>
      </c>
      <c r="M94" s="1">
        <v>46051.393923611111</v>
      </c>
      <c r="N94" s="1">
        <v>46051.597384259258</v>
      </c>
      <c r="O94" s="3" t="s">
        <v>223</v>
      </c>
      <c r="P94" s="3" t="s">
        <v>734</v>
      </c>
      <c r="Q94" s="3" t="s">
        <v>42</v>
      </c>
      <c r="R94" s="3" t="s">
        <v>733</v>
      </c>
      <c r="S94" s="3" t="s">
        <v>37</v>
      </c>
      <c r="T94" s="3" t="s">
        <v>36</v>
      </c>
      <c r="U94" s="4" t="b">
        <v>1</v>
      </c>
      <c r="V94" s="3" t="s">
        <v>28</v>
      </c>
      <c r="W94" s="1"/>
      <c r="Y94" s="3" t="s">
        <v>29</v>
      </c>
      <c r="Z94" s="3" t="s">
        <v>29</v>
      </c>
      <c r="AA94" s="3"/>
      <c r="AB94" s="3"/>
      <c r="AC94" s="4" t="s">
        <v>30</v>
      </c>
      <c r="AD94" s="3"/>
      <c r="AE94" s="3" t="s">
        <v>734</v>
      </c>
      <c r="AF94" s="4" t="s">
        <v>30</v>
      </c>
      <c r="AH94" s="4">
        <v>1</v>
      </c>
      <c r="AI94" s="3" t="s">
        <v>730</v>
      </c>
      <c r="AJ94" s="4" t="s">
        <v>732</v>
      </c>
      <c r="AK94" s="4"/>
      <c r="AL94" s="3"/>
    </row>
    <row r="95" spans="1:38" x14ac:dyDescent="0.35">
      <c r="A95" s="3" t="s">
        <v>735</v>
      </c>
      <c r="B95" s="4" t="s">
        <v>741</v>
      </c>
      <c r="C95" s="4">
        <f>VLOOKUP(A95, [1]Planilha1!$A$3:$B$1015,2,FALSE)</f>
        <v>0</v>
      </c>
      <c r="D95" s="4">
        <f t="shared" si="1"/>
        <v>0</v>
      </c>
      <c r="E95" s="4" t="s">
        <v>1125</v>
      </c>
      <c r="F95" s="3" t="s">
        <v>738</v>
      </c>
      <c r="G95" s="3" t="s">
        <v>134</v>
      </c>
      <c r="H95" s="3" t="s">
        <v>138</v>
      </c>
      <c r="I95" s="3" t="s">
        <v>33</v>
      </c>
      <c r="J95" s="3" t="s">
        <v>60</v>
      </c>
      <c r="K95" s="3" t="s">
        <v>737</v>
      </c>
      <c r="L95" s="1">
        <v>46051.380706018521</v>
      </c>
      <c r="M95" s="1">
        <v>46051.419849537036</v>
      </c>
      <c r="N95" s="1">
        <v>46054.458344907405</v>
      </c>
      <c r="O95" s="3" t="s">
        <v>137</v>
      </c>
      <c r="P95" s="3" t="s">
        <v>741</v>
      </c>
      <c r="Q95" s="3" t="s">
        <v>35</v>
      </c>
      <c r="R95" s="3" t="s">
        <v>740</v>
      </c>
      <c r="S95" s="3" t="s">
        <v>144</v>
      </c>
      <c r="T95" s="3" t="s">
        <v>143</v>
      </c>
      <c r="U95" s="4" t="b">
        <v>1</v>
      </c>
      <c r="V95" s="3" t="s">
        <v>31</v>
      </c>
      <c r="W95" s="1"/>
      <c r="Y95" s="3" t="s">
        <v>32</v>
      </c>
      <c r="Z95" s="3" t="s">
        <v>32</v>
      </c>
      <c r="AA95" s="3"/>
      <c r="AB95" s="3"/>
      <c r="AC95" s="4" t="s">
        <v>30</v>
      </c>
      <c r="AD95" s="3"/>
      <c r="AE95" s="3" t="s">
        <v>741</v>
      </c>
      <c r="AF95" s="4" t="s">
        <v>30</v>
      </c>
      <c r="AH95" s="4">
        <v>0</v>
      </c>
      <c r="AI95" s="3" t="s">
        <v>736</v>
      </c>
      <c r="AJ95" s="4" t="s">
        <v>739</v>
      </c>
      <c r="AK95" s="4"/>
      <c r="AL95" s="3"/>
    </row>
    <row r="96" spans="1:38" x14ac:dyDescent="0.35">
      <c r="A96" s="3" t="s">
        <v>742</v>
      </c>
      <c r="B96" s="4" t="s">
        <v>748</v>
      </c>
      <c r="C96" s="4">
        <f>VLOOKUP(A96, [1]Planilha1!$A$3:$B$1015,2,FALSE)</f>
        <v>1411290</v>
      </c>
      <c r="D96" s="4">
        <f t="shared" si="1"/>
        <v>392.02499999999998</v>
      </c>
      <c r="E96" s="4" t="s">
        <v>1125</v>
      </c>
      <c r="F96" s="3" t="s">
        <v>746</v>
      </c>
      <c r="G96" s="3" t="s">
        <v>743</v>
      </c>
      <c r="H96" s="3" t="s">
        <v>722</v>
      </c>
      <c r="I96" s="3" t="s">
        <v>65</v>
      </c>
      <c r="J96" s="3" t="s">
        <v>459</v>
      </c>
      <c r="L96" s="1">
        <v>46051.374027777776</v>
      </c>
      <c r="M96" s="1">
        <v>46051.374027777776</v>
      </c>
      <c r="N96" s="1"/>
      <c r="O96" s="3" t="s">
        <v>745</v>
      </c>
      <c r="P96" s="3" t="s">
        <v>748</v>
      </c>
      <c r="R96" s="3" t="s">
        <v>747</v>
      </c>
      <c r="S96" s="3" t="s">
        <v>37</v>
      </c>
      <c r="T96" s="3" t="s">
        <v>36</v>
      </c>
      <c r="U96" s="4" t="b">
        <v>1</v>
      </c>
      <c r="V96" s="3" t="s">
        <v>28</v>
      </c>
      <c r="W96" s="1"/>
      <c r="Y96" s="3" t="s">
        <v>29</v>
      </c>
      <c r="Z96" s="3" t="s">
        <v>29</v>
      </c>
      <c r="AA96" s="3"/>
      <c r="AB96" s="3"/>
      <c r="AC96" s="4" t="s">
        <v>30</v>
      </c>
      <c r="AD96" s="3"/>
      <c r="AE96" s="3" t="s">
        <v>748</v>
      </c>
      <c r="AF96" s="4" t="s">
        <v>30</v>
      </c>
      <c r="AH96" s="4">
        <v>0</v>
      </c>
      <c r="AI96" s="3" t="s">
        <v>744</v>
      </c>
      <c r="AJ96" s="4"/>
      <c r="AK96" s="4"/>
      <c r="AL96" s="3"/>
    </row>
    <row r="97" spans="1:38" x14ac:dyDescent="0.35">
      <c r="A97" s="3" t="s">
        <v>753</v>
      </c>
      <c r="B97" s="4" t="s">
        <v>759</v>
      </c>
      <c r="C97" s="4">
        <f>VLOOKUP(A97, [1]Planilha1!$A$3:$B$1015,2,FALSE)</f>
        <v>38210</v>
      </c>
      <c r="D97" s="4">
        <f t="shared" si="1"/>
        <v>10.613888888888889</v>
      </c>
      <c r="E97" s="4" t="s">
        <v>1125</v>
      </c>
      <c r="F97" s="3" t="s">
        <v>756</v>
      </c>
      <c r="G97" s="3" t="s">
        <v>754</v>
      </c>
      <c r="H97" s="3" t="s">
        <v>44</v>
      </c>
      <c r="I97" s="3" t="s">
        <v>33</v>
      </c>
      <c r="J97" s="3" t="s">
        <v>41</v>
      </c>
      <c r="L97" s="1">
        <v>46051.353854166664</v>
      </c>
      <c r="M97" s="1">
        <v>46051.355798611112</v>
      </c>
      <c r="N97" s="1">
        <v>46051.596122685187</v>
      </c>
      <c r="O97" s="3" t="s">
        <v>43</v>
      </c>
      <c r="P97" s="3" t="s">
        <v>759</v>
      </c>
      <c r="Q97" s="3" t="s">
        <v>42</v>
      </c>
      <c r="R97" s="3" t="s">
        <v>758</v>
      </c>
      <c r="S97" s="3" t="s">
        <v>80</v>
      </c>
      <c r="T97" s="3" t="s">
        <v>79</v>
      </c>
      <c r="U97" s="4" t="b">
        <v>1</v>
      </c>
      <c r="V97" s="3" t="s">
        <v>31</v>
      </c>
      <c r="W97" s="1"/>
      <c r="Y97" s="3" t="s">
        <v>32</v>
      </c>
      <c r="Z97" s="3" t="s">
        <v>32</v>
      </c>
      <c r="AA97" s="3"/>
      <c r="AB97" s="3"/>
      <c r="AC97" s="4" t="s">
        <v>30</v>
      </c>
      <c r="AD97" s="3"/>
      <c r="AE97" s="3" t="s">
        <v>759</v>
      </c>
      <c r="AF97" s="4" t="s">
        <v>30</v>
      </c>
      <c r="AH97" s="4">
        <v>3</v>
      </c>
      <c r="AI97" s="3" t="s">
        <v>755</v>
      </c>
      <c r="AJ97" s="4" t="s">
        <v>757</v>
      </c>
      <c r="AK97" s="4"/>
      <c r="AL97" s="3"/>
    </row>
    <row r="98" spans="1:38" x14ac:dyDescent="0.35">
      <c r="A98" s="3" t="s">
        <v>760</v>
      </c>
      <c r="B98" s="4" t="s">
        <v>766</v>
      </c>
      <c r="C98" s="4">
        <f>VLOOKUP(A98, [1]Planilha1!$A$3:$B$1015,2,FALSE)</f>
        <v>17690</v>
      </c>
      <c r="D98" s="4">
        <f t="shared" si="1"/>
        <v>4.9138888888888888</v>
      </c>
      <c r="E98" s="4" t="s">
        <v>1125</v>
      </c>
      <c r="F98" s="3" t="s">
        <v>763</v>
      </c>
      <c r="G98" s="3" t="s">
        <v>214</v>
      </c>
      <c r="H98" s="3" t="s">
        <v>44</v>
      </c>
      <c r="I98" s="3" t="s">
        <v>33</v>
      </c>
      <c r="J98" s="3" t="s">
        <v>41</v>
      </c>
      <c r="K98" s="3" t="s">
        <v>762</v>
      </c>
      <c r="L98" s="1">
        <v>46051.351076388892</v>
      </c>
      <c r="M98" s="1">
        <v>46051.363067129627</v>
      </c>
      <c r="N98" s="1">
        <v>46051.477372685185</v>
      </c>
      <c r="O98" s="3" t="s">
        <v>43</v>
      </c>
      <c r="P98" s="3" t="s">
        <v>766</v>
      </c>
      <c r="Q98" s="3" t="s">
        <v>42</v>
      </c>
      <c r="R98" s="3" t="s">
        <v>765</v>
      </c>
      <c r="S98" s="3" t="s">
        <v>144</v>
      </c>
      <c r="T98" s="3" t="s">
        <v>143</v>
      </c>
      <c r="U98" s="4" t="b">
        <v>1</v>
      </c>
      <c r="V98" s="3" t="s">
        <v>31</v>
      </c>
      <c r="W98" s="1"/>
      <c r="Y98" s="3" t="s">
        <v>32</v>
      </c>
      <c r="Z98" s="3" t="s">
        <v>32</v>
      </c>
      <c r="AA98" s="3"/>
      <c r="AB98" s="3"/>
      <c r="AC98" s="4" t="s">
        <v>30</v>
      </c>
      <c r="AD98" s="3"/>
      <c r="AE98" s="3" t="s">
        <v>766</v>
      </c>
      <c r="AF98" s="4" t="s">
        <v>30</v>
      </c>
      <c r="AH98" s="4">
        <v>1</v>
      </c>
      <c r="AI98" s="3" t="s">
        <v>761</v>
      </c>
      <c r="AJ98" s="4" t="s">
        <v>764</v>
      </c>
      <c r="AK98" s="4"/>
      <c r="AL98" s="3"/>
    </row>
    <row r="99" spans="1:38" x14ac:dyDescent="0.35">
      <c r="A99" s="3" t="s">
        <v>767</v>
      </c>
      <c r="B99" s="4" t="s">
        <v>773</v>
      </c>
      <c r="C99" s="4">
        <f>VLOOKUP(A99, [1]Planilha1!$A$3:$B$1015,2,FALSE)</f>
        <v>0</v>
      </c>
      <c r="D99" s="4">
        <f t="shared" si="1"/>
        <v>0</v>
      </c>
      <c r="E99" s="4" t="s">
        <v>1125</v>
      </c>
      <c r="F99" s="3" t="s">
        <v>770</v>
      </c>
      <c r="G99" s="3" t="s">
        <v>214</v>
      </c>
      <c r="H99" s="3" t="s">
        <v>44</v>
      </c>
      <c r="I99" s="3" t="s">
        <v>33</v>
      </c>
      <c r="J99" s="3" t="s">
        <v>60</v>
      </c>
      <c r="K99" s="3" t="s">
        <v>769</v>
      </c>
      <c r="L99" s="1">
        <v>46051.339791666665</v>
      </c>
      <c r="M99" s="1">
        <v>46051.365532407406</v>
      </c>
      <c r="N99" s="1">
        <v>46054.375</v>
      </c>
      <c r="O99" s="3" t="s">
        <v>43</v>
      </c>
      <c r="P99" s="3" t="s">
        <v>773</v>
      </c>
      <c r="Q99" s="3" t="s">
        <v>35</v>
      </c>
      <c r="R99" s="3" t="s">
        <v>772</v>
      </c>
      <c r="S99" s="3" t="s">
        <v>144</v>
      </c>
      <c r="T99" s="3" t="s">
        <v>143</v>
      </c>
      <c r="U99" s="4" t="b">
        <v>1</v>
      </c>
      <c r="V99" s="3" t="s">
        <v>31</v>
      </c>
      <c r="W99" s="1"/>
      <c r="Y99" s="3" t="s">
        <v>32</v>
      </c>
      <c r="Z99" s="3" t="s">
        <v>32</v>
      </c>
      <c r="AA99" s="3"/>
      <c r="AB99" s="3"/>
      <c r="AC99" s="4" t="s">
        <v>30</v>
      </c>
      <c r="AD99" s="3"/>
      <c r="AE99" s="3" t="s">
        <v>773</v>
      </c>
      <c r="AF99" s="4" t="s">
        <v>30</v>
      </c>
      <c r="AH99" s="4">
        <v>0</v>
      </c>
      <c r="AI99" s="3" t="s">
        <v>768</v>
      </c>
      <c r="AJ99" s="4" t="s">
        <v>771</v>
      </c>
      <c r="AK99" s="4"/>
      <c r="AL99" s="3"/>
    </row>
    <row r="100" spans="1:38" x14ac:dyDescent="0.35">
      <c r="A100" s="3" t="s">
        <v>774</v>
      </c>
      <c r="B100" s="4" t="s">
        <v>780</v>
      </c>
      <c r="C100" s="4">
        <f>VLOOKUP(A100, [1]Planilha1!$A$3:$B$1015,2,FALSE)</f>
        <v>532</v>
      </c>
      <c r="D100" s="4">
        <f t="shared" si="1"/>
        <v>0.14777777777777779</v>
      </c>
      <c r="E100" s="4" t="s">
        <v>1125</v>
      </c>
      <c r="F100" s="3" t="s">
        <v>777</v>
      </c>
      <c r="G100" s="3" t="s">
        <v>775</v>
      </c>
      <c r="H100" s="3" t="s">
        <v>44</v>
      </c>
      <c r="I100" s="3" t="s">
        <v>33</v>
      </c>
      <c r="J100" s="3" t="s">
        <v>60</v>
      </c>
      <c r="L100" s="1">
        <v>46051.337442129632</v>
      </c>
      <c r="M100" s="1">
        <v>46051.337442129632</v>
      </c>
      <c r="N100" s="1">
        <v>46054.375</v>
      </c>
      <c r="O100" s="3" t="s">
        <v>43</v>
      </c>
      <c r="P100" s="3" t="s">
        <v>780</v>
      </c>
      <c r="Q100" s="3" t="s">
        <v>42</v>
      </c>
      <c r="R100" s="3" t="s">
        <v>779</v>
      </c>
      <c r="S100" s="3" t="s">
        <v>37</v>
      </c>
      <c r="T100" s="3" t="s">
        <v>36</v>
      </c>
      <c r="U100" s="4" t="b">
        <v>1</v>
      </c>
      <c r="V100" s="3" t="s">
        <v>28</v>
      </c>
      <c r="W100" s="1"/>
      <c r="Y100" s="3" t="s">
        <v>29</v>
      </c>
      <c r="Z100" s="3" t="s">
        <v>29</v>
      </c>
      <c r="AA100" s="3"/>
      <c r="AB100" s="3"/>
      <c r="AC100" s="4" t="s">
        <v>30</v>
      </c>
      <c r="AD100" s="3"/>
      <c r="AE100" s="3" t="s">
        <v>780</v>
      </c>
      <c r="AF100" s="4" t="s">
        <v>30</v>
      </c>
      <c r="AH100" s="4">
        <v>0</v>
      </c>
      <c r="AI100" s="3" t="s">
        <v>776</v>
      </c>
      <c r="AJ100" s="4" t="s">
        <v>778</v>
      </c>
      <c r="AK100" s="4"/>
      <c r="AL100" s="3"/>
    </row>
    <row r="101" spans="1:38" x14ac:dyDescent="0.35">
      <c r="A101" s="3" t="s">
        <v>781</v>
      </c>
      <c r="B101" s="4" t="s">
        <v>785</v>
      </c>
      <c r="C101" s="4">
        <f>VLOOKUP(A101, [1]Planilha1!$A$3:$B$1015,2,FALSE)</f>
        <v>22184</v>
      </c>
      <c r="D101" s="4">
        <f t="shared" si="1"/>
        <v>6.1622222222222218</v>
      </c>
      <c r="E101" s="4" t="s">
        <v>1125</v>
      </c>
      <c r="F101" s="3" t="s">
        <v>783</v>
      </c>
      <c r="G101" s="3" t="s">
        <v>100</v>
      </c>
      <c r="H101" s="3" t="s">
        <v>44</v>
      </c>
      <c r="I101" s="3" t="s">
        <v>33</v>
      </c>
      <c r="J101" s="3" t="s">
        <v>41</v>
      </c>
      <c r="L101" s="1">
        <v>46051.320543981485</v>
      </c>
      <c r="M101" s="1">
        <v>46051.39980324074</v>
      </c>
      <c r="N101" s="1">
        <v>46051.528182870374</v>
      </c>
      <c r="O101" s="3" t="s">
        <v>43</v>
      </c>
      <c r="P101" s="3" t="s">
        <v>785</v>
      </c>
      <c r="Q101" s="3" t="s">
        <v>42</v>
      </c>
      <c r="R101" s="3" t="s">
        <v>784</v>
      </c>
      <c r="S101" s="3" t="s">
        <v>190</v>
      </c>
      <c r="T101" s="3" t="s">
        <v>189</v>
      </c>
      <c r="U101" s="4" t="b">
        <v>1</v>
      </c>
      <c r="V101" s="3" t="s">
        <v>31</v>
      </c>
      <c r="W101" s="1"/>
      <c r="Y101" s="3" t="s">
        <v>32</v>
      </c>
      <c r="Z101" s="3" t="s">
        <v>32</v>
      </c>
      <c r="AA101" s="3"/>
      <c r="AB101" s="3"/>
      <c r="AC101" s="4" t="s">
        <v>30</v>
      </c>
      <c r="AD101" s="3"/>
      <c r="AE101" s="3" t="s">
        <v>785</v>
      </c>
      <c r="AF101" s="4" t="s">
        <v>30</v>
      </c>
      <c r="AH101" s="4">
        <v>1</v>
      </c>
      <c r="AI101" s="3" t="s">
        <v>782</v>
      </c>
      <c r="AJ101" s="4"/>
      <c r="AK101" s="4"/>
      <c r="AL101" s="3"/>
    </row>
    <row r="102" spans="1:38" x14ac:dyDescent="0.35">
      <c r="A102" s="3" t="s">
        <v>791</v>
      </c>
      <c r="B102" s="4" t="s">
        <v>798</v>
      </c>
      <c r="C102" s="4">
        <f>VLOOKUP(A102, [1]Planilha1!$A$3:$B$1015,2,FALSE)</f>
        <v>0</v>
      </c>
      <c r="D102" s="4">
        <f t="shared" si="1"/>
        <v>0</v>
      </c>
      <c r="E102" s="4" t="s">
        <v>1125</v>
      </c>
      <c r="F102" s="3" t="s">
        <v>795</v>
      </c>
      <c r="G102" s="3" t="s">
        <v>792</v>
      </c>
      <c r="H102" s="3" t="s">
        <v>126</v>
      </c>
      <c r="I102" s="3" t="s">
        <v>33</v>
      </c>
      <c r="J102" s="3" t="s">
        <v>60</v>
      </c>
      <c r="K102" s="3" t="s">
        <v>794</v>
      </c>
      <c r="L102" s="1">
        <v>46050.708333333336</v>
      </c>
      <c r="M102" s="1">
        <v>46050.714699074073</v>
      </c>
      <c r="N102" s="1">
        <v>46053.75</v>
      </c>
      <c r="O102" s="3" t="s">
        <v>125</v>
      </c>
      <c r="P102" s="3" t="s">
        <v>798</v>
      </c>
      <c r="Q102" s="3" t="s">
        <v>42</v>
      </c>
      <c r="R102" s="3" t="s">
        <v>797</v>
      </c>
      <c r="S102" s="3" t="s">
        <v>120</v>
      </c>
      <c r="T102" s="3" t="s">
        <v>119</v>
      </c>
      <c r="U102" s="4" t="b">
        <v>1</v>
      </c>
      <c r="V102" s="3" t="s">
        <v>31</v>
      </c>
      <c r="W102" s="1"/>
      <c r="Y102" s="3" t="s">
        <v>32</v>
      </c>
      <c r="Z102" s="3" t="s">
        <v>32</v>
      </c>
      <c r="AA102" s="3"/>
      <c r="AB102" s="3"/>
      <c r="AC102" s="4" t="s">
        <v>30</v>
      </c>
      <c r="AD102" s="3"/>
      <c r="AE102" s="3" t="s">
        <v>798</v>
      </c>
      <c r="AF102" s="4" t="s">
        <v>30</v>
      </c>
      <c r="AH102" s="4">
        <v>0</v>
      </c>
      <c r="AI102" s="3" t="s">
        <v>793</v>
      </c>
      <c r="AJ102" s="4" t="s">
        <v>796</v>
      </c>
      <c r="AK102" s="4"/>
      <c r="AL102" s="3"/>
    </row>
    <row r="103" spans="1:38" x14ac:dyDescent="0.35">
      <c r="A103" s="3" t="s">
        <v>799</v>
      </c>
      <c r="B103" s="4" t="s">
        <v>805</v>
      </c>
      <c r="C103" s="4">
        <f>VLOOKUP(A103, [1]Planilha1!$A$3:$B$1015,2,FALSE)</f>
        <v>9474</v>
      </c>
      <c r="D103" s="4">
        <f t="shared" si="1"/>
        <v>2.6316666666666668</v>
      </c>
      <c r="E103" s="4" t="s">
        <v>1125</v>
      </c>
      <c r="F103" s="3" t="s">
        <v>802</v>
      </c>
      <c r="G103" s="3" t="s">
        <v>800</v>
      </c>
      <c r="H103" s="3" t="s">
        <v>44</v>
      </c>
      <c r="I103" s="3" t="s">
        <v>33</v>
      </c>
      <c r="J103" s="3" t="s">
        <v>34</v>
      </c>
      <c r="L103" s="1">
        <v>46050.689976851849</v>
      </c>
      <c r="M103" s="1">
        <v>46050.695173611108</v>
      </c>
      <c r="N103" s="1">
        <v>46054.375</v>
      </c>
      <c r="O103" s="3" t="s">
        <v>43</v>
      </c>
      <c r="P103" s="3" t="s">
        <v>805</v>
      </c>
      <c r="Q103" s="3" t="s">
        <v>35</v>
      </c>
      <c r="R103" s="3" t="s">
        <v>804</v>
      </c>
      <c r="S103" s="3" t="s">
        <v>80</v>
      </c>
      <c r="T103" s="3" t="s">
        <v>79</v>
      </c>
      <c r="U103" s="4" t="b">
        <v>0</v>
      </c>
      <c r="V103" s="3" t="s">
        <v>31</v>
      </c>
      <c r="W103" s="1"/>
      <c r="Y103" s="3" t="s">
        <v>32</v>
      </c>
      <c r="Z103" s="3" t="s">
        <v>32</v>
      </c>
      <c r="AA103" s="3"/>
      <c r="AB103" s="3"/>
      <c r="AC103" s="4" t="s">
        <v>30</v>
      </c>
      <c r="AD103" s="3"/>
      <c r="AE103" s="3" t="s">
        <v>805</v>
      </c>
      <c r="AF103" s="4" t="s">
        <v>30</v>
      </c>
      <c r="AH103" s="4">
        <v>1</v>
      </c>
      <c r="AI103" s="3" t="s">
        <v>801</v>
      </c>
      <c r="AJ103" s="4" t="s">
        <v>803</v>
      </c>
      <c r="AK103" s="4"/>
      <c r="AL103" s="3"/>
    </row>
    <row r="104" spans="1:38" x14ac:dyDescent="0.35">
      <c r="A104" s="3" t="s">
        <v>807</v>
      </c>
      <c r="B104" s="4" t="s">
        <v>285</v>
      </c>
      <c r="C104" s="4">
        <f>VLOOKUP(A104, [1]Planilha1!$A$3:$B$1015,2,FALSE)</f>
        <v>19473</v>
      </c>
      <c r="D104" s="4">
        <f t="shared" si="1"/>
        <v>5.4091666666666667</v>
      </c>
      <c r="E104" s="4" t="s">
        <v>1125</v>
      </c>
      <c r="F104" s="3" t="s">
        <v>283</v>
      </c>
      <c r="G104" s="3" t="s">
        <v>100</v>
      </c>
      <c r="H104" s="3" t="s">
        <v>44</v>
      </c>
      <c r="I104" s="3" t="s">
        <v>33</v>
      </c>
      <c r="J104" s="3" t="s">
        <v>41</v>
      </c>
      <c r="K104" s="3" t="s">
        <v>809</v>
      </c>
      <c r="L104" s="1">
        <v>46050.687974537039</v>
      </c>
      <c r="M104" s="1">
        <v>46050.691793981481</v>
      </c>
      <c r="N104" s="1">
        <v>46051.3356712963</v>
      </c>
      <c r="O104" s="3" t="s">
        <v>43</v>
      </c>
      <c r="P104" s="3" t="s">
        <v>285</v>
      </c>
      <c r="Q104" s="3" t="s">
        <v>42</v>
      </c>
      <c r="R104" s="3" t="s">
        <v>284</v>
      </c>
      <c r="S104" s="3" t="s">
        <v>98</v>
      </c>
      <c r="T104" s="3" t="s">
        <v>97</v>
      </c>
      <c r="U104" s="4" t="b">
        <v>1</v>
      </c>
      <c r="V104" s="3" t="s">
        <v>31</v>
      </c>
      <c r="W104" s="1"/>
      <c r="Y104" s="3" t="s">
        <v>32</v>
      </c>
      <c r="Z104" s="3" t="s">
        <v>32</v>
      </c>
      <c r="AA104" s="3"/>
      <c r="AB104" s="3"/>
      <c r="AC104" s="4" t="s">
        <v>30</v>
      </c>
      <c r="AD104" s="3"/>
      <c r="AE104" s="3" t="s">
        <v>285</v>
      </c>
      <c r="AF104" s="4" t="s">
        <v>30</v>
      </c>
      <c r="AH104" s="4">
        <v>1</v>
      </c>
      <c r="AI104" s="3" t="s">
        <v>808</v>
      </c>
      <c r="AJ104" s="4"/>
      <c r="AK104" s="4"/>
      <c r="AL104" s="3"/>
    </row>
    <row r="105" spans="1:38" x14ac:dyDescent="0.35">
      <c r="A105" s="3" t="s">
        <v>810</v>
      </c>
      <c r="B105" s="4" t="s">
        <v>285</v>
      </c>
      <c r="C105" s="4">
        <f>VLOOKUP(A105, [1]Planilha1!$A$3:$B$1015,2,FALSE)</f>
        <v>10372</v>
      </c>
      <c r="D105" s="4">
        <f t="shared" si="1"/>
        <v>2.8811111111111112</v>
      </c>
      <c r="E105" s="4" t="s">
        <v>1125</v>
      </c>
      <c r="F105" s="3" t="s">
        <v>812</v>
      </c>
      <c r="G105" s="3" t="s">
        <v>100</v>
      </c>
      <c r="H105" s="3" t="s">
        <v>44</v>
      </c>
      <c r="I105" s="3" t="s">
        <v>33</v>
      </c>
      <c r="J105" s="3" t="s">
        <v>41</v>
      </c>
      <c r="K105" s="3" t="s">
        <v>809</v>
      </c>
      <c r="L105" s="1">
        <v>46050.684421296297</v>
      </c>
      <c r="M105" s="1">
        <v>46050.689976851849</v>
      </c>
      <c r="N105" s="1">
        <v>46051.334837962961</v>
      </c>
      <c r="O105" s="3" t="s">
        <v>43</v>
      </c>
      <c r="P105" s="3" t="s">
        <v>285</v>
      </c>
      <c r="Q105" s="3" t="s">
        <v>42</v>
      </c>
      <c r="R105" s="3" t="s">
        <v>814</v>
      </c>
      <c r="S105" s="3" t="s">
        <v>98</v>
      </c>
      <c r="T105" s="3" t="s">
        <v>97</v>
      </c>
      <c r="U105" s="4" t="b">
        <v>1</v>
      </c>
      <c r="V105" s="3" t="s">
        <v>31</v>
      </c>
      <c r="W105" s="1"/>
      <c r="Y105" s="3" t="s">
        <v>32</v>
      </c>
      <c r="Z105" s="3" t="s">
        <v>32</v>
      </c>
      <c r="AA105" s="3"/>
      <c r="AB105" s="3"/>
      <c r="AC105" s="4" t="s">
        <v>30</v>
      </c>
      <c r="AD105" s="3"/>
      <c r="AE105" s="3" t="s">
        <v>285</v>
      </c>
      <c r="AF105" s="4" t="s">
        <v>30</v>
      </c>
      <c r="AH105" s="4">
        <v>1</v>
      </c>
      <c r="AI105" s="3" t="s">
        <v>811</v>
      </c>
      <c r="AJ105" s="4" t="s">
        <v>813</v>
      </c>
      <c r="AK105" s="4"/>
      <c r="AL105" s="3"/>
    </row>
    <row r="106" spans="1:38" x14ac:dyDescent="0.35">
      <c r="A106" s="3" t="s">
        <v>815</v>
      </c>
      <c r="B106" s="4" t="s">
        <v>822</v>
      </c>
      <c r="C106" s="4">
        <f>VLOOKUP(A106, [1]Planilha1!$A$3:$B$1015,2,FALSE)</f>
        <v>6608</v>
      </c>
      <c r="D106" s="4">
        <f t="shared" si="1"/>
        <v>1.8355555555555556</v>
      </c>
      <c r="E106" s="4" t="s">
        <v>1125</v>
      </c>
      <c r="F106" s="3" t="s">
        <v>819</v>
      </c>
      <c r="G106" s="3" t="s">
        <v>816</v>
      </c>
      <c r="H106" s="3" t="s">
        <v>44</v>
      </c>
      <c r="I106" s="3" t="s">
        <v>33</v>
      </c>
      <c r="J106" s="3" t="s">
        <v>41</v>
      </c>
      <c r="K106" s="3" t="s">
        <v>818</v>
      </c>
      <c r="L106" s="1">
        <v>46050.683125000003</v>
      </c>
      <c r="M106" s="1">
        <v>46050.685416666667</v>
      </c>
      <c r="N106" s="1">
        <v>46053.75</v>
      </c>
      <c r="O106" s="3" t="s">
        <v>43</v>
      </c>
      <c r="P106" s="3" t="s">
        <v>822</v>
      </c>
      <c r="Q106" s="3" t="s">
        <v>35</v>
      </c>
      <c r="R106" s="3" t="s">
        <v>821</v>
      </c>
      <c r="S106" s="3" t="s">
        <v>62</v>
      </c>
      <c r="T106" s="3" t="s">
        <v>61</v>
      </c>
      <c r="U106" s="4" t="b">
        <v>1</v>
      </c>
      <c r="V106" s="3" t="s">
        <v>31</v>
      </c>
      <c r="W106" s="1"/>
      <c r="Y106" s="3" t="s">
        <v>32</v>
      </c>
      <c r="Z106" s="3" t="s">
        <v>32</v>
      </c>
      <c r="AA106" s="3"/>
      <c r="AB106" s="3"/>
      <c r="AC106" s="4" t="s">
        <v>30</v>
      </c>
      <c r="AD106" s="3"/>
      <c r="AE106" s="3" t="s">
        <v>822</v>
      </c>
      <c r="AF106" s="4" t="s">
        <v>30</v>
      </c>
      <c r="AH106" s="4">
        <v>1</v>
      </c>
      <c r="AI106" s="3" t="s">
        <v>817</v>
      </c>
      <c r="AJ106" s="4" t="s">
        <v>820</v>
      </c>
      <c r="AK106" s="4"/>
      <c r="AL106" s="3"/>
    </row>
    <row r="107" spans="1:38" x14ac:dyDescent="0.35">
      <c r="A107" s="3" t="s">
        <v>823</v>
      </c>
      <c r="B107" s="4" t="s">
        <v>829</v>
      </c>
      <c r="C107" s="4">
        <f>VLOOKUP(A107, [1]Planilha1!$A$3:$B$1015,2,FALSE)</f>
        <v>0</v>
      </c>
      <c r="D107" s="4">
        <f t="shared" si="1"/>
        <v>0</v>
      </c>
      <c r="E107" s="4" t="s">
        <v>1125</v>
      </c>
      <c r="F107" s="3" t="s">
        <v>826</v>
      </c>
      <c r="G107" s="3" t="s">
        <v>824</v>
      </c>
      <c r="H107" s="3" t="s">
        <v>44</v>
      </c>
      <c r="I107" s="3" t="s">
        <v>33</v>
      </c>
      <c r="J107" s="3" t="s">
        <v>60</v>
      </c>
      <c r="K107" s="3" t="s">
        <v>806</v>
      </c>
      <c r="L107" s="1">
        <v>46050.682430555556</v>
      </c>
      <c r="M107" s="1">
        <v>46050.707777777781</v>
      </c>
      <c r="N107" s="1">
        <v>46053.708333333336</v>
      </c>
      <c r="O107" s="3" t="s">
        <v>43</v>
      </c>
      <c r="P107" s="3" t="s">
        <v>829</v>
      </c>
      <c r="Q107" s="3" t="s">
        <v>42</v>
      </c>
      <c r="R107" s="3" t="s">
        <v>828</v>
      </c>
      <c r="S107" s="3" t="s">
        <v>120</v>
      </c>
      <c r="T107" s="3" t="s">
        <v>119</v>
      </c>
      <c r="U107" s="4" t="b">
        <v>1</v>
      </c>
      <c r="V107" s="3" t="s">
        <v>31</v>
      </c>
      <c r="W107" s="1"/>
      <c r="Y107" s="3" t="s">
        <v>32</v>
      </c>
      <c r="Z107" s="3" t="s">
        <v>32</v>
      </c>
      <c r="AA107" s="3"/>
      <c r="AB107" s="3"/>
      <c r="AC107" s="4" t="s">
        <v>30</v>
      </c>
      <c r="AD107" s="3"/>
      <c r="AE107" s="3" t="s">
        <v>829</v>
      </c>
      <c r="AF107" s="4" t="s">
        <v>30</v>
      </c>
      <c r="AH107" s="4">
        <v>0</v>
      </c>
      <c r="AI107" s="3" t="s">
        <v>825</v>
      </c>
      <c r="AJ107" s="4" t="s">
        <v>827</v>
      </c>
      <c r="AK107" s="4"/>
      <c r="AL107" s="3"/>
    </row>
    <row r="108" spans="1:38" x14ac:dyDescent="0.35">
      <c r="A108" s="3" t="s">
        <v>830</v>
      </c>
      <c r="B108" s="4" t="s">
        <v>58</v>
      </c>
      <c r="C108" s="4">
        <f>VLOOKUP(A108, [1]Planilha1!$A$3:$B$1015,2,FALSE)</f>
        <v>229869</v>
      </c>
      <c r="D108" s="4">
        <f t="shared" si="1"/>
        <v>63.852499999999999</v>
      </c>
      <c r="E108" s="4" t="s">
        <v>1125</v>
      </c>
      <c r="F108" s="3" t="s">
        <v>54</v>
      </c>
      <c r="G108" s="3" t="s">
        <v>831</v>
      </c>
      <c r="H108" s="3" t="s">
        <v>455</v>
      </c>
      <c r="I108" s="3" t="s">
        <v>1039</v>
      </c>
      <c r="J108" s="3" t="s">
        <v>152</v>
      </c>
      <c r="L108" s="1">
        <v>46050.678113425929</v>
      </c>
      <c r="M108" s="1">
        <v>46050.680856481478</v>
      </c>
      <c r="N108" s="1"/>
      <c r="O108" s="3" t="s">
        <v>833</v>
      </c>
      <c r="P108" s="3" t="s">
        <v>57</v>
      </c>
      <c r="R108" s="3" t="s">
        <v>56</v>
      </c>
      <c r="S108" s="3" t="s">
        <v>158</v>
      </c>
      <c r="T108" s="3" t="s">
        <v>157</v>
      </c>
      <c r="U108" s="4" t="b">
        <v>0</v>
      </c>
      <c r="V108" s="3" t="s">
        <v>28</v>
      </c>
      <c r="W108" s="1"/>
      <c r="Y108" s="3" t="s">
        <v>29</v>
      </c>
      <c r="Z108" s="3" t="s">
        <v>29</v>
      </c>
      <c r="AA108" s="3" t="s">
        <v>196</v>
      </c>
      <c r="AB108" s="3" t="s">
        <v>58</v>
      </c>
      <c r="AC108" s="4" t="s">
        <v>30</v>
      </c>
      <c r="AD108" s="3" t="s">
        <v>59</v>
      </c>
      <c r="AE108" s="3" t="s">
        <v>57</v>
      </c>
      <c r="AF108" s="4" t="s">
        <v>30</v>
      </c>
      <c r="AH108" s="4">
        <v>2</v>
      </c>
      <c r="AI108" s="3" t="s">
        <v>832</v>
      </c>
      <c r="AJ108" s="4" t="s">
        <v>55</v>
      </c>
      <c r="AK108" s="4" t="s">
        <v>197</v>
      </c>
      <c r="AL108" s="3"/>
    </row>
    <row r="109" spans="1:38" x14ac:dyDescent="0.35">
      <c r="A109" s="3" t="s">
        <v>837</v>
      </c>
      <c r="B109" s="4" t="s">
        <v>843</v>
      </c>
      <c r="C109" s="4">
        <f>VLOOKUP(A109, [1]Planilha1!$A$3:$B$1015,2,FALSE)</f>
        <v>0</v>
      </c>
      <c r="D109" s="4">
        <f t="shared" si="1"/>
        <v>0</v>
      </c>
      <c r="E109" s="4" t="s">
        <v>1125</v>
      </c>
      <c r="F109" s="3" t="s">
        <v>840</v>
      </c>
      <c r="G109" s="3" t="s">
        <v>134</v>
      </c>
      <c r="H109" s="3" t="s">
        <v>138</v>
      </c>
      <c r="I109" s="3" t="s">
        <v>33</v>
      </c>
      <c r="J109" s="3" t="s">
        <v>60</v>
      </c>
      <c r="K109" s="3" t="s">
        <v>839</v>
      </c>
      <c r="L109" s="1">
        <v>46050.661666666667</v>
      </c>
      <c r="M109" s="1">
        <v>46050.668229166666</v>
      </c>
      <c r="N109" s="1">
        <v>46053.708333333336</v>
      </c>
      <c r="O109" s="3" t="s">
        <v>137</v>
      </c>
      <c r="P109" s="3" t="s">
        <v>843</v>
      </c>
      <c r="Q109" s="3" t="s">
        <v>35</v>
      </c>
      <c r="R109" s="3" t="s">
        <v>842</v>
      </c>
      <c r="S109" s="3" t="s">
        <v>144</v>
      </c>
      <c r="T109" s="3" t="s">
        <v>143</v>
      </c>
      <c r="U109" s="4" t="b">
        <v>1</v>
      </c>
      <c r="V109" s="3" t="s">
        <v>31</v>
      </c>
      <c r="W109" s="1"/>
      <c r="Y109" s="3" t="s">
        <v>32</v>
      </c>
      <c r="Z109" s="3" t="s">
        <v>32</v>
      </c>
      <c r="AA109" s="3"/>
      <c r="AB109" s="3"/>
      <c r="AC109" s="4" t="s">
        <v>30</v>
      </c>
      <c r="AD109" s="3"/>
      <c r="AE109" s="3" t="s">
        <v>843</v>
      </c>
      <c r="AF109" s="4" t="s">
        <v>30</v>
      </c>
      <c r="AH109" s="4">
        <v>0</v>
      </c>
      <c r="AI109" s="3" t="s">
        <v>838</v>
      </c>
      <c r="AJ109" s="4" t="s">
        <v>841</v>
      </c>
      <c r="AK109" s="4"/>
      <c r="AL109" s="3"/>
    </row>
    <row r="110" spans="1:38" x14ac:dyDescent="0.35">
      <c r="A110" s="3" t="s">
        <v>844</v>
      </c>
      <c r="B110" s="4" t="s">
        <v>850</v>
      </c>
      <c r="C110" s="4">
        <f>VLOOKUP(A110, [1]Planilha1!$A$3:$B$1015,2,FALSE)</f>
        <v>1194</v>
      </c>
      <c r="D110" s="4">
        <f t="shared" si="1"/>
        <v>0.33166666666666667</v>
      </c>
      <c r="E110" s="4" t="s">
        <v>1125</v>
      </c>
      <c r="F110" s="3" t="s">
        <v>847</v>
      </c>
      <c r="G110" s="3" t="s">
        <v>845</v>
      </c>
      <c r="H110" s="3" t="s">
        <v>44</v>
      </c>
      <c r="I110" s="3" t="s">
        <v>33</v>
      </c>
      <c r="J110" s="3" t="s">
        <v>60</v>
      </c>
      <c r="L110" s="1">
        <v>46050.65525462963</v>
      </c>
      <c r="M110" s="1">
        <v>46050.65525462963</v>
      </c>
      <c r="N110" s="1">
        <v>46053.666666666664</v>
      </c>
      <c r="O110" s="3" t="s">
        <v>43</v>
      </c>
      <c r="P110" s="3" t="s">
        <v>850</v>
      </c>
      <c r="Q110" s="3" t="s">
        <v>42</v>
      </c>
      <c r="R110" s="3" t="s">
        <v>849</v>
      </c>
      <c r="S110" s="3" t="s">
        <v>37</v>
      </c>
      <c r="T110" s="3" t="s">
        <v>36</v>
      </c>
      <c r="U110" s="4" t="b">
        <v>1</v>
      </c>
      <c r="V110" s="3" t="s">
        <v>28</v>
      </c>
      <c r="W110" s="1"/>
      <c r="Y110" s="3" t="s">
        <v>29</v>
      </c>
      <c r="Z110" s="3" t="s">
        <v>29</v>
      </c>
      <c r="AA110" s="3"/>
      <c r="AB110" s="3"/>
      <c r="AC110" s="4" t="s">
        <v>30</v>
      </c>
      <c r="AD110" s="3"/>
      <c r="AE110" s="3" t="s">
        <v>850</v>
      </c>
      <c r="AF110" s="4" t="s">
        <v>30</v>
      </c>
      <c r="AH110" s="4">
        <v>0</v>
      </c>
      <c r="AI110" s="3" t="s">
        <v>846</v>
      </c>
      <c r="AJ110" s="4" t="s">
        <v>848</v>
      </c>
      <c r="AK110" s="4"/>
      <c r="AL110" s="3"/>
    </row>
    <row r="111" spans="1:38" x14ac:dyDescent="0.35">
      <c r="A111" s="3" t="s">
        <v>851</v>
      </c>
      <c r="B111" s="4" t="s">
        <v>858</v>
      </c>
      <c r="C111" s="4">
        <f>VLOOKUP(A111, [1]Planilha1!$A$3:$B$1015,2,FALSE)</f>
        <v>2644</v>
      </c>
      <c r="D111" s="4">
        <f t="shared" si="1"/>
        <v>0.73444444444444446</v>
      </c>
      <c r="E111" s="4" t="s">
        <v>1125</v>
      </c>
      <c r="F111" s="3" t="s">
        <v>856</v>
      </c>
      <c r="G111" s="3" t="s">
        <v>852</v>
      </c>
      <c r="H111" s="3" t="s">
        <v>855</v>
      </c>
      <c r="I111" s="3" t="s">
        <v>33</v>
      </c>
      <c r="J111" s="3" t="s">
        <v>41</v>
      </c>
      <c r="L111" s="1">
        <v>46050.650995370372</v>
      </c>
      <c r="M111" s="1">
        <v>46050.650995370372</v>
      </c>
      <c r="N111" s="1">
        <v>46050.666296296295</v>
      </c>
      <c r="O111" s="3" t="s">
        <v>854</v>
      </c>
      <c r="P111" s="3" t="s">
        <v>858</v>
      </c>
      <c r="Q111" s="3" t="s">
        <v>42</v>
      </c>
      <c r="R111" s="3" t="s">
        <v>857</v>
      </c>
      <c r="S111" s="3" t="s">
        <v>37</v>
      </c>
      <c r="T111" s="3" t="s">
        <v>36</v>
      </c>
      <c r="U111" s="4" t="b">
        <v>1</v>
      </c>
      <c r="V111" s="3" t="s">
        <v>28</v>
      </c>
      <c r="W111" s="1"/>
      <c r="Y111" s="3" t="s">
        <v>29</v>
      </c>
      <c r="Z111" s="3" t="s">
        <v>29</v>
      </c>
      <c r="AA111" s="3"/>
      <c r="AB111" s="3"/>
      <c r="AC111" s="4" t="s">
        <v>30</v>
      </c>
      <c r="AD111" s="3"/>
      <c r="AE111" s="3" t="s">
        <v>858</v>
      </c>
      <c r="AF111" s="4" t="s">
        <v>30</v>
      </c>
      <c r="AH111" s="4">
        <v>1</v>
      </c>
      <c r="AI111" s="3" t="s">
        <v>853</v>
      </c>
      <c r="AJ111" s="4" t="s">
        <v>5825</v>
      </c>
      <c r="AK111" s="4"/>
      <c r="AL111" s="3"/>
    </row>
    <row r="112" spans="1:38" x14ac:dyDescent="0.35">
      <c r="A112" s="3" t="s">
        <v>859</v>
      </c>
      <c r="B112" s="4" t="s">
        <v>864</v>
      </c>
      <c r="C112" s="4">
        <f>VLOOKUP(A112, [1]Planilha1!$A$3:$B$1015,2,FALSE)</f>
        <v>2638</v>
      </c>
      <c r="D112" s="4">
        <f t="shared" si="1"/>
        <v>0.73277777777777775</v>
      </c>
      <c r="E112" s="4" t="s">
        <v>1125</v>
      </c>
      <c r="F112" s="3" t="s">
        <v>861</v>
      </c>
      <c r="G112" s="3" t="s">
        <v>74</v>
      </c>
      <c r="H112" s="3" t="s">
        <v>44</v>
      </c>
      <c r="I112" s="3" t="s">
        <v>33</v>
      </c>
      <c r="J112" s="3" t="s">
        <v>41</v>
      </c>
      <c r="L112" s="1">
        <v>46050.650381944448</v>
      </c>
      <c r="M112" s="1">
        <v>46050.652395833335</v>
      </c>
      <c r="N112" s="1">
        <v>46050.667662037034</v>
      </c>
      <c r="O112" s="3" t="s">
        <v>43</v>
      </c>
      <c r="P112" s="3" t="s">
        <v>864</v>
      </c>
      <c r="Q112" s="3" t="s">
        <v>42</v>
      </c>
      <c r="R112" s="3" t="s">
        <v>863</v>
      </c>
      <c r="S112" s="3" t="s">
        <v>80</v>
      </c>
      <c r="T112" s="3" t="s">
        <v>79</v>
      </c>
      <c r="U112" s="4" t="b">
        <v>1</v>
      </c>
      <c r="V112" s="3" t="s">
        <v>31</v>
      </c>
      <c r="W112" s="1"/>
      <c r="Y112" s="3" t="s">
        <v>32</v>
      </c>
      <c r="Z112" s="3" t="s">
        <v>32</v>
      </c>
      <c r="AA112" s="3"/>
      <c r="AB112" s="3"/>
      <c r="AC112" s="4" t="s">
        <v>30</v>
      </c>
      <c r="AD112" s="3"/>
      <c r="AE112" s="3" t="s">
        <v>864</v>
      </c>
      <c r="AF112" s="4" t="s">
        <v>30</v>
      </c>
      <c r="AH112" s="4">
        <v>1</v>
      </c>
      <c r="AI112" s="3" t="s">
        <v>860</v>
      </c>
      <c r="AJ112" s="4" t="s">
        <v>862</v>
      </c>
      <c r="AK112" s="4"/>
      <c r="AL112" s="3"/>
    </row>
    <row r="113" spans="1:38" x14ac:dyDescent="0.35">
      <c r="A113" s="3" t="s">
        <v>865</v>
      </c>
      <c r="B113" s="4" t="s">
        <v>870</v>
      </c>
      <c r="C113" s="4">
        <f>VLOOKUP(A113, [1]Planilha1!$A$3:$B$1015,2,FALSE)</f>
        <v>0</v>
      </c>
      <c r="D113" s="4">
        <f t="shared" si="1"/>
        <v>0</v>
      </c>
      <c r="E113" s="4" t="s">
        <v>1125</v>
      </c>
      <c r="F113" s="3" t="s">
        <v>868</v>
      </c>
      <c r="G113" s="3" t="s">
        <v>214</v>
      </c>
      <c r="H113" s="3" t="s">
        <v>44</v>
      </c>
      <c r="I113" s="3" t="s">
        <v>33</v>
      </c>
      <c r="J113" s="3" t="s">
        <v>60</v>
      </c>
      <c r="K113" s="3" t="s">
        <v>867</v>
      </c>
      <c r="L113" s="1">
        <v>46050.64472222222</v>
      </c>
      <c r="M113" s="1">
        <v>46050.673206018517</v>
      </c>
      <c r="N113" s="1">
        <v>46053.708333333336</v>
      </c>
      <c r="O113" s="3" t="s">
        <v>43</v>
      </c>
      <c r="P113" s="3" t="s">
        <v>870</v>
      </c>
      <c r="Q113" s="3" t="s">
        <v>35</v>
      </c>
      <c r="R113" s="3" t="s">
        <v>869</v>
      </c>
      <c r="S113" s="3" t="s">
        <v>144</v>
      </c>
      <c r="T113" s="3" t="s">
        <v>143</v>
      </c>
      <c r="U113" s="4" t="b">
        <v>1</v>
      </c>
      <c r="V113" s="3" t="s">
        <v>31</v>
      </c>
      <c r="W113" s="1"/>
      <c r="Y113" s="3" t="s">
        <v>32</v>
      </c>
      <c r="Z113" s="3" t="s">
        <v>32</v>
      </c>
      <c r="AA113" s="3"/>
      <c r="AB113" s="3"/>
      <c r="AC113" s="4" t="s">
        <v>30</v>
      </c>
      <c r="AD113" s="3"/>
      <c r="AE113" s="3" t="s">
        <v>870</v>
      </c>
      <c r="AF113" s="4" t="s">
        <v>30</v>
      </c>
      <c r="AH113" s="4">
        <v>0</v>
      </c>
      <c r="AI113" s="3" t="s">
        <v>866</v>
      </c>
      <c r="AJ113" s="4" t="s">
        <v>5826</v>
      </c>
      <c r="AK113" s="4"/>
      <c r="AL113" s="3"/>
    </row>
    <row r="114" spans="1:38" x14ac:dyDescent="0.35">
      <c r="A114" s="3" t="s">
        <v>871</v>
      </c>
      <c r="B114" s="4" t="s">
        <v>879</v>
      </c>
      <c r="C114" s="4">
        <f>VLOOKUP(A114, [1]Planilha1!$A$3:$B$1015,2,FALSE)</f>
        <v>0</v>
      </c>
      <c r="D114" s="4">
        <f t="shared" si="1"/>
        <v>0</v>
      </c>
      <c r="E114" s="4" t="s">
        <v>1125</v>
      </c>
      <c r="F114" s="3" t="s">
        <v>876</v>
      </c>
      <c r="G114" s="3" t="s">
        <v>872</v>
      </c>
      <c r="H114" s="3" t="s">
        <v>875</v>
      </c>
      <c r="I114" s="3" t="s">
        <v>33</v>
      </c>
      <c r="J114" s="3" t="s">
        <v>459</v>
      </c>
      <c r="L114" s="1">
        <v>46050.642743055556</v>
      </c>
      <c r="M114" s="1">
        <v>46050.647256944445</v>
      </c>
      <c r="N114" s="1">
        <v>46053.666666666664</v>
      </c>
      <c r="O114" s="3" t="s">
        <v>874</v>
      </c>
      <c r="P114" s="3" t="s">
        <v>879</v>
      </c>
      <c r="Q114" s="3" t="s">
        <v>35</v>
      </c>
      <c r="R114" s="3" t="s">
        <v>878</v>
      </c>
      <c r="S114" s="3" t="s">
        <v>276</v>
      </c>
      <c r="T114" s="3" t="s">
        <v>275</v>
      </c>
      <c r="U114" s="4" t="b">
        <v>1</v>
      </c>
      <c r="V114" s="3" t="s">
        <v>31</v>
      </c>
      <c r="W114" s="1"/>
      <c r="Y114" s="3" t="s">
        <v>32</v>
      </c>
      <c r="Z114" s="3" t="s">
        <v>32</v>
      </c>
      <c r="AA114" s="3"/>
      <c r="AB114" s="3"/>
      <c r="AC114" s="4" t="s">
        <v>30</v>
      </c>
      <c r="AD114" s="3"/>
      <c r="AE114" s="3" t="s">
        <v>879</v>
      </c>
      <c r="AF114" s="4" t="s">
        <v>30</v>
      </c>
      <c r="AH114" s="4">
        <v>0</v>
      </c>
      <c r="AI114" s="3" t="s">
        <v>873</v>
      </c>
      <c r="AJ114" s="4" t="s">
        <v>877</v>
      </c>
      <c r="AK114" s="4"/>
      <c r="AL114" s="3"/>
    </row>
    <row r="115" spans="1:38" x14ac:dyDescent="0.35">
      <c r="A115" s="3" t="s">
        <v>883</v>
      </c>
      <c r="B115" s="4" t="s">
        <v>882</v>
      </c>
      <c r="C115" s="4">
        <f>VLOOKUP(A115, [1]Planilha1!$A$3:$B$1015,2,FALSE)</f>
        <v>2100</v>
      </c>
      <c r="D115" s="4">
        <f t="shared" si="1"/>
        <v>0.58333333333333337</v>
      </c>
      <c r="E115" s="4" t="s">
        <v>1125</v>
      </c>
      <c r="F115" s="3" t="s">
        <v>880</v>
      </c>
      <c r="G115" s="3" t="s">
        <v>100</v>
      </c>
      <c r="H115" s="3" t="s">
        <v>44</v>
      </c>
      <c r="I115" s="3" t="s">
        <v>33</v>
      </c>
      <c r="J115" s="3" t="s">
        <v>41</v>
      </c>
      <c r="K115" s="3" t="s">
        <v>885</v>
      </c>
      <c r="L115" s="1">
        <v>46050.633055555554</v>
      </c>
      <c r="M115" s="1">
        <v>46050.657905092594</v>
      </c>
      <c r="N115" s="1">
        <v>46050.670057870368</v>
      </c>
      <c r="O115" s="3" t="s">
        <v>43</v>
      </c>
      <c r="P115" s="3" t="s">
        <v>882</v>
      </c>
      <c r="Q115" s="3" t="s">
        <v>42</v>
      </c>
      <c r="R115" s="3" t="s">
        <v>881</v>
      </c>
      <c r="S115" s="3" t="s">
        <v>190</v>
      </c>
      <c r="T115" s="3" t="s">
        <v>189</v>
      </c>
      <c r="U115" s="4" t="b">
        <v>1</v>
      </c>
      <c r="V115" s="3" t="s">
        <v>31</v>
      </c>
      <c r="W115" s="1"/>
      <c r="Y115" s="3" t="s">
        <v>32</v>
      </c>
      <c r="Z115" s="3" t="s">
        <v>32</v>
      </c>
      <c r="AA115" s="3"/>
      <c r="AB115" s="3"/>
      <c r="AC115" s="4" t="s">
        <v>30</v>
      </c>
      <c r="AD115" s="3"/>
      <c r="AE115" s="3" t="s">
        <v>882</v>
      </c>
      <c r="AF115" s="4" t="s">
        <v>30</v>
      </c>
      <c r="AH115" s="4">
        <v>1</v>
      </c>
      <c r="AI115" s="3" t="s">
        <v>884</v>
      </c>
      <c r="AJ115" s="4"/>
      <c r="AK115" s="4"/>
      <c r="AL115" s="3"/>
    </row>
    <row r="116" spans="1:38" x14ac:dyDescent="0.35">
      <c r="A116" s="3" t="s">
        <v>886</v>
      </c>
      <c r="B116" s="4" t="s">
        <v>94</v>
      </c>
      <c r="C116" s="4">
        <f>VLOOKUP(A116, [1]Planilha1!$A$3:$B$1015,2,FALSE)</f>
        <v>0</v>
      </c>
      <c r="D116" s="4">
        <f t="shared" si="1"/>
        <v>0</v>
      </c>
      <c r="E116" s="4" t="s">
        <v>1125</v>
      </c>
      <c r="F116" s="3" t="s">
        <v>92</v>
      </c>
      <c r="G116" s="3" t="s">
        <v>44</v>
      </c>
      <c r="H116" s="3" t="s">
        <v>44</v>
      </c>
      <c r="I116" s="3" t="s">
        <v>33</v>
      </c>
      <c r="J116" s="3" t="s">
        <v>459</v>
      </c>
      <c r="K116" s="3" t="s">
        <v>362</v>
      </c>
      <c r="L116" s="1">
        <v>46050.630706018521</v>
      </c>
      <c r="M116" s="1">
        <v>46050.634386574071</v>
      </c>
      <c r="N116" s="1">
        <v>46053.666666666664</v>
      </c>
      <c r="O116" s="3" t="s">
        <v>43</v>
      </c>
      <c r="P116" s="3" t="s">
        <v>94</v>
      </c>
      <c r="Q116" s="3" t="s">
        <v>35</v>
      </c>
      <c r="R116" s="3" t="s">
        <v>93</v>
      </c>
      <c r="S116" s="3" t="s">
        <v>98</v>
      </c>
      <c r="T116" s="3" t="s">
        <v>97</v>
      </c>
      <c r="U116" s="4" t="b">
        <v>1</v>
      </c>
      <c r="V116" s="3" t="s">
        <v>31</v>
      </c>
      <c r="W116" s="1"/>
      <c r="Y116" s="3" t="s">
        <v>32</v>
      </c>
      <c r="Z116" s="3" t="s">
        <v>32</v>
      </c>
      <c r="AA116" s="3"/>
      <c r="AB116" s="3"/>
      <c r="AC116" s="4" t="s">
        <v>30</v>
      </c>
      <c r="AD116" s="3"/>
      <c r="AE116" s="3" t="s">
        <v>94</v>
      </c>
      <c r="AF116" s="4" t="s">
        <v>30</v>
      </c>
      <c r="AH116" s="4">
        <v>0</v>
      </c>
      <c r="AI116" s="3" t="s">
        <v>887</v>
      </c>
      <c r="AJ116" s="4"/>
      <c r="AK116" s="4"/>
      <c r="AL116" s="3"/>
    </row>
    <row r="117" spans="1:38" x14ac:dyDescent="0.35">
      <c r="A117" s="3" t="s">
        <v>889</v>
      </c>
      <c r="B117" s="4" t="s">
        <v>895</v>
      </c>
      <c r="C117" s="4">
        <f>VLOOKUP(A117, [1]Planilha1!$A$3:$B$1015,2,FALSE)</f>
        <v>0</v>
      </c>
      <c r="D117" s="4">
        <f t="shared" si="1"/>
        <v>0</v>
      </c>
      <c r="E117" s="4" t="s">
        <v>1125</v>
      </c>
      <c r="F117" s="3" t="s">
        <v>892</v>
      </c>
      <c r="G117" s="3" t="s">
        <v>214</v>
      </c>
      <c r="H117" s="3" t="s">
        <v>44</v>
      </c>
      <c r="I117" s="3" t="s">
        <v>33</v>
      </c>
      <c r="J117" s="3" t="s">
        <v>60</v>
      </c>
      <c r="K117" s="3" t="s">
        <v>891</v>
      </c>
      <c r="L117" s="1">
        <v>46050.624062499999</v>
      </c>
      <c r="M117" s="1">
        <v>46050.646956018521</v>
      </c>
      <c r="N117" s="1">
        <v>46053.666666666664</v>
      </c>
      <c r="O117" s="3" t="s">
        <v>43</v>
      </c>
      <c r="P117" s="3" t="s">
        <v>895</v>
      </c>
      <c r="Q117" s="3" t="s">
        <v>35</v>
      </c>
      <c r="R117" s="3" t="s">
        <v>894</v>
      </c>
      <c r="S117" s="3" t="s">
        <v>144</v>
      </c>
      <c r="T117" s="3" t="s">
        <v>143</v>
      </c>
      <c r="U117" s="4" t="b">
        <v>1</v>
      </c>
      <c r="V117" s="3" t="s">
        <v>31</v>
      </c>
      <c r="W117" s="1"/>
      <c r="Y117" s="3" t="s">
        <v>32</v>
      </c>
      <c r="Z117" s="3" t="s">
        <v>32</v>
      </c>
      <c r="AA117" s="3"/>
      <c r="AB117" s="3"/>
      <c r="AC117" s="4" t="s">
        <v>30</v>
      </c>
      <c r="AD117" s="3"/>
      <c r="AE117" s="3" t="s">
        <v>895</v>
      </c>
      <c r="AF117" s="4" t="s">
        <v>30</v>
      </c>
      <c r="AH117" s="4">
        <v>0</v>
      </c>
      <c r="AI117" s="3" t="s">
        <v>890</v>
      </c>
      <c r="AJ117" s="4" t="s">
        <v>893</v>
      </c>
      <c r="AK117" s="4"/>
      <c r="AL117" s="3"/>
    </row>
    <row r="118" spans="1:38" x14ac:dyDescent="0.35">
      <c r="A118" s="3" t="s">
        <v>899</v>
      </c>
      <c r="B118" s="4" t="s">
        <v>905</v>
      </c>
      <c r="C118" s="4">
        <f>VLOOKUP(A118, [1]Planilha1!$A$3:$B$1015,2,FALSE)</f>
        <v>682</v>
      </c>
      <c r="D118" s="4">
        <f t="shared" si="1"/>
        <v>0.18944444444444444</v>
      </c>
      <c r="E118" s="4" t="s">
        <v>1125</v>
      </c>
      <c r="F118" s="3" t="s">
        <v>902</v>
      </c>
      <c r="G118" s="3" t="s">
        <v>900</v>
      </c>
      <c r="H118" s="3" t="s">
        <v>171</v>
      </c>
      <c r="I118" s="3" t="s">
        <v>33</v>
      </c>
      <c r="J118" s="3" t="s">
        <v>459</v>
      </c>
      <c r="K118" s="3" t="s">
        <v>362</v>
      </c>
      <c r="L118" s="1">
        <v>46050.608819444446</v>
      </c>
      <c r="M118" s="1">
        <v>46050.608819444446</v>
      </c>
      <c r="N118" s="1">
        <v>46053.625</v>
      </c>
      <c r="O118" s="3" t="s">
        <v>170</v>
      </c>
      <c r="P118" s="3" t="s">
        <v>905</v>
      </c>
      <c r="Q118" s="3" t="s">
        <v>35</v>
      </c>
      <c r="R118" s="3" t="s">
        <v>904</v>
      </c>
      <c r="S118" s="3" t="s">
        <v>37</v>
      </c>
      <c r="T118" s="3" t="s">
        <v>36</v>
      </c>
      <c r="U118" s="4" t="b">
        <v>1</v>
      </c>
      <c r="V118" s="3" t="s">
        <v>28</v>
      </c>
      <c r="W118" s="1"/>
      <c r="Y118" s="3" t="s">
        <v>29</v>
      </c>
      <c r="Z118" s="3" t="s">
        <v>29</v>
      </c>
      <c r="AA118" s="3"/>
      <c r="AB118" s="3"/>
      <c r="AC118" s="4" t="s">
        <v>30</v>
      </c>
      <c r="AD118" s="3"/>
      <c r="AE118" s="3" t="s">
        <v>905</v>
      </c>
      <c r="AF118" s="4" t="s">
        <v>30</v>
      </c>
      <c r="AH118" s="4">
        <v>1</v>
      </c>
      <c r="AI118" s="3" t="s">
        <v>901</v>
      </c>
      <c r="AJ118" s="4" t="s">
        <v>903</v>
      </c>
      <c r="AK118" s="4"/>
      <c r="AL118" s="3"/>
    </row>
    <row r="119" spans="1:38" x14ac:dyDescent="0.35">
      <c r="A119" s="3" t="s">
        <v>906</v>
      </c>
      <c r="B119" s="4" t="s">
        <v>790</v>
      </c>
      <c r="C119" s="4">
        <f>VLOOKUP(A119, [1]Planilha1!$A$3:$B$1015,2,FALSE)</f>
        <v>5126</v>
      </c>
      <c r="D119" s="4">
        <f t="shared" si="1"/>
        <v>1.423888888888889</v>
      </c>
      <c r="E119" s="4" t="s">
        <v>1125</v>
      </c>
      <c r="F119" s="3" t="s">
        <v>787</v>
      </c>
      <c r="G119" s="3" t="s">
        <v>100</v>
      </c>
      <c r="H119" s="3" t="s">
        <v>44</v>
      </c>
      <c r="I119" s="3" t="s">
        <v>33</v>
      </c>
      <c r="J119" s="3" t="s">
        <v>41</v>
      </c>
      <c r="K119" s="3" t="s">
        <v>908</v>
      </c>
      <c r="L119" s="1">
        <v>46050.608148148145</v>
      </c>
      <c r="M119" s="1">
        <v>46050.619363425925</v>
      </c>
      <c r="N119" s="1">
        <v>46050.649027777778</v>
      </c>
      <c r="O119" s="3" t="s">
        <v>43</v>
      </c>
      <c r="P119" s="3" t="s">
        <v>790</v>
      </c>
      <c r="Q119" s="3" t="s">
        <v>42</v>
      </c>
      <c r="R119" s="3" t="s">
        <v>789</v>
      </c>
      <c r="S119" s="3" t="s">
        <v>190</v>
      </c>
      <c r="T119" s="3" t="s">
        <v>189</v>
      </c>
      <c r="U119" s="4" t="b">
        <v>1</v>
      </c>
      <c r="V119" s="3" t="s">
        <v>31</v>
      </c>
      <c r="W119" s="1"/>
      <c r="Y119" s="3" t="s">
        <v>32</v>
      </c>
      <c r="Z119" s="3" t="s">
        <v>32</v>
      </c>
      <c r="AA119" s="3"/>
      <c r="AB119" s="3"/>
      <c r="AC119" s="4" t="s">
        <v>30</v>
      </c>
      <c r="AD119" s="3"/>
      <c r="AE119" s="3" t="s">
        <v>790</v>
      </c>
      <c r="AF119" s="4" t="s">
        <v>30</v>
      </c>
      <c r="AH119" s="4">
        <v>1</v>
      </c>
      <c r="AI119" s="3" t="s">
        <v>907</v>
      </c>
      <c r="AJ119" s="4" t="s">
        <v>788</v>
      </c>
      <c r="AK119" s="4"/>
      <c r="AL119" s="3"/>
    </row>
    <row r="120" spans="1:38" x14ac:dyDescent="0.35">
      <c r="A120" s="3" t="s">
        <v>909</v>
      </c>
      <c r="B120" s="4" t="s">
        <v>915</v>
      </c>
      <c r="C120" s="4">
        <f>VLOOKUP(A120, [1]Planilha1!$A$3:$B$1015,2,FALSE)</f>
        <v>13698</v>
      </c>
      <c r="D120" s="4">
        <f t="shared" si="1"/>
        <v>3.8050000000000002</v>
      </c>
      <c r="E120" s="4" t="s">
        <v>1125</v>
      </c>
      <c r="F120" s="3" t="s">
        <v>912</v>
      </c>
      <c r="G120" s="3" t="s">
        <v>910</v>
      </c>
      <c r="H120" s="3" t="s">
        <v>722</v>
      </c>
      <c r="I120" s="3" t="s">
        <v>33</v>
      </c>
      <c r="J120" s="3" t="s">
        <v>41</v>
      </c>
      <c r="L120" s="1">
        <v>46050.595057870371</v>
      </c>
      <c r="M120" s="1">
        <v>46050.595057870371</v>
      </c>
      <c r="N120" s="1">
        <v>46050.647905092592</v>
      </c>
      <c r="O120" s="3" t="s">
        <v>745</v>
      </c>
      <c r="P120" s="3" t="s">
        <v>915</v>
      </c>
      <c r="Q120" s="3" t="s">
        <v>35</v>
      </c>
      <c r="R120" s="3" t="s">
        <v>914</v>
      </c>
      <c r="S120" s="3" t="s">
        <v>37</v>
      </c>
      <c r="T120" s="3" t="s">
        <v>36</v>
      </c>
      <c r="U120" s="4" t="b">
        <v>1</v>
      </c>
      <c r="V120" s="3" t="s">
        <v>28</v>
      </c>
      <c r="W120" s="1"/>
      <c r="Y120" s="3" t="s">
        <v>29</v>
      </c>
      <c r="Z120" s="3" t="s">
        <v>29</v>
      </c>
      <c r="AA120" s="3"/>
      <c r="AB120" s="3"/>
      <c r="AC120" s="4" t="s">
        <v>30</v>
      </c>
      <c r="AD120" s="3"/>
      <c r="AE120" s="3" t="s">
        <v>915</v>
      </c>
      <c r="AF120" s="4" t="s">
        <v>30</v>
      </c>
      <c r="AH120" s="4">
        <v>0</v>
      </c>
      <c r="AI120" s="3" t="s">
        <v>911</v>
      </c>
      <c r="AJ120" s="4" t="s">
        <v>913</v>
      </c>
      <c r="AK120" s="4"/>
      <c r="AL120" s="3"/>
    </row>
    <row r="121" spans="1:38" x14ac:dyDescent="0.35">
      <c r="A121" s="3" t="s">
        <v>916</v>
      </c>
      <c r="B121" s="4" t="s">
        <v>669</v>
      </c>
      <c r="C121" s="4">
        <f>VLOOKUP(A121, [1]Planilha1!$A$3:$B$1015,2,FALSE)</f>
        <v>8764</v>
      </c>
      <c r="D121" s="4">
        <f t="shared" si="1"/>
        <v>2.4344444444444444</v>
      </c>
      <c r="E121" s="4" t="s">
        <v>1125</v>
      </c>
      <c r="F121" s="3" t="s">
        <v>666</v>
      </c>
      <c r="G121" s="3" t="s">
        <v>160</v>
      </c>
      <c r="H121" s="3" t="s">
        <v>171</v>
      </c>
      <c r="I121" s="3" t="s">
        <v>33</v>
      </c>
      <c r="J121" s="3" t="s">
        <v>41</v>
      </c>
      <c r="K121" s="3" t="s">
        <v>665</v>
      </c>
      <c r="L121" s="1">
        <v>46050.588564814818</v>
      </c>
      <c r="M121" s="1">
        <v>46050.588564814818</v>
      </c>
      <c r="N121" s="1">
        <v>46050.639282407406</v>
      </c>
      <c r="O121" s="3" t="s">
        <v>170</v>
      </c>
      <c r="P121" s="3" t="s">
        <v>669</v>
      </c>
      <c r="Q121" s="3" t="s">
        <v>35</v>
      </c>
      <c r="R121" s="3" t="s">
        <v>668</v>
      </c>
      <c r="S121" s="3" t="s">
        <v>37</v>
      </c>
      <c r="T121" s="3" t="s">
        <v>36</v>
      </c>
      <c r="U121" s="4" t="b">
        <v>1</v>
      </c>
      <c r="V121" s="3" t="s">
        <v>28</v>
      </c>
      <c r="W121" s="1"/>
      <c r="Y121" s="3" t="s">
        <v>29</v>
      </c>
      <c r="Z121" s="3" t="s">
        <v>29</v>
      </c>
      <c r="AA121" s="3"/>
      <c r="AB121" s="3"/>
      <c r="AC121" s="4" t="s">
        <v>30</v>
      </c>
      <c r="AD121" s="3"/>
      <c r="AE121" s="3" t="s">
        <v>669</v>
      </c>
      <c r="AF121" s="4" t="s">
        <v>30</v>
      </c>
      <c r="AH121" s="4">
        <v>1</v>
      </c>
      <c r="AI121" s="3" t="s">
        <v>917</v>
      </c>
      <c r="AJ121" s="4" t="s">
        <v>667</v>
      </c>
      <c r="AK121" s="4"/>
      <c r="AL121" s="3"/>
    </row>
    <row r="122" spans="1:38" x14ac:dyDescent="0.35">
      <c r="A122" s="3" t="s">
        <v>918</v>
      </c>
      <c r="B122" s="4" t="s">
        <v>575</v>
      </c>
      <c r="C122" s="4">
        <f>VLOOKUP(A122, [1]Planilha1!$A$3:$B$1015,2,FALSE)</f>
        <v>0</v>
      </c>
      <c r="D122" s="4">
        <f t="shared" si="1"/>
        <v>0</v>
      </c>
      <c r="E122" s="4" t="s">
        <v>1125</v>
      </c>
      <c r="F122" s="3" t="s">
        <v>921</v>
      </c>
      <c r="G122" s="3" t="s">
        <v>134</v>
      </c>
      <c r="H122" s="3" t="s">
        <v>138</v>
      </c>
      <c r="I122" s="3" t="s">
        <v>33</v>
      </c>
      <c r="J122" s="3" t="s">
        <v>60</v>
      </c>
      <c r="K122" s="3" t="s">
        <v>920</v>
      </c>
      <c r="L122" s="1">
        <v>46050.588055555556</v>
      </c>
      <c r="M122" s="1">
        <v>46050.602094907408</v>
      </c>
      <c r="N122" s="1">
        <v>46053.625</v>
      </c>
      <c r="O122" s="3" t="s">
        <v>137</v>
      </c>
      <c r="P122" s="3" t="s">
        <v>575</v>
      </c>
      <c r="Q122" s="3" t="s">
        <v>35</v>
      </c>
      <c r="R122" s="3" t="s">
        <v>923</v>
      </c>
      <c r="S122" s="3" t="s">
        <v>144</v>
      </c>
      <c r="T122" s="3" t="s">
        <v>143</v>
      </c>
      <c r="U122" s="4" t="b">
        <v>1</v>
      </c>
      <c r="V122" s="3" t="s">
        <v>31</v>
      </c>
      <c r="W122" s="1"/>
      <c r="Y122" s="3" t="s">
        <v>32</v>
      </c>
      <c r="Z122" s="3" t="s">
        <v>32</v>
      </c>
      <c r="AA122" s="3"/>
      <c r="AB122" s="3"/>
      <c r="AC122" s="4" t="s">
        <v>30</v>
      </c>
      <c r="AD122" s="3"/>
      <c r="AE122" s="3" t="s">
        <v>575</v>
      </c>
      <c r="AF122" s="4" t="s">
        <v>30</v>
      </c>
      <c r="AH122" s="4">
        <v>0</v>
      </c>
      <c r="AI122" s="3" t="s">
        <v>919</v>
      </c>
      <c r="AJ122" s="4" t="s">
        <v>922</v>
      </c>
      <c r="AK122" s="4"/>
      <c r="AL122" s="3"/>
    </row>
    <row r="123" spans="1:38" x14ac:dyDescent="0.35">
      <c r="A123" s="3" t="s">
        <v>924</v>
      </c>
      <c r="B123" s="4" t="s">
        <v>929</v>
      </c>
      <c r="C123" s="4">
        <f>VLOOKUP(A123, [1]Planilha1!$A$3:$B$1015,2,FALSE)</f>
        <v>3182</v>
      </c>
      <c r="D123" s="4">
        <f t="shared" si="1"/>
        <v>0.88388888888888884</v>
      </c>
      <c r="E123" s="4" t="s">
        <v>1125</v>
      </c>
      <c r="F123" s="3" t="s">
        <v>926</v>
      </c>
      <c r="G123" s="3" t="s">
        <v>74</v>
      </c>
      <c r="H123" s="3" t="s">
        <v>44</v>
      </c>
      <c r="I123" s="3" t="s">
        <v>33</v>
      </c>
      <c r="J123" s="3" t="s">
        <v>250</v>
      </c>
      <c r="L123" s="1">
        <v>46050.581504629627</v>
      </c>
      <c r="M123" s="1">
        <v>46050.583437499998</v>
      </c>
      <c r="N123" s="1">
        <v>46053.625</v>
      </c>
      <c r="O123" s="3" t="s">
        <v>43</v>
      </c>
      <c r="P123" s="3" t="s">
        <v>929</v>
      </c>
      <c r="Q123" s="3" t="s">
        <v>35</v>
      </c>
      <c r="R123" s="3" t="s">
        <v>928</v>
      </c>
      <c r="S123" s="3" t="s">
        <v>80</v>
      </c>
      <c r="T123" s="3" t="s">
        <v>79</v>
      </c>
      <c r="U123" s="4" t="b">
        <v>1</v>
      </c>
      <c r="V123" s="3" t="s">
        <v>31</v>
      </c>
      <c r="W123" s="1"/>
      <c r="Y123" s="3" t="s">
        <v>32</v>
      </c>
      <c r="Z123" s="3" t="s">
        <v>32</v>
      </c>
      <c r="AA123" s="3"/>
      <c r="AB123" s="3"/>
      <c r="AC123" s="4" t="s">
        <v>30</v>
      </c>
      <c r="AD123" s="3"/>
      <c r="AE123" s="3" t="s">
        <v>929</v>
      </c>
      <c r="AF123" s="4" t="s">
        <v>30</v>
      </c>
      <c r="AH123" s="4">
        <v>1</v>
      </c>
      <c r="AI123" s="3" t="s">
        <v>925</v>
      </c>
      <c r="AJ123" s="4" t="s">
        <v>927</v>
      </c>
      <c r="AK123" s="4"/>
      <c r="AL123" s="3"/>
    </row>
    <row r="124" spans="1:38" x14ac:dyDescent="0.35">
      <c r="A124" s="3" t="s">
        <v>930</v>
      </c>
      <c r="B124" s="4" t="s">
        <v>936</v>
      </c>
      <c r="C124" s="4">
        <f>VLOOKUP(A124, [1]Planilha1!$A$3:$B$1015,2,FALSE)</f>
        <v>0</v>
      </c>
      <c r="D124" s="4">
        <f t="shared" si="1"/>
        <v>0</v>
      </c>
      <c r="E124" s="4" t="s">
        <v>1125</v>
      </c>
      <c r="F124" s="3" t="s">
        <v>933</v>
      </c>
      <c r="G124" s="3" t="s">
        <v>214</v>
      </c>
      <c r="H124" s="3" t="s">
        <v>44</v>
      </c>
      <c r="I124" s="3" t="s">
        <v>33</v>
      </c>
      <c r="J124" s="3" t="s">
        <v>60</v>
      </c>
      <c r="K124" s="3" t="s">
        <v>932</v>
      </c>
      <c r="L124" s="1">
        <v>46050.579340277778</v>
      </c>
      <c r="M124" s="1">
        <v>46050.600601851853</v>
      </c>
      <c r="N124" s="1">
        <v>46053.625</v>
      </c>
      <c r="O124" s="3" t="s">
        <v>43</v>
      </c>
      <c r="P124" s="3" t="s">
        <v>936</v>
      </c>
      <c r="Q124" s="3" t="s">
        <v>35</v>
      </c>
      <c r="R124" s="3" t="s">
        <v>935</v>
      </c>
      <c r="S124" s="3" t="s">
        <v>144</v>
      </c>
      <c r="T124" s="3" t="s">
        <v>143</v>
      </c>
      <c r="U124" s="4" t="b">
        <v>1</v>
      </c>
      <c r="V124" s="3" t="s">
        <v>31</v>
      </c>
      <c r="W124" s="1"/>
      <c r="Y124" s="3" t="s">
        <v>32</v>
      </c>
      <c r="Z124" s="3" t="s">
        <v>32</v>
      </c>
      <c r="AA124" s="3"/>
      <c r="AB124" s="3"/>
      <c r="AC124" s="4" t="s">
        <v>30</v>
      </c>
      <c r="AD124" s="3"/>
      <c r="AE124" s="3" t="s">
        <v>936</v>
      </c>
      <c r="AF124" s="4" t="s">
        <v>30</v>
      </c>
      <c r="AH124" s="4">
        <v>0</v>
      </c>
      <c r="AI124" s="3" t="s">
        <v>931</v>
      </c>
      <c r="AJ124" s="4" t="s">
        <v>934</v>
      </c>
      <c r="AK124" s="4"/>
      <c r="AL124" s="3"/>
    </row>
    <row r="125" spans="1:38" x14ac:dyDescent="0.35">
      <c r="A125" s="3" t="s">
        <v>937</v>
      </c>
      <c r="B125" s="4" t="s">
        <v>944</v>
      </c>
      <c r="C125" s="4">
        <f>VLOOKUP(A125, [1]Planilha1!$A$3:$B$1015,2,FALSE)</f>
        <v>10896</v>
      </c>
      <c r="D125" s="4">
        <f t="shared" si="1"/>
        <v>3.0266666666666668</v>
      </c>
      <c r="E125" s="4" t="s">
        <v>1125</v>
      </c>
      <c r="F125" s="3" t="s">
        <v>941</v>
      </c>
      <c r="G125" s="3" t="s">
        <v>938</v>
      </c>
      <c r="H125" s="3" t="s">
        <v>163</v>
      </c>
      <c r="I125" s="3" t="s">
        <v>33</v>
      </c>
      <c r="J125" s="3" t="s">
        <v>41</v>
      </c>
      <c r="K125" s="3" t="s">
        <v>940</v>
      </c>
      <c r="L125" s="1">
        <v>46050.573923611111</v>
      </c>
      <c r="M125" s="1">
        <v>46050.573923611111</v>
      </c>
      <c r="N125" s="1">
        <v>46050.636979166666</v>
      </c>
      <c r="O125" s="3" t="s">
        <v>162</v>
      </c>
      <c r="P125" s="3" t="s">
        <v>944</v>
      </c>
      <c r="Q125" s="3" t="s">
        <v>42</v>
      </c>
      <c r="R125" s="3" t="s">
        <v>943</v>
      </c>
      <c r="S125" s="3" t="s">
        <v>37</v>
      </c>
      <c r="T125" s="3" t="s">
        <v>36</v>
      </c>
      <c r="U125" s="4" t="b">
        <v>1</v>
      </c>
      <c r="V125" s="3" t="s">
        <v>28</v>
      </c>
      <c r="W125" s="1"/>
      <c r="Y125" s="3" t="s">
        <v>29</v>
      </c>
      <c r="Z125" s="3" t="s">
        <v>29</v>
      </c>
      <c r="AA125" s="3"/>
      <c r="AB125" s="3"/>
      <c r="AC125" s="4" t="s">
        <v>30</v>
      </c>
      <c r="AD125" s="3"/>
      <c r="AE125" s="3" t="s">
        <v>944</v>
      </c>
      <c r="AF125" s="4" t="s">
        <v>30</v>
      </c>
      <c r="AH125" s="4">
        <v>1</v>
      </c>
      <c r="AI125" s="3" t="s">
        <v>939</v>
      </c>
      <c r="AJ125" s="4" t="s">
        <v>942</v>
      </c>
      <c r="AK125" s="4"/>
      <c r="AL125" s="3"/>
    </row>
    <row r="126" spans="1:38" x14ac:dyDescent="0.35">
      <c r="A126" s="3" t="s">
        <v>948</v>
      </c>
      <c r="B126" s="4" t="s">
        <v>954</v>
      </c>
      <c r="C126" s="4">
        <f>VLOOKUP(A126, [1]Planilha1!$A$3:$B$1015,2,FALSE)</f>
        <v>0</v>
      </c>
      <c r="D126" s="4">
        <f t="shared" si="1"/>
        <v>0</v>
      </c>
      <c r="E126" s="4" t="s">
        <v>1125</v>
      </c>
      <c r="F126" s="3" t="s">
        <v>951</v>
      </c>
      <c r="G126" s="3" t="s">
        <v>214</v>
      </c>
      <c r="H126" s="3" t="s">
        <v>44</v>
      </c>
      <c r="I126" s="3" t="s">
        <v>33</v>
      </c>
      <c r="J126" s="3" t="s">
        <v>60</v>
      </c>
      <c r="K126" s="3" t="s">
        <v>950</v>
      </c>
      <c r="L126" s="1">
        <v>46050.552824074075</v>
      </c>
      <c r="M126" s="1">
        <v>46050.578599537039</v>
      </c>
      <c r="N126" s="1">
        <v>46053.583344907405</v>
      </c>
      <c r="O126" s="3" t="s">
        <v>43</v>
      </c>
      <c r="P126" s="3" t="s">
        <v>954</v>
      </c>
      <c r="Q126" s="3" t="s">
        <v>35</v>
      </c>
      <c r="R126" s="3" t="s">
        <v>953</v>
      </c>
      <c r="S126" s="3" t="s">
        <v>144</v>
      </c>
      <c r="T126" s="3" t="s">
        <v>143</v>
      </c>
      <c r="U126" s="4" t="b">
        <v>1</v>
      </c>
      <c r="V126" s="3" t="s">
        <v>31</v>
      </c>
      <c r="W126" s="1"/>
      <c r="Y126" s="3" t="s">
        <v>32</v>
      </c>
      <c r="Z126" s="3" t="s">
        <v>32</v>
      </c>
      <c r="AA126" s="3"/>
      <c r="AB126" s="3"/>
      <c r="AC126" s="4" t="s">
        <v>30</v>
      </c>
      <c r="AD126" s="3"/>
      <c r="AE126" s="3" t="s">
        <v>954</v>
      </c>
      <c r="AF126" s="4" t="s">
        <v>30</v>
      </c>
      <c r="AH126" s="4">
        <v>0</v>
      </c>
      <c r="AI126" s="3" t="s">
        <v>949</v>
      </c>
      <c r="AJ126" s="4" t="s">
        <v>952</v>
      </c>
      <c r="AK126" s="4"/>
      <c r="AL126" s="3"/>
    </row>
    <row r="127" spans="1:38" x14ac:dyDescent="0.35">
      <c r="A127" s="3" t="s">
        <v>955</v>
      </c>
      <c r="B127" s="4" t="s">
        <v>961</v>
      </c>
      <c r="C127" s="4">
        <f>VLOOKUP(A127, [1]Planilha1!$A$3:$B$1015,2,FALSE)</f>
        <v>7125</v>
      </c>
      <c r="D127" s="4">
        <f t="shared" si="1"/>
        <v>1.9791666666666667</v>
      </c>
      <c r="E127" s="4" t="s">
        <v>1125</v>
      </c>
      <c r="F127" s="3" t="s">
        <v>958</v>
      </c>
      <c r="G127" s="3" t="s">
        <v>956</v>
      </c>
      <c r="H127" s="3" t="s">
        <v>163</v>
      </c>
      <c r="I127" s="3" t="s">
        <v>33</v>
      </c>
      <c r="J127" s="3" t="s">
        <v>41</v>
      </c>
      <c r="L127" s="1">
        <v>46050.536597222221</v>
      </c>
      <c r="M127" s="1">
        <v>46050.536597222221</v>
      </c>
      <c r="N127" s="1">
        <v>46050.564085648148</v>
      </c>
      <c r="O127" s="3" t="s">
        <v>162</v>
      </c>
      <c r="P127" s="3" t="s">
        <v>961</v>
      </c>
      <c r="Q127" s="3" t="s">
        <v>42</v>
      </c>
      <c r="R127" s="3" t="s">
        <v>960</v>
      </c>
      <c r="S127" s="3" t="s">
        <v>37</v>
      </c>
      <c r="T127" s="3" t="s">
        <v>36</v>
      </c>
      <c r="U127" s="4" t="b">
        <v>1</v>
      </c>
      <c r="V127" s="3" t="s">
        <v>28</v>
      </c>
      <c r="W127" s="1"/>
      <c r="Y127" s="3" t="s">
        <v>29</v>
      </c>
      <c r="Z127" s="3" t="s">
        <v>29</v>
      </c>
      <c r="AA127" s="3"/>
      <c r="AB127" s="3"/>
      <c r="AC127" s="4" t="s">
        <v>30</v>
      </c>
      <c r="AD127" s="3"/>
      <c r="AE127" s="3" t="s">
        <v>961</v>
      </c>
      <c r="AF127" s="4" t="s">
        <v>30</v>
      </c>
      <c r="AH127" s="4">
        <v>0</v>
      </c>
      <c r="AI127" s="3" t="s">
        <v>957</v>
      </c>
      <c r="AJ127" s="4" t="s">
        <v>959</v>
      </c>
      <c r="AK127" s="4"/>
      <c r="AL127" s="3"/>
    </row>
    <row r="128" spans="1:38" x14ac:dyDescent="0.35">
      <c r="A128" s="3" t="s">
        <v>962</v>
      </c>
      <c r="B128" s="4" t="s">
        <v>94</v>
      </c>
      <c r="C128" s="4">
        <f>VLOOKUP(A128, [1]Planilha1!$A$3:$B$1015,2,FALSE)</f>
        <v>0</v>
      </c>
      <c r="D128" s="4">
        <f t="shared" si="1"/>
        <v>0</v>
      </c>
      <c r="E128" s="4" t="s">
        <v>1125</v>
      </c>
      <c r="F128" s="3" t="s">
        <v>92</v>
      </c>
      <c r="G128" s="3" t="s">
        <v>433</v>
      </c>
      <c r="H128" s="3" t="s">
        <v>148</v>
      </c>
      <c r="I128" s="3" t="s">
        <v>33</v>
      </c>
      <c r="J128" s="3" t="s">
        <v>60</v>
      </c>
      <c r="L128" s="1">
        <v>46050.533391203702</v>
      </c>
      <c r="M128" s="1">
        <v>46050.534305555557</v>
      </c>
      <c r="N128" s="1">
        <v>46053.541666666664</v>
      </c>
      <c r="O128" s="3" t="s">
        <v>147</v>
      </c>
      <c r="P128" s="3" t="s">
        <v>94</v>
      </c>
      <c r="Q128" s="3" t="s">
        <v>35</v>
      </c>
      <c r="R128" s="3" t="s">
        <v>93</v>
      </c>
      <c r="S128" s="3" t="s">
        <v>82</v>
      </c>
      <c r="T128" s="3" t="s">
        <v>81</v>
      </c>
      <c r="U128" s="4" t="b">
        <v>1</v>
      </c>
      <c r="V128" s="3" t="s">
        <v>31</v>
      </c>
      <c r="W128" s="1"/>
      <c r="Y128" s="3" t="s">
        <v>32</v>
      </c>
      <c r="Z128" s="3" t="s">
        <v>32</v>
      </c>
      <c r="AA128" s="3"/>
      <c r="AB128" s="3"/>
      <c r="AC128" s="4" t="s">
        <v>30</v>
      </c>
      <c r="AD128" s="3"/>
      <c r="AE128" s="3" t="s">
        <v>94</v>
      </c>
      <c r="AF128" s="4" t="s">
        <v>30</v>
      </c>
      <c r="AH128" s="4">
        <v>0</v>
      </c>
      <c r="AI128" s="3" t="s">
        <v>433</v>
      </c>
      <c r="AJ128" s="4"/>
      <c r="AK128" s="4"/>
      <c r="AL128" s="3"/>
    </row>
    <row r="129" spans="1:38" x14ac:dyDescent="0.35">
      <c r="A129" s="3" t="s">
        <v>963</v>
      </c>
      <c r="B129" s="4" t="s">
        <v>969</v>
      </c>
      <c r="C129" s="4">
        <f>VLOOKUP(A129, [1]Planilha1!$A$3:$B$1015,2,FALSE)</f>
        <v>22035</v>
      </c>
      <c r="D129" s="4">
        <f t="shared" si="1"/>
        <v>6.1208333333333336</v>
      </c>
      <c r="E129" s="4" t="s">
        <v>1125</v>
      </c>
      <c r="F129" s="3" t="s">
        <v>966</v>
      </c>
      <c r="G129" s="3" t="s">
        <v>100</v>
      </c>
      <c r="H129" s="3" t="s">
        <v>44</v>
      </c>
      <c r="I129" s="3" t="s">
        <v>33</v>
      </c>
      <c r="J129" s="3" t="s">
        <v>41</v>
      </c>
      <c r="K129" s="3" t="s">
        <v>965</v>
      </c>
      <c r="L129" s="1">
        <v>46050.511724537035</v>
      </c>
      <c r="M129" s="1">
        <v>46050.516516203701</v>
      </c>
      <c r="N129" s="1">
        <v>46050.625173611108</v>
      </c>
      <c r="O129" s="3" t="s">
        <v>43</v>
      </c>
      <c r="P129" s="3" t="s">
        <v>969</v>
      </c>
      <c r="Q129" s="3" t="s">
        <v>42</v>
      </c>
      <c r="R129" s="3" t="s">
        <v>968</v>
      </c>
      <c r="S129" s="3" t="s">
        <v>98</v>
      </c>
      <c r="T129" s="3" t="s">
        <v>97</v>
      </c>
      <c r="U129" s="4" t="b">
        <v>1</v>
      </c>
      <c r="V129" s="3" t="s">
        <v>31</v>
      </c>
      <c r="W129" s="1"/>
      <c r="Y129" s="3" t="s">
        <v>32</v>
      </c>
      <c r="Z129" s="3" t="s">
        <v>32</v>
      </c>
      <c r="AA129" s="3"/>
      <c r="AB129" s="3"/>
      <c r="AC129" s="4" t="s">
        <v>30</v>
      </c>
      <c r="AD129" s="3"/>
      <c r="AE129" s="3" t="s">
        <v>969</v>
      </c>
      <c r="AF129" s="4" t="s">
        <v>30</v>
      </c>
      <c r="AH129" s="4">
        <v>1</v>
      </c>
      <c r="AI129" s="3" t="s">
        <v>964</v>
      </c>
      <c r="AJ129" s="4" t="s">
        <v>967</v>
      </c>
      <c r="AK129" s="4"/>
      <c r="AL129" s="3"/>
    </row>
    <row r="130" spans="1:38" x14ac:dyDescent="0.35">
      <c r="A130" s="3" t="s">
        <v>971</v>
      </c>
      <c r="B130" s="4" t="s">
        <v>978</v>
      </c>
      <c r="C130" s="4">
        <f>VLOOKUP(A130, [1]Planilha1!$A$3:$B$1015,2,FALSE)</f>
        <v>0</v>
      </c>
      <c r="D130" s="4">
        <f t="shared" si="1"/>
        <v>0</v>
      </c>
      <c r="E130" s="4" t="s">
        <v>1125</v>
      </c>
      <c r="F130" s="3" t="s">
        <v>975</v>
      </c>
      <c r="G130" s="3" t="s">
        <v>972</v>
      </c>
      <c r="H130" s="3" t="s">
        <v>171</v>
      </c>
      <c r="I130" s="3" t="s">
        <v>33</v>
      </c>
      <c r="J130" s="3" t="s">
        <v>60</v>
      </c>
      <c r="K130" s="3" t="s">
        <v>974</v>
      </c>
      <c r="L130" s="1">
        <v>46050.503263888888</v>
      </c>
      <c r="M130" s="1">
        <v>46050.528402777774</v>
      </c>
      <c r="N130" s="1">
        <v>46053.541666666664</v>
      </c>
      <c r="O130" s="3" t="s">
        <v>170</v>
      </c>
      <c r="P130" s="3" t="s">
        <v>978</v>
      </c>
      <c r="Q130" s="3" t="s">
        <v>35</v>
      </c>
      <c r="R130" s="3" t="s">
        <v>977</v>
      </c>
      <c r="S130" s="3" t="s">
        <v>144</v>
      </c>
      <c r="T130" s="3" t="s">
        <v>143</v>
      </c>
      <c r="U130" s="4" t="b">
        <v>1</v>
      </c>
      <c r="V130" s="3" t="s">
        <v>31</v>
      </c>
      <c r="W130" s="1"/>
      <c r="Y130" s="3" t="s">
        <v>32</v>
      </c>
      <c r="Z130" s="3" t="s">
        <v>32</v>
      </c>
      <c r="AA130" s="3"/>
      <c r="AB130" s="3"/>
      <c r="AC130" s="4" t="s">
        <v>30</v>
      </c>
      <c r="AD130" s="3"/>
      <c r="AE130" s="3" t="s">
        <v>978</v>
      </c>
      <c r="AF130" s="4" t="s">
        <v>30</v>
      </c>
      <c r="AH130" s="4">
        <v>0</v>
      </c>
      <c r="AI130" s="3" t="s">
        <v>973</v>
      </c>
      <c r="AJ130" s="4" t="s">
        <v>976</v>
      </c>
      <c r="AK130" s="4"/>
      <c r="AL130" s="3"/>
    </row>
    <row r="131" spans="1:38" x14ac:dyDescent="0.35">
      <c r="A131" s="3" t="s">
        <v>983</v>
      </c>
      <c r="B131" s="4" t="s">
        <v>990</v>
      </c>
      <c r="C131" s="4">
        <f>VLOOKUP(A131, [1]Planilha1!$A$3:$B$1015,2,FALSE)</f>
        <v>11556</v>
      </c>
      <c r="D131" s="4">
        <f t="shared" ref="D131:D194" si="2">C131/3600</f>
        <v>3.21</v>
      </c>
      <c r="E131" s="4" t="s">
        <v>1125</v>
      </c>
      <c r="F131" s="3" t="s">
        <v>987</v>
      </c>
      <c r="G131" s="3" t="s">
        <v>984</v>
      </c>
      <c r="H131" s="3" t="s">
        <v>984</v>
      </c>
      <c r="I131" s="3" t="s">
        <v>33</v>
      </c>
      <c r="J131" s="3" t="s">
        <v>41</v>
      </c>
      <c r="L131" s="1">
        <v>46050.472951388889</v>
      </c>
      <c r="M131" s="1">
        <v>46050.475671296299</v>
      </c>
      <c r="N131" s="1">
        <v>46050.542546296296</v>
      </c>
      <c r="O131" s="3" t="s">
        <v>986</v>
      </c>
      <c r="P131" s="3" t="s">
        <v>990</v>
      </c>
      <c r="Q131" s="3" t="s">
        <v>42</v>
      </c>
      <c r="R131" s="3" t="s">
        <v>989</v>
      </c>
      <c r="S131" s="3" t="s">
        <v>82</v>
      </c>
      <c r="T131" s="3" t="s">
        <v>81</v>
      </c>
      <c r="U131" s="4" t="b">
        <v>1</v>
      </c>
      <c r="V131" s="3" t="s">
        <v>31</v>
      </c>
      <c r="W131" s="1"/>
      <c r="Y131" s="3" t="s">
        <v>32</v>
      </c>
      <c r="Z131" s="3" t="s">
        <v>32</v>
      </c>
      <c r="AA131" s="3"/>
      <c r="AB131" s="3"/>
      <c r="AC131" s="4" t="s">
        <v>30</v>
      </c>
      <c r="AD131" s="3"/>
      <c r="AE131" s="3" t="s">
        <v>990</v>
      </c>
      <c r="AF131" s="4" t="s">
        <v>30</v>
      </c>
      <c r="AH131" s="4">
        <v>1</v>
      </c>
      <c r="AI131" s="3" t="s">
        <v>985</v>
      </c>
      <c r="AJ131" s="4" t="s">
        <v>988</v>
      </c>
      <c r="AK131" s="4"/>
      <c r="AL131" s="3"/>
    </row>
    <row r="132" spans="1:38" x14ac:dyDescent="0.35">
      <c r="A132" s="3" t="s">
        <v>991</v>
      </c>
      <c r="B132" s="4" t="s">
        <v>58</v>
      </c>
      <c r="C132" s="4">
        <f>VLOOKUP(A132, [1]Planilha1!$A$3:$B$1015,2,FALSE)</f>
        <v>91022</v>
      </c>
      <c r="D132" s="4">
        <f t="shared" si="2"/>
        <v>25.283888888888889</v>
      </c>
      <c r="E132" s="4" t="s">
        <v>1125</v>
      </c>
      <c r="F132" s="3" t="s">
        <v>54</v>
      </c>
      <c r="G132" s="3" t="s">
        <v>992</v>
      </c>
      <c r="H132" s="3" t="s">
        <v>995</v>
      </c>
      <c r="I132" s="3" t="s">
        <v>33</v>
      </c>
      <c r="J132" s="3" t="s">
        <v>152</v>
      </c>
      <c r="L132" s="1">
        <v>46050.467870370368</v>
      </c>
      <c r="M132" s="1">
        <v>46050.474861111114</v>
      </c>
      <c r="N132" s="1">
        <v>46056.608703703707</v>
      </c>
      <c r="O132" s="3" t="s">
        <v>994</v>
      </c>
      <c r="P132" s="3" t="s">
        <v>57</v>
      </c>
      <c r="Q132" s="3" t="s">
        <v>52</v>
      </c>
      <c r="R132" s="3" t="s">
        <v>56</v>
      </c>
      <c r="S132" s="3" t="s">
        <v>158</v>
      </c>
      <c r="T132" s="3" t="s">
        <v>157</v>
      </c>
      <c r="U132" s="4" t="b">
        <v>0</v>
      </c>
      <c r="V132" s="3" t="s">
        <v>28</v>
      </c>
      <c r="W132" s="1"/>
      <c r="Y132" s="3" t="s">
        <v>29</v>
      </c>
      <c r="Z132" s="3" t="s">
        <v>29</v>
      </c>
      <c r="AA132" s="3" t="s">
        <v>996</v>
      </c>
      <c r="AB132" s="3" t="s">
        <v>58</v>
      </c>
      <c r="AC132" s="4" t="s">
        <v>30</v>
      </c>
      <c r="AD132" s="3" t="s">
        <v>59</v>
      </c>
      <c r="AE132" s="3" t="s">
        <v>57</v>
      </c>
      <c r="AF132" s="4" t="s">
        <v>30</v>
      </c>
      <c r="AH132" s="4">
        <v>4</v>
      </c>
      <c r="AI132" s="3" t="s">
        <v>993</v>
      </c>
      <c r="AJ132" s="4" t="s">
        <v>55</v>
      </c>
      <c r="AK132" s="4" t="s">
        <v>997</v>
      </c>
      <c r="AL132" s="3"/>
    </row>
    <row r="133" spans="1:38" x14ac:dyDescent="0.35">
      <c r="A133" s="3" t="s">
        <v>998</v>
      </c>
      <c r="B133" s="4" t="s">
        <v>1003</v>
      </c>
      <c r="C133" s="4">
        <f>VLOOKUP(A133, [1]Planilha1!$A$3:$B$1015,2,FALSE)</f>
        <v>0</v>
      </c>
      <c r="D133" s="4">
        <f t="shared" si="2"/>
        <v>0</v>
      </c>
      <c r="E133" s="4" t="s">
        <v>1125</v>
      </c>
      <c r="F133" s="3" t="s">
        <v>1000</v>
      </c>
      <c r="G133" s="3" t="s">
        <v>457</v>
      </c>
      <c r="H133" s="3" t="s">
        <v>457</v>
      </c>
      <c r="I133" s="3" t="s">
        <v>33</v>
      </c>
      <c r="J133" s="3" t="s">
        <v>60</v>
      </c>
      <c r="L133" s="1">
        <v>46050.45171296296</v>
      </c>
      <c r="M133" s="1">
        <v>46050.454097222224</v>
      </c>
      <c r="N133" s="1">
        <v>46053.458344907405</v>
      </c>
      <c r="O133" s="3" t="s">
        <v>460</v>
      </c>
      <c r="P133" s="3" t="s">
        <v>1003</v>
      </c>
      <c r="Q133" s="3" t="s">
        <v>35</v>
      </c>
      <c r="R133" s="3" t="s">
        <v>1002</v>
      </c>
      <c r="S133" s="3" t="s">
        <v>82</v>
      </c>
      <c r="T133" s="3" t="s">
        <v>81</v>
      </c>
      <c r="U133" s="4" t="b">
        <v>1</v>
      </c>
      <c r="V133" s="3" t="s">
        <v>31</v>
      </c>
      <c r="W133" s="1"/>
      <c r="Y133" s="3" t="s">
        <v>32</v>
      </c>
      <c r="Z133" s="3" t="s">
        <v>32</v>
      </c>
      <c r="AA133" s="3"/>
      <c r="AB133" s="3"/>
      <c r="AC133" s="4" t="s">
        <v>30</v>
      </c>
      <c r="AD133" s="3"/>
      <c r="AE133" s="3" t="s">
        <v>1003</v>
      </c>
      <c r="AF133" s="4" t="s">
        <v>30</v>
      </c>
      <c r="AH133" s="4">
        <v>0</v>
      </c>
      <c r="AI133" s="3" t="s">
        <v>999</v>
      </c>
      <c r="AJ133" s="4" t="s">
        <v>1001</v>
      </c>
      <c r="AK133" s="4"/>
      <c r="AL133" s="3"/>
    </row>
    <row r="134" spans="1:38" x14ac:dyDescent="0.35">
      <c r="A134" s="3" t="s">
        <v>1004</v>
      </c>
      <c r="B134" s="4" t="s">
        <v>1009</v>
      </c>
      <c r="C134" s="4">
        <f>VLOOKUP(A134, [1]Planilha1!$A$3:$B$1015,2,FALSE)</f>
        <v>15232</v>
      </c>
      <c r="D134" s="4">
        <f t="shared" si="2"/>
        <v>4.2311111111111108</v>
      </c>
      <c r="E134" s="4" t="s">
        <v>1125</v>
      </c>
      <c r="F134" s="3" t="s">
        <v>1007</v>
      </c>
      <c r="G134" s="3" t="s">
        <v>1005</v>
      </c>
      <c r="H134" s="3" t="s">
        <v>44</v>
      </c>
      <c r="I134" s="3" t="s">
        <v>33</v>
      </c>
      <c r="J134" s="3" t="s">
        <v>41</v>
      </c>
      <c r="L134" s="1">
        <v>46050.440844907411</v>
      </c>
      <c r="M134" s="1">
        <v>46050.44494212963</v>
      </c>
      <c r="N134" s="1">
        <v>46050.533090277779</v>
      </c>
      <c r="O134" s="3" t="s">
        <v>43</v>
      </c>
      <c r="P134" s="3" t="s">
        <v>1009</v>
      </c>
      <c r="Q134" s="3" t="s">
        <v>42</v>
      </c>
      <c r="R134" s="3" t="s">
        <v>1008</v>
      </c>
      <c r="S134" s="3" t="s">
        <v>708</v>
      </c>
      <c r="T134" s="3" t="s">
        <v>707</v>
      </c>
      <c r="U134" s="4" t="b">
        <v>1</v>
      </c>
      <c r="V134" s="3" t="s">
        <v>31</v>
      </c>
      <c r="W134" s="1"/>
      <c r="Y134" s="3" t="s">
        <v>32</v>
      </c>
      <c r="Z134" s="3" t="s">
        <v>32</v>
      </c>
      <c r="AA134" s="3"/>
      <c r="AB134" s="3"/>
      <c r="AC134" s="4" t="s">
        <v>30</v>
      </c>
      <c r="AD134" s="3"/>
      <c r="AE134" s="3" t="s">
        <v>1009</v>
      </c>
      <c r="AF134" s="4" t="s">
        <v>30</v>
      </c>
      <c r="AH134" s="4">
        <v>1</v>
      </c>
      <c r="AI134" s="3" t="s">
        <v>1006</v>
      </c>
      <c r="AJ134" s="4" t="s">
        <v>5827</v>
      </c>
      <c r="AK134" s="4"/>
      <c r="AL134" s="3"/>
    </row>
    <row r="135" spans="1:38" x14ac:dyDescent="0.35">
      <c r="A135" s="3" t="s">
        <v>1010</v>
      </c>
      <c r="B135" s="4" t="s">
        <v>1016</v>
      </c>
      <c r="C135" s="4">
        <f>VLOOKUP(A135, [1]Planilha1!$A$3:$B$1015,2,FALSE)</f>
        <v>16398</v>
      </c>
      <c r="D135" s="4">
        <f t="shared" si="2"/>
        <v>4.5549999999999997</v>
      </c>
      <c r="E135" s="4" t="s">
        <v>1125</v>
      </c>
      <c r="F135" s="3" t="s">
        <v>1013</v>
      </c>
      <c r="G135" s="3" t="s">
        <v>1011</v>
      </c>
      <c r="H135" s="3" t="s">
        <v>44</v>
      </c>
      <c r="I135" s="3" t="s">
        <v>33</v>
      </c>
      <c r="J135" s="3" t="s">
        <v>41</v>
      </c>
      <c r="L135" s="1">
        <v>46050.436736111114</v>
      </c>
      <c r="M135" s="1">
        <v>46050.436736111114</v>
      </c>
      <c r="N135" s="1">
        <v>46050.530104166668</v>
      </c>
      <c r="O135" s="3" t="s">
        <v>43</v>
      </c>
      <c r="P135" s="3" t="s">
        <v>1016</v>
      </c>
      <c r="Q135" s="3" t="s">
        <v>42</v>
      </c>
      <c r="R135" s="3" t="s">
        <v>1015</v>
      </c>
      <c r="S135" s="3" t="s">
        <v>37</v>
      </c>
      <c r="T135" s="3" t="s">
        <v>36</v>
      </c>
      <c r="U135" s="4" t="b">
        <v>1</v>
      </c>
      <c r="V135" s="3" t="s">
        <v>28</v>
      </c>
      <c r="W135" s="1"/>
      <c r="Y135" s="3" t="s">
        <v>29</v>
      </c>
      <c r="Z135" s="3" t="s">
        <v>29</v>
      </c>
      <c r="AA135" s="3"/>
      <c r="AB135" s="3"/>
      <c r="AC135" s="4" t="s">
        <v>30</v>
      </c>
      <c r="AD135" s="3"/>
      <c r="AE135" s="3" t="s">
        <v>1016</v>
      </c>
      <c r="AF135" s="4" t="s">
        <v>30</v>
      </c>
      <c r="AH135" s="4">
        <v>2</v>
      </c>
      <c r="AI135" s="3" t="s">
        <v>1012</v>
      </c>
      <c r="AJ135" s="4" t="s">
        <v>1014</v>
      </c>
      <c r="AK135" s="4"/>
      <c r="AL135" s="3"/>
    </row>
    <row r="136" spans="1:38" x14ac:dyDescent="0.35">
      <c r="A136" s="3" t="s">
        <v>1017</v>
      </c>
      <c r="B136" s="4" t="s">
        <v>94</v>
      </c>
      <c r="C136" s="4">
        <f>VLOOKUP(A136, [1]Planilha1!$A$3:$B$1015,2,FALSE)</f>
        <v>0</v>
      </c>
      <c r="D136" s="4">
        <f t="shared" si="2"/>
        <v>0</v>
      </c>
      <c r="E136" s="4" t="s">
        <v>1125</v>
      </c>
      <c r="F136" s="3" t="s">
        <v>92</v>
      </c>
      <c r="G136" s="3" t="s">
        <v>1018</v>
      </c>
      <c r="H136" s="3" t="s">
        <v>44</v>
      </c>
      <c r="I136" s="3" t="s">
        <v>33</v>
      </c>
      <c r="J136" s="3" t="s">
        <v>60</v>
      </c>
      <c r="L136" s="1">
        <v>46050.43644675926</v>
      </c>
      <c r="M136" s="1">
        <v>46050.439398148148</v>
      </c>
      <c r="N136" s="1">
        <v>46053.458344907405</v>
      </c>
      <c r="O136" s="3" t="s">
        <v>43</v>
      </c>
      <c r="P136" s="3" t="s">
        <v>94</v>
      </c>
      <c r="Q136" s="3" t="s">
        <v>35</v>
      </c>
      <c r="R136" s="3" t="s">
        <v>93</v>
      </c>
      <c r="S136" s="3" t="s">
        <v>190</v>
      </c>
      <c r="T136" s="3" t="s">
        <v>189</v>
      </c>
      <c r="U136" s="4" t="b">
        <v>1</v>
      </c>
      <c r="V136" s="3" t="s">
        <v>31</v>
      </c>
      <c r="W136" s="1"/>
      <c r="Y136" s="3" t="s">
        <v>32</v>
      </c>
      <c r="Z136" s="3" t="s">
        <v>32</v>
      </c>
      <c r="AA136" s="3"/>
      <c r="AB136" s="3"/>
      <c r="AC136" s="4" t="s">
        <v>30</v>
      </c>
      <c r="AD136" s="3"/>
      <c r="AE136" s="3" t="s">
        <v>94</v>
      </c>
      <c r="AF136" s="4" t="s">
        <v>30</v>
      </c>
      <c r="AH136" s="4">
        <v>0</v>
      </c>
      <c r="AI136" s="3" t="s">
        <v>1019</v>
      </c>
      <c r="AJ136" s="4"/>
      <c r="AK136" s="4"/>
      <c r="AL136" s="3"/>
    </row>
    <row r="137" spans="1:38" x14ac:dyDescent="0.35">
      <c r="A137" s="3" t="s">
        <v>1020</v>
      </c>
      <c r="B137" s="4" t="s">
        <v>1026</v>
      </c>
      <c r="C137" s="4">
        <f>VLOOKUP(A137, [1]Planilha1!$A$3:$B$1015,2,FALSE)</f>
        <v>104276</v>
      </c>
      <c r="D137" s="4">
        <f t="shared" si="2"/>
        <v>28.965555555555557</v>
      </c>
      <c r="E137" s="4" t="s">
        <v>1125</v>
      </c>
      <c r="F137" s="3" t="s">
        <v>1023</v>
      </c>
      <c r="G137" s="3" t="s">
        <v>1021</v>
      </c>
      <c r="H137" s="3" t="s">
        <v>44</v>
      </c>
      <c r="I137" s="3" t="s">
        <v>33</v>
      </c>
      <c r="J137" s="3" t="s">
        <v>250</v>
      </c>
      <c r="L137" s="1">
        <v>46050.430625000001</v>
      </c>
      <c r="M137" s="1">
        <v>46050.430625000001</v>
      </c>
      <c r="N137" s="1">
        <v>46054.458344907405</v>
      </c>
      <c r="O137" s="3" t="s">
        <v>43</v>
      </c>
      <c r="P137" s="3" t="s">
        <v>1026</v>
      </c>
      <c r="Q137" s="3" t="s">
        <v>35</v>
      </c>
      <c r="R137" s="3" t="s">
        <v>1025</v>
      </c>
      <c r="S137" s="3" t="s">
        <v>37</v>
      </c>
      <c r="T137" s="3" t="s">
        <v>36</v>
      </c>
      <c r="U137" s="4" t="b">
        <v>1</v>
      </c>
      <c r="V137" s="3" t="s">
        <v>28</v>
      </c>
      <c r="W137" s="1"/>
      <c r="Y137" s="3" t="s">
        <v>29</v>
      </c>
      <c r="Z137" s="3" t="s">
        <v>29</v>
      </c>
      <c r="AA137" s="3"/>
      <c r="AB137" s="3"/>
      <c r="AC137" s="4" t="s">
        <v>30</v>
      </c>
      <c r="AD137" s="3"/>
      <c r="AE137" s="3" t="s">
        <v>1026</v>
      </c>
      <c r="AF137" s="4" t="s">
        <v>30</v>
      </c>
      <c r="AH137" s="4">
        <v>3</v>
      </c>
      <c r="AI137" s="3" t="s">
        <v>1022</v>
      </c>
      <c r="AJ137" s="4" t="s">
        <v>1024</v>
      </c>
      <c r="AK137" s="4"/>
      <c r="AL137" s="3"/>
    </row>
    <row r="138" spans="1:38" x14ac:dyDescent="0.35">
      <c r="A138" s="3" t="s">
        <v>1031</v>
      </c>
      <c r="B138" s="4" t="s">
        <v>858</v>
      </c>
      <c r="C138" s="4">
        <f>VLOOKUP(A138, [1]Planilha1!$A$3:$B$1015,2,FALSE)</f>
        <v>21972</v>
      </c>
      <c r="D138" s="4">
        <f t="shared" si="2"/>
        <v>6.1033333333333335</v>
      </c>
      <c r="E138" s="4" t="s">
        <v>1125</v>
      </c>
      <c r="F138" s="3" t="s">
        <v>856</v>
      </c>
      <c r="G138" s="3" t="s">
        <v>1032</v>
      </c>
      <c r="H138" s="3" t="s">
        <v>855</v>
      </c>
      <c r="I138" s="3" t="s">
        <v>33</v>
      </c>
      <c r="J138" s="3" t="s">
        <v>41</v>
      </c>
      <c r="L138" s="1">
        <v>46050.41951388889</v>
      </c>
      <c r="M138" s="1">
        <v>46050.41951388889</v>
      </c>
      <c r="N138" s="1">
        <v>46050.546666666669</v>
      </c>
      <c r="O138" s="3" t="s">
        <v>854</v>
      </c>
      <c r="P138" s="3" t="s">
        <v>858</v>
      </c>
      <c r="Q138" s="3" t="s">
        <v>35</v>
      </c>
      <c r="R138" s="3" t="s">
        <v>857</v>
      </c>
      <c r="S138" s="3" t="s">
        <v>37</v>
      </c>
      <c r="T138" s="3" t="s">
        <v>36</v>
      </c>
      <c r="U138" s="4" t="b">
        <v>1</v>
      </c>
      <c r="V138" s="3" t="s">
        <v>28</v>
      </c>
      <c r="W138" s="1"/>
      <c r="Y138" s="3" t="s">
        <v>29</v>
      </c>
      <c r="Z138" s="3" t="s">
        <v>29</v>
      </c>
      <c r="AA138" s="3"/>
      <c r="AB138" s="3"/>
      <c r="AC138" s="4" t="s">
        <v>30</v>
      </c>
      <c r="AD138" s="3"/>
      <c r="AE138" s="3" t="s">
        <v>858</v>
      </c>
      <c r="AF138" s="4" t="s">
        <v>30</v>
      </c>
      <c r="AH138" s="4">
        <v>1</v>
      </c>
      <c r="AI138" s="3" t="s">
        <v>1033</v>
      </c>
      <c r="AJ138" s="4" t="s">
        <v>5825</v>
      </c>
      <c r="AK138" s="4"/>
      <c r="AL138" s="3"/>
    </row>
    <row r="139" spans="1:38" x14ac:dyDescent="0.35">
      <c r="A139" s="3" t="s">
        <v>1034</v>
      </c>
      <c r="B139" s="4" t="s">
        <v>1038</v>
      </c>
      <c r="C139" s="4">
        <f>VLOOKUP(A139, [1]Planilha1!$A$3:$B$1015,2,FALSE)</f>
        <v>4174</v>
      </c>
      <c r="D139" s="4">
        <f t="shared" si="2"/>
        <v>1.1594444444444445</v>
      </c>
      <c r="E139" s="4" t="s">
        <v>1125</v>
      </c>
      <c r="F139" s="3" t="s">
        <v>1036</v>
      </c>
      <c r="G139" s="3" t="s">
        <v>74</v>
      </c>
      <c r="H139" s="3" t="s">
        <v>44</v>
      </c>
      <c r="I139" s="3" t="s">
        <v>33</v>
      </c>
      <c r="J139" s="3" t="s">
        <v>41</v>
      </c>
      <c r="L139" s="1">
        <v>46050.411620370367</v>
      </c>
      <c r="M139" s="1">
        <v>46050.413969907408</v>
      </c>
      <c r="N139" s="1">
        <v>46050.438125000001</v>
      </c>
      <c r="O139" s="3" t="s">
        <v>43</v>
      </c>
      <c r="P139" s="3" t="s">
        <v>1038</v>
      </c>
      <c r="Q139" s="3" t="s">
        <v>42</v>
      </c>
      <c r="R139" s="3" t="s">
        <v>1037</v>
      </c>
      <c r="S139" s="3" t="s">
        <v>80</v>
      </c>
      <c r="T139" s="3" t="s">
        <v>79</v>
      </c>
      <c r="U139" s="4" t="b">
        <v>1</v>
      </c>
      <c r="V139" s="3" t="s">
        <v>31</v>
      </c>
      <c r="W139" s="1"/>
      <c r="Y139" s="3" t="s">
        <v>32</v>
      </c>
      <c r="Z139" s="3" t="s">
        <v>32</v>
      </c>
      <c r="AA139" s="3"/>
      <c r="AB139" s="3"/>
      <c r="AC139" s="4" t="s">
        <v>30</v>
      </c>
      <c r="AD139" s="3"/>
      <c r="AE139" s="3" t="s">
        <v>1038</v>
      </c>
      <c r="AF139" s="4" t="s">
        <v>30</v>
      </c>
      <c r="AH139" s="4">
        <v>1</v>
      </c>
      <c r="AI139" s="3" t="s">
        <v>1035</v>
      </c>
      <c r="AJ139" s="4" t="s">
        <v>5828</v>
      </c>
      <c r="AK139" s="4"/>
      <c r="AL139" s="3"/>
    </row>
    <row r="140" spans="1:38" x14ac:dyDescent="0.35">
      <c r="A140" s="3" t="s">
        <v>1044</v>
      </c>
      <c r="B140" s="4" t="s">
        <v>1009</v>
      </c>
      <c r="C140" s="4">
        <f>VLOOKUP(A140, [1]Planilha1!$A$3:$B$1015,2,FALSE)</f>
        <v>16032</v>
      </c>
      <c r="D140" s="4">
        <f t="shared" si="2"/>
        <v>4.4533333333333331</v>
      </c>
      <c r="E140" s="4" t="s">
        <v>1125</v>
      </c>
      <c r="F140" s="3" t="s">
        <v>1007</v>
      </c>
      <c r="G140" s="3" t="s">
        <v>269</v>
      </c>
      <c r="H140" s="3" t="s">
        <v>44</v>
      </c>
      <c r="I140" s="3" t="s">
        <v>33</v>
      </c>
      <c r="J140" s="3" t="s">
        <v>41</v>
      </c>
      <c r="L140" s="1">
        <v>46050.389988425923</v>
      </c>
      <c r="M140" s="1">
        <v>46050.438819444447</v>
      </c>
      <c r="N140" s="1">
        <v>46050.531597222223</v>
      </c>
      <c r="O140" s="3" t="s">
        <v>43</v>
      </c>
      <c r="P140" s="3" t="s">
        <v>1009</v>
      </c>
      <c r="Q140" s="3" t="s">
        <v>42</v>
      </c>
      <c r="R140" s="3" t="s">
        <v>1008</v>
      </c>
      <c r="S140" s="3" t="s">
        <v>708</v>
      </c>
      <c r="T140" s="3" t="s">
        <v>707</v>
      </c>
      <c r="U140" s="4" t="b">
        <v>1</v>
      </c>
      <c r="V140" s="3" t="s">
        <v>31</v>
      </c>
      <c r="W140" s="1"/>
      <c r="Y140" s="3" t="s">
        <v>32</v>
      </c>
      <c r="Z140" s="3" t="s">
        <v>32</v>
      </c>
      <c r="AA140" s="3"/>
      <c r="AB140" s="3"/>
      <c r="AC140" s="4" t="s">
        <v>30</v>
      </c>
      <c r="AD140" s="3"/>
      <c r="AE140" s="3" t="s">
        <v>1009</v>
      </c>
      <c r="AF140" s="4" t="s">
        <v>30</v>
      </c>
      <c r="AH140" s="4">
        <v>1</v>
      </c>
      <c r="AI140" s="3" t="s">
        <v>1045</v>
      </c>
      <c r="AJ140" s="4" t="s">
        <v>5827</v>
      </c>
      <c r="AK140" s="4"/>
      <c r="AL140" s="3"/>
    </row>
    <row r="141" spans="1:38" x14ac:dyDescent="0.35">
      <c r="A141" s="3" t="s">
        <v>1046</v>
      </c>
      <c r="B141" s="4" t="s">
        <v>1050</v>
      </c>
      <c r="C141" s="4">
        <f>VLOOKUP(A141, [1]Planilha1!$A$3:$B$1015,2,FALSE)</f>
        <v>5966</v>
      </c>
      <c r="D141" s="4">
        <f t="shared" si="2"/>
        <v>1.6572222222222222</v>
      </c>
      <c r="E141" s="4" t="s">
        <v>1125</v>
      </c>
      <c r="F141" s="3" t="s">
        <v>1048</v>
      </c>
      <c r="G141" s="3" t="s">
        <v>44</v>
      </c>
      <c r="H141" s="3" t="s">
        <v>44</v>
      </c>
      <c r="I141" s="3" t="s">
        <v>33</v>
      </c>
      <c r="J141" s="3" t="s">
        <v>41</v>
      </c>
      <c r="L141" s="1">
        <v>46050.387430555558</v>
      </c>
      <c r="M141" s="1">
        <v>46050.389652777776</v>
      </c>
      <c r="N141" s="1">
        <v>46050.424178240741</v>
      </c>
      <c r="O141" s="3" t="s">
        <v>43</v>
      </c>
      <c r="P141" s="3" t="s">
        <v>1050</v>
      </c>
      <c r="Q141" s="3" t="s">
        <v>42</v>
      </c>
      <c r="R141" s="3" t="s">
        <v>1049</v>
      </c>
      <c r="S141" s="3" t="s">
        <v>96</v>
      </c>
      <c r="T141" s="3" t="s">
        <v>95</v>
      </c>
      <c r="U141" s="4" t="b">
        <v>1</v>
      </c>
      <c r="V141" s="3" t="s">
        <v>31</v>
      </c>
      <c r="W141" s="1"/>
      <c r="Y141" s="3" t="s">
        <v>32</v>
      </c>
      <c r="Z141" s="3" t="s">
        <v>32</v>
      </c>
      <c r="AA141" s="3"/>
      <c r="AB141" s="3"/>
      <c r="AC141" s="4" t="s">
        <v>30</v>
      </c>
      <c r="AD141" s="3"/>
      <c r="AE141" s="3" t="s">
        <v>1050</v>
      </c>
      <c r="AF141" s="4" t="s">
        <v>30</v>
      </c>
      <c r="AH141" s="4">
        <v>1</v>
      </c>
      <c r="AI141" s="3" t="s">
        <v>1047</v>
      </c>
      <c r="AJ141" s="4" t="s">
        <v>5829</v>
      </c>
      <c r="AK141" s="4"/>
      <c r="AL141" s="3"/>
    </row>
    <row r="142" spans="1:38" x14ac:dyDescent="0.35">
      <c r="A142" s="3" t="s">
        <v>1051</v>
      </c>
      <c r="B142" s="4" t="s">
        <v>94</v>
      </c>
      <c r="C142" s="4">
        <f>VLOOKUP(A142, [1]Planilha1!$A$3:$B$1015,2,FALSE)</f>
        <v>520</v>
      </c>
      <c r="D142" s="4">
        <f t="shared" si="2"/>
        <v>0.14444444444444443</v>
      </c>
      <c r="E142" s="4" t="s">
        <v>1125</v>
      </c>
      <c r="F142" s="3" t="s">
        <v>92</v>
      </c>
      <c r="G142" s="3" t="s">
        <v>1052</v>
      </c>
      <c r="H142" s="3" t="s">
        <v>44</v>
      </c>
      <c r="I142" s="3" t="s">
        <v>33</v>
      </c>
      <c r="J142" s="3" t="s">
        <v>41</v>
      </c>
      <c r="L142" s="1">
        <v>46050.384571759256</v>
      </c>
      <c r="M142" s="1">
        <v>46050.384571759256</v>
      </c>
      <c r="N142" s="1">
        <v>46050.38758101852</v>
      </c>
      <c r="O142" s="3" t="s">
        <v>43</v>
      </c>
      <c r="P142" s="3" t="s">
        <v>94</v>
      </c>
      <c r="Q142" s="3" t="s">
        <v>42</v>
      </c>
      <c r="R142" s="3" t="s">
        <v>93</v>
      </c>
      <c r="S142" s="3" t="s">
        <v>37</v>
      </c>
      <c r="T142" s="3" t="s">
        <v>36</v>
      </c>
      <c r="U142" s="4" t="b">
        <v>1</v>
      </c>
      <c r="V142" s="3" t="s">
        <v>28</v>
      </c>
      <c r="W142" s="1"/>
      <c r="Y142" s="3" t="s">
        <v>29</v>
      </c>
      <c r="Z142" s="3" t="s">
        <v>29</v>
      </c>
      <c r="AA142" s="3"/>
      <c r="AB142" s="3"/>
      <c r="AC142" s="4" t="s">
        <v>30</v>
      </c>
      <c r="AD142" s="3"/>
      <c r="AE142" s="3" t="s">
        <v>94</v>
      </c>
      <c r="AF142" s="4" t="s">
        <v>30</v>
      </c>
      <c r="AH142" s="4">
        <v>0</v>
      </c>
      <c r="AI142" s="3" t="s">
        <v>1053</v>
      </c>
      <c r="AJ142" s="4"/>
      <c r="AK142" s="4"/>
      <c r="AL142" s="3"/>
    </row>
    <row r="143" spans="1:38" x14ac:dyDescent="0.35">
      <c r="A143" s="3" t="s">
        <v>1054</v>
      </c>
      <c r="B143" s="4" t="s">
        <v>94</v>
      </c>
      <c r="C143" s="4">
        <f>VLOOKUP(A143, [1]Planilha1!$A$3:$B$1015,2,FALSE)</f>
        <v>636</v>
      </c>
      <c r="D143" s="4">
        <f t="shared" si="2"/>
        <v>0.17666666666666667</v>
      </c>
      <c r="E143" s="4" t="s">
        <v>1125</v>
      </c>
      <c r="F143" s="3" t="s">
        <v>92</v>
      </c>
      <c r="G143" s="3" t="s">
        <v>1052</v>
      </c>
      <c r="H143" s="3" t="s">
        <v>44</v>
      </c>
      <c r="I143" s="3" t="s">
        <v>33</v>
      </c>
      <c r="J143" s="3" t="s">
        <v>41</v>
      </c>
      <c r="L143" s="1">
        <v>46050.381736111114</v>
      </c>
      <c r="M143" s="1">
        <v>46050.381736111114</v>
      </c>
      <c r="N143" s="1">
        <v>46050.385416666664</v>
      </c>
      <c r="O143" s="3" t="s">
        <v>43</v>
      </c>
      <c r="P143" s="3" t="s">
        <v>94</v>
      </c>
      <c r="Q143" s="3" t="s">
        <v>42</v>
      </c>
      <c r="R143" s="3" t="s">
        <v>93</v>
      </c>
      <c r="S143" s="3" t="s">
        <v>37</v>
      </c>
      <c r="T143" s="3" t="s">
        <v>36</v>
      </c>
      <c r="U143" s="4" t="b">
        <v>1</v>
      </c>
      <c r="V143" s="3" t="s">
        <v>28</v>
      </c>
      <c r="W143" s="1"/>
      <c r="Y143" s="3" t="s">
        <v>29</v>
      </c>
      <c r="Z143" s="3" t="s">
        <v>29</v>
      </c>
      <c r="AA143" s="3"/>
      <c r="AB143" s="3"/>
      <c r="AC143" s="4" t="s">
        <v>30</v>
      </c>
      <c r="AD143" s="3"/>
      <c r="AE143" s="3" t="s">
        <v>94</v>
      </c>
      <c r="AF143" s="4" t="s">
        <v>30</v>
      </c>
      <c r="AH143" s="4">
        <v>0</v>
      </c>
      <c r="AI143" s="3" t="s">
        <v>1055</v>
      </c>
      <c r="AJ143" s="4"/>
      <c r="AK143" s="4"/>
      <c r="AL143" s="3"/>
    </row>
    <row r="144" spans="1:38" x14ac:dyDescent="0.35">
      <c r="A144" s="3" t="s">
        <v>1062</v>
      </c>
      <c r="B144" s="4" t="s">
        <v>1067</v>
      </c>
      <c r="C144" s="4">
        <f>VLOOKUP(A144, [1]Planilha1!$A$3:$B$1015,2,FALSE)</f>
        <v>9111</v>
      </c>
      <c r="D144" s="4">
        <f t="shared" si="2"/>
        <v>2.5308333333333333</v>
      </c>
      <c r="E144" s="4" t="s">
        <v>1125</v>
      </c>
      <c r="F144" s="3" t="s">
        <v>1065</v>
      </c>
      <c r="G144" s="3" t="s">
        <v>1063</v>
      </c>
      <c r="H144" s="3" t="s">
        <v>44</v>
      </c>
      <c r="I144" s="3" t="s">
        <v>33</v>
      </c>
      <c r="J144" s="3" t="s">
        <v>41</v>
      </c>
      <c r="L144" s="1">
        <v>46050.030798611115</v>
      </c>
      <c r="M144" s="1">
        <v>46050.030798611115</v>
      </c>
      <c r="N144" s="1">
        <v>46050.382372685184</v>
      </c>
      <c r="O144" s="3" t="s">
        <v>43</v>
      </c>
      <c r="P144" s="3" t="s">
        <v>1067</v>
      </c>
      <c r="Q144" s="3" t="s">
        <v>42</v>
      </c>
      <c r="R144" s="3" t="s">
        <v>1066</v>
      </c>
      <c r="S144" s="3" t="s">
        <v>37</v>
      </c>
      <c r="T144" s="3" t="s">
        <v>36</v>
      </c>
      <c r="U144" s="4" t="b">
        <v>1</v>
      </c>
      <c r="V144" s="3" t="s">
        <v>28</v>
      </c>
      <c r="W144" s="1"/>
      <c r="Y144" s="3" t="s">
        <v>29</v>
      </c>
      <c r="Z144" s="3" t="s">
        <v>29</v>
      </c>
      <c r="AA144" s="3"/>
      <c r="AB144" s="3"/>
      <c r="AC144" s="4" t="s">
        <v>30</v>
      </c>
      <c r="AD144" s="3"/>
      <c r="AE144" s="3" t="s">
        <v>1067</v>
      </c>
      <c r="AF144" s="4" t="s">
        <v>30</v>
      </c>
      <c r="AH144" s="4">
        <v>0</v>
      </c>
      <c r="AI144" s="3" t="s">
        <v>1064</v>
      </c>
      <c r="AJ144" s="4"/>
      <c r="AK144" s="4"/>
      <c r="AL144" s="3"/>
    </row>
    <row r="145" spans="1:38" x14ac:dyDescent="0.35">
      <c r="A145" s="3" t="s">
        <v>1068</v>
      </c>
      <c r="B145" s="4" t="s">
        <v>1076</v>
      </c>
      <c r="C145" s="4">
        <f>VLOOKUP(A145, [1]Planilha1!$A$3:$B$1015,2,FALSE)</f>
        <v>44584</v>
      </c>
      <c r="D145" s="4">
        <f t="shared" si="2"/>
        <v>12.384444444444444</v>
      </c>
      <c r="E145" s="4" t="s">
        <v>1125</v>
      </c>
      <c r="F145" s="3" t="s">
        <v>1074</v>
      </c>
      <c r="G145" s="3" t="s">
        <v>1069</v>
      </c>
      <c r="H145" s="3" t="s">
        <v>1073</v>
      </c>
      <c r="I145" s="3" t="s">
        <v>33</v>
      </c>
      <c r="J145" s="3" t="s">
        <v>34</v>
      </c>
      <c r="K145" s="3" t="s">
        <v>1071</v>
      </c>
      <c r="L145" s="1">
        <v>46049.722569444442</v>
      </c>
      <c r="M145" s="1">
        <v>46049.724930555552</v>
      </c>
      <c r="N145" s="1">
        <v>46053.625</v>
      </c>
      <c r="O145" s="3" t="s">
        <v>1072</v>
      </c>
      <c r="P145" s="3" t="s">
        <v>1076</v>
      </c>
      <c r="Q145" s="3" t="s">
        <v>35</v>
      </c>
      <c r="R145" s="3" t="s">
        <v>1075</v>
      </c>
      <c r="S145" s="3" t="s">
        <v>80</v>
      </c>
      <c r="T145" s="3" t="s">
        <v>79</v>
      </c>
      <c r="U145" s="4" t="b">
        <v>0</v>
      </c>
      <c r="V145" s="3" t="s">
        <v>31</v>
      </c>
      <c r="W145" s="1"/>
      <c r="Y145" s="3" t="s">
        <v>32</v>
      </c>
      <c r="Z145" s="3" t="s">
        <v>32</v>
      </c>
      <c r="AA145" s="3"/>
      <c r="AB145" s="3"/>
      <c r="AC145" s="4" t="s">
        <v>30</v>
      </c>
      <c r="AD145" s="3"/>
      <c r="AE145" s="3" t="s">
        <v>1076</v>
      </c>
      <c r="AF145" s="4" t="s">
        <v>30</v>
      </c>
      <c r="AH145" s="4">
        <v>1</v>
      </c>
      <c r="AI145" s="3" t="s">
        <v>1070</v>
      </c>
      <c r="AJ145" s="4"/>
      <c r="AK145" s="4"/>
      <c r="AL145" s="3"/>
    </row>
    <row r="146" spans="1:38" x14ac:dyDescent="0.35">
      <c r="A146" s="3" t="s">
        <v>1077</v>
      </c>
      <c r="B146" s="4" t="s">
        <v>94</v>
      </c>
      <c r="C146" s="4">
        <f>VLOOKUP(A146, [1]Planilha1!$A$3:$B$1015,2,FALSE)</f>
        <v>0</v>
      </c>
      <c r="D146" s="4">
        <f t="shared" si="2"/>
        <v>0</v>
      </c>
      <c r="E146" s="4" t="s">
        <v>1125</v>
      </c>
      <c r="F146" s="3" t="s">
        <v>92</v>
      </c>
      <c r="G146" s="3" t="s">
        <v>42</v>
      </c>
      <c r="H146" s="3" t="s">
        <v>42</v>
      </c>
      <c r="I146" s="3" t="s">
        <v>33</v>
      </c>
      <c r="J146" s="3" t="s">
        <v>459</v>
      </c>
      <c r="L146" s="1">
        <v>46049.721284722225</v>
      </c>
      <c r="M146" s="1">
        <v>46049.723009259258</v>
      </c>
      <c r="N146" s="1">
        <v>46052.75</v>
      </c>
      <c r="O146" s="3" t="s">
        <v>1079</v>
      </c>
      <c r="P146" s="3" t="s">
        <v>94</v>
      </c>
      <c r="Q146" s="3" t="s">
        <v>35</v>
      </c>
      <c r="R146" s="3" t="s">
        <v>93</v>
      </c>
      <c r="S146" s="3" t="s">
        <v>82</v>
      </c>
      <c r="T146" s="3" t="s">
        <v>81</v>
      </c>
      <c r="U146" s="4" t="b">
        <v>1</v>
      </c>
      <c r="V146" s="3" t="s">
        <v>31</v>
      </c>
      <c r="W146" s="1"/>
      <c r="Y146" s="3" t="s">
        <v>32</v>
      </c>
      <c r="Z146" s="3" t="s">
        <v>32</v>
      </c>
      <c r="AA146" s="3"/>
      <c r="AB146" s="3"/>
      <c r="AC146" s="4" t="s">
        <v>30</v>
      </c>
      <c r="AD146" s="3"/>
      <c r="AE146" s="3" t="s">
        <v>94</v>
      </c>
      <c r="AF146" s="4" t="s">
        <v>30</v>
      </c>
      <c r="AH146" s="4">
        <v>0</v>
      </c>
      <c r="AI146" s="3" t="s">
        <v>1078</v>
      </c>
      <c r="AJ146" s="4"/>
      <c r="AK146" s="4"/>
      <c r="AL146" s="3"/>
    </row>
    <row r="147" spans="1:38" x14ac:dyDescent="0.35">
      <c r="A147" s="3" t="s">
        <v>1082</v>
      </c>
      <c r="B147" s="4" t="s">
        <v>1088</v>
      </c>
      <c r="C147" s="4">
        <f>VLOOKUP(A147, [1]Planilha1!$A$3:$B$1015,2,FALSE)</f>
        <v>45406</v>
      </c>
      <c r="D147" s="4">
        <f t="shared" si="2"/>
        <v>12.612777777777778</v>
      </c>
      <c r="E147" s="4" t="s">
        <v>1125</v>
      </c>
      <c r="F147" s="3" t="s">
        <v>1085</v>
      </c>
      <c r="G147" s="3" t="s">
        <v>1083</v>
      </c>
      <c r="H147" s="3" t="s">
        <v>1073</v>
      </c>
      <c r="I147" s="3" t="s">
        <v>33</v>
      </c>
      <c r="J147" s="3" t="s">
        <v>34</v>
      </c>
      <c r="K147" s="3" t="s">
        <v>1071</v>
      </c>
      <c r="L147" s="1">
        <v>46049.712523148148</v>
      </c>
      <c r="M147" s="1">
        <v>46049.718078703707</v>
      </c>
      <c r="N147" s="1">
        <v>46053.625</v>
      </c>
      <c r="O147" s="3" t="s">
        <v>1072</v>
      </c>
      <c r="P147" s="3" t="s">
        <v>1088</v>
      </c>
      <c r="Q147" s="3" t="s">
        <v>35</v>
      </c>
      <c r="R147" s="3" t="s">
        <v>1087</v>
      </c>
      <c r="S147" s="3" t="s">
        <v>80</v>
      </c>
      <c r="T147" s="3" t="s">
        <v>79</v>
      </c>
      <c r="U147" s="4" t="b">
        <v>0</v>
      </c>
      <c r="V147" s="3" t="s">
        <v>31</v>
      </c>
      <c r="W147" s="1"/>
      <c r="Y147" s="3" t="s">
        <v>32</v>
      </c>
      <c r="Z147" s="3" t="s">
        <v>32</v>
      </c>
      <c r="AA147" s="3"/>
      <c r="AB147" s="3"/>
      <c r="AC147" s="4" t="s">
        <v>30</v>
      </c>
      <c r="AD147" s="3"/>
      <c r="AE147" s="3" t="s">
        <v>1088</v>
      </c>
      <c r="AF147" s="4" t="s">
        <v>30</v>
      </c>
      <c r="AH147" s="4">
        <v>1</v>
      </c>
      <c r="AI147" s="3" t="s">
        <v>1084</v>
      </c>
      <c r="AJ147" s="4" t="s">
        <v>1086</v>
      </c>
      <c r="AK147" s="4"/>
      <c r="AL147" s="3"/>
    </row>
    <row r="148" spans="1:38" x14ac:dyDescent="0.35">
      <c r="A148" s="3" t="s">
        <v>1089</v>
      </c>
      <c r="B148" s="4" t="s">
        <v>1081</v>
      </c>
      <c r="C148" s="4">
        <f>VLOOKUP(A148, [1]Planilha1!$A$3:$B$1015,2,FALSE)</f>
        <v>0</v>
      </c>
      <c r="D148" s="4">
        <f t="shared" si="2"/>
        <v>0</v>
      </c>
      <c r="E148" s="4" t="s">
        <v>1125</v>
      </c>
      <c r="F148" s="3" t="s">
        <v>1080</v>
      </c>
      <c r="G148" s="3" t="s">
        <v>800</v>
      </c>
      <c r="H148" s="3" t="s">
        <v>44</v>
      </c>
      <c r="I148" s="3" t="s">
        <v>33</v>
      </c>
      <c r="J148" s="3" t="s">
        <v>60</v>
      </c>
      <c r="K148" s="3" t="s">
        <v>818</v>
      </c>
      <c r="L148" s="1">
        <v>46049.710439814815</v>
      </c>
      <c r="M148" s="1">
        <v>46049.716354166667</v>
      </c>
      <c r="N148" s="1">
        <v>46052.75</v>
      </c>
      <c r="O148" s="3" t="s">
        <v>43</v>
      </c>
      <c r="P148" s="3" t="s">
        <v>1081</v>
      </c>
      <c r="Q148" s="3" t="s">
        <v>35</v>
      </c>
      <c r="S148" s="3" t="s">
        <v>91</v>
      </c>
      <c r="T148" s="3" t="s">
        <v>90</v>
      </c>
      <c r="U148" s="4" t="b">
        <v>1</v>
      </c>
      <c r="V148" s="3" t="s">
        <v>31</v>
      </c>
      <c r="W148" s="1"/>
      <c r="Y148" s="3" t="s">
        <v>32</v>
      </c>
      <c r="Z148" s="3" t="s">
        <v>32</v>
      </c>
      <c r="AA148" s="3"/>
      <c r="AB148" s="3"/>
      <c r="AC148" s="4" t="s">
        <v>30</v>
      </c>
      <c r="AD148" s="3"/>
      <c r="AE148" s="3" t="s">
        <v>1081</v>
      </c>
      <c r="AF148" s="4" t="s">
        <v>30</v>
      </c>
      <c r="AH148" s="4">
        <v>0</v>
      </c>
      <c r="AI148" s="3" t="s">
        <v>1090</v>
      </c>
      <c r="AJ148" s="4"/>
      <c r="AK148" s="4"/>
      <c r="AL148" s="3"/>
    </row>
    <row r="149" spans="1:38" x14ac:dyDescent="0.35">
      <c r="A149" s="3" t="s">
        <v>1093</v>
      </c>
      <c r="B149" s="4" t="s">
        <v>1100</v>
      </c>
      <c r="C149" s="4">
        <f>VLOOKUP(A149, [1]Planilha1!$A$3:$B$1015,2,FALSE)</f>
        <v>0</v>
      </c>
      <c r="D149" s="4">
        <f t="shared" si="2"/>
        <v>0</v>
      </c>
      <c r="E149" s="4" t="s">
        <v>1125</v>
      </c>
      <c r="F149" s="3" t="s">
        <v>1098</v>
      </c>
      <c r="G149" s="3" t="s">
        <v>1094</v>
      </c>
      <c r="H149" s="3" t="s">
        <v>677</v>
      </c>
      <c r="I149" s="3" t="s">
        <v>33</v>
      </c>
      <c r="J149" s="3" t="s">
        <v>60</v>
      </c>
      <c r="K149" s="3" t="s">
        <v>1096</v>
      </c>
      <c r="L149" s="1">
        <v>46049.703148148146</v>
      </c>
      <c r="M149" s="1">
        <v>46049.714571759258</v>
      </c>
      <c r="N149" s="1">
        <v>46052.75</v>
      </c>
      <c r="O149" s="3" t="s">
        <v>1097</v>
      </c>
      <c r="P149" s="3" t="s">
        <v>1100</v>
      </c>
      <c r="Q149" s="3" t="s">
        <v>42</v>
      </c>
      <c r="R149" s="3" t="s">
        <v>1099</v>
      </c>
      <c r="S149" s="3" t="s">
        <v>120</v>
      </c>
      <c r="T149" s="3" t="s">
        <v>119</v>
      </c>
      <c r="U149" s="4" t="b">
        <v>1</v>
      </c>
      <c r="V149" s="3" t="s">
        <v>31</v>
      </c>
      <c r="W149" s="1"/>
      <c r="Y149" s="3" t="s">
        <v>32</v>
      </c>
      <c r="Z149" s="3" t="s">
        <v>32</v>
      </c>
      <c r="AA149" s="3"/>
      <c r="AB149" s="3"/>
      <c r="AC149" s="4" t="s">
        <v>30</v>
      </c>
      <c r="AD149" s="3"/>
      <c r="AE149" s="3" t="s">
        <v>1100</v>
      </c>
      <c r="AF149" s="4" t="s">
        <v>30</v>
      </c>
      <c r="AH149" s="4">
        <v>0</v>
      </c>
      <c r="AI149" s="3" t="s">
        <v>1095</v>
      </c>
      <c r="AJ149" s="4"/>
      <c r="AK149" s="4"/>
      <c r="AL149" s="3"/>
    </row>
    <row r="150" spans="1:38" x14ac:dyDescent="0.35">
      <c r="A150" s="3" t="s">
        <v>1101</v>
      </c>
      <c r="B150" s="4" t="s">
        <v>1104</v>
      </c>
      <c r="C150" s="4">
        <f>VLOOKUP(A150, [1]Planilha1!$A$3:$B$1015,2,FALSE)</f>
        <v>11014</v>
      </c>
      <c r="D150" s="4">
        <f t="shared" si="2"/>
        <v>3.0594444444444444</v>
      </c>
      <c r="E150" s="4" t="s">
        <v>1125</v>
      </c>
      <c r="F150" s="3" t="s">
        <v>1103</v>
      </c>
      <c r="G150" s="3" t="s">
        <v>44</v>
      </c>
      <c r="H150" s="3" t="s">
        <v>44</v>
      </c>
      <c r="I150" s="3" t="s">
        <v>33</v>
      </c>
      <c r="J150" s="3" t="s">
        <v>41</v>
      </c>
      <c r="L150" s="1">
        <v>46049.699560185189</v>
      </c>
      <c r="M150" s="1">
        <v>46049.700624999998</v>
      </c>
      <c r="N150" s="1">
        <v>46050.389363425929</v>
      </c>
      <c r="O150" s="3" t="s">
        <v>43</v>
      </c>
      <c r="P150" s="3" t="s">
        <v>1104</v>
      </c>
      <c r="Q150" s="3" t="s">
        <v>42</v>
      </c>
      <c r="R150" s="3" t="s">
        <v>1008</v>
      </c>
      <c r="S150" s="3" t="s">
        <v>339</v>
      </c>
      <c r="T150" s="3" t="s">
        <v>338</v>
      </c>
      <c r="U150" s="4" t="b">
        <v>1</v>
      </c>
      <c r="V150" s="3" t="s">
        <v>31</v>
      </c>
      <c r="W150" s="1"/>
      <c r="Y150" s="3" t="s">
        <v>32</v>
      </c>
      <c r="Z150" s="3" t="s">
        <v>32</v>
      </c>
      <c r="AA150" s="3"/>
      <c r="AB150" s="3"/>
      <c r="AC150" s="4" t="s">
        <v>30</v>
      </c>
      <c r="AD150" s="3"/>
      <c r="AE150" s="3" t="s">
        <v>1104</v>
      </c>
      <c r="AF150" s="4" t="s">
        <v>30</v>
      </c>
      <c r="AH150" s="4">
        <v>1</v>
      </c>
      <c r="AI150" s="3" t="s">
        <v>1102</v>
      </c>
      <c r="AJ150" s="4" t="s">
        <v>5830</v>
      </c>
      <c r="AK150" s="4"/>
      <c r="AL150" s="3"/>
    </row>
    <row r="151" spans="1:38" x14ac:dyDescent="0.35">
      <c r="A151" s="3" t="s">
        <v>1105</v>
      </c>
      <c r="B151" s="4" t="s">
        <v>1111</v>
      </c>
      <c r="C151" s="4">
        <f>VLOOKUP(A151, [1]Planilha1!$A$3:$B$1015,2,FALSE)</f>
        <v>11914</v>
      </c>
      <c r="D151" s="4">
        <f t="shared" si="2"/>
        <v>3.3094444444444444</v>
      </c>
      <c r="E151" s="4" t="s">
        <v>1125</v>
      </c>
      <c r="F151" s="3" t="s">
        <v>1108</v>
      </c>
      <c r="G151" s="3" t="s">
        <v>676</v>
      </c>
      <c r="H151" s="3" t="s">
        <v>44</v>
      </c>
      <c r="I151" s="3" t="s">
        <v>33</v>
      </c>
      <c r="J151" s="3" t="s">
        <v>41</v>
      </c>
      <c r="K151" s="3" t="s">
        <v>1107</v>
      </c>
      <c r="L151" s="1">
        <v>46049.69158564815</v>
      </c>
      <c r="M151" s="1">
        <v>46049.694594907407</v>
      </c>
      <c r="N151" s="1">
        <v>46050.388541666667</v>
      </c>
      <c r="O151" s="3" t="s">
        <v>43</v>
      </c>
      <c r="P151" s="3" t="s">
        <v>1111</v>
      </c>
      <c r="Q151" s="3" t="s">
        <v>42</v>
      </c>
      <c r="R151" s="3" t="s">
        <v>1110</v>
      </c>
      <c r="S151" s="3" t="s">
        <v>91</v>
      </c>
      <c r="T151" s="3" t="s">
        <v>90</v>
      </c>
      <c r="U151" s="4" t="b">
        <v>1</v>
      </c>
      <c r="V151" s="3" t="s">
        <v>31</v>
      </c>
      <c r="W151" s="1"/>
      <c r="Y151" s="3" t="s">
        <v>32</v>
      </c>
      <c r="Z151" s="3" t="s">
        <v>32</v>
      </c>
      <c r="AA151" s="3"/>
      <c r="AB151" s="3"/>
      <c r="AC151" s="4" t="s">
        <v>30</v>
      </c>
      <c r="AD151" s="3"/>
      <c r="AE151" s="3" t="s">
        <v>1111</v>
      </c>
      <c r="AF151" s="4" t="s">
        <v>30</v>
      </c>
      <c r="AH151" s="4">
        <v>1</v>
      </c>
      <c r="AI151" s="3" t="s">
        <v>1106</v>
      </c>
      <c r="AJ151" s="4" t="s">
        <v>1109</v>
      </c>
      <c r="AK151" s="4"/>
      <c r="AL151" s="3"/>
    </row>
    <row r="152" spans="1:38" x14ac:dyDescent="0.35">
      <c r="A152" s="3" t="s">
        <v>1112</v>
      </c>
      <c r="B152" s="4" t="s">
        <v>1030</v>
      </c>
      <c r="C152" s="4">
        <f>VLOOKUP(A152, [1]Planilha1!$A$3:$B$1015,2,FALSE)</f>
        <v>24396</v>
      </c>
      <c r="D152" s="4">
        <f t="shared" si="2"/>
        <v>6.7766666666666664</v>
      </c>
      <c r="E152" s="4" t="s">
        <v>1125</v>
      </c>
      <c r="F152" s="3" t="s">
        <v>1028</v>
      </c>
      <c r="G152" s="3" t="s">
        <v>1113</v>
      </c>
      <c r="H152" s="3" t="s">
        <v>1116</v>
      </c>
      <c r="I152" s="3" t="s">
        <v>33</v>
      </c>
      <c r="J152" s="3" t="s">
        <v>34</v>
      </c>
      <c r="K152" s="3" t="s">
        <v>1027</v>
      </c>
      <c r="L152" s="1">
        <v>46049.689444444448</v>
      </c>
      <c r="M152" s="1">
        <v>46049.689444444448</v>
      </c>
      <c r="N152" s="1">
        <v>46053.416666666664</v>
      </c>
      <c r="O152" s="3" t="s">
        <v>1115</v>
      </c>
      <c r="P152" s="3" t="s">
        <v>1030</v>
      </c>
      <c r="Q152" s="3" t="s">
        <v>35</v>
      </c>
      <c r="R152" s="3" t="s">
        <v>1029</v>
      </c>
      <c r="S152" s="3" t="s">
        <v>37</v>
      </c>
      <c r="T152" s="3" t="s">
        <v>36</v>
      </c>
      <c r="U152" s="4" t="b">
        <v>1</v>
      </c>
      <c r="V152" s="3" t="s">
        <v>28</v>
      </c>
      <c r="W152" s="1"/>
      <c r="Y152" s="3" t="s">
        <v>29</v>
      </c>
      <c r="Z152" s="3" t="s">
        <v>29</v>
      </c>
      <c r="AA152" s="3"/>
      <c r="AB152" s="3"/>
      <c r="AC152" s="4" t="s">
        <v>30</v>
      </c>
      <c r="AD152" s="3"/>
      <c r="AE152" s="3" t="s">
        <v>1030</v>
      </c>
      <c r="AF152" s="4" t="s">
        <v>30</v>
      </c>
      <c r="AH152" s="4">
        <v>0</v>
      </c>
      <c r="AI152" s="3" t="s">
        <v>1114</v>
      </c>
      <c r="AJ152" s="4" t="s">
        <v>5831</v>
      </c>
      <c r="AK152" s="4"/>
      <c r="AL152" s="3"/>
    </row>
    <row r="153" spans="1:38" x14ac:dyDescent="0.35">
      <c r="A153" s="3" t="s">
        <v>1117</v>
      </c>
      <c r="B153" s="4" t="s">
        <v>94</v>
      </c>
      <c r="C153" s="4">
        <f>VLOOKUP(A153, [1]Planilha1!$A$3:$B$1015,2,FALSE)</f>
        <v>0</v>
      </c>
      <c r="D153" s="4">
        <f t="shared" si="2"/>
        <v>0</v>
      </c>
      <c r="E153" s="4" t="s">
        <v>1125</v>
      </c>
      <c r="F153" s="3" t="s">
        <v>92</v>
      </c>
      <c r="G153" s="3" t="s">
        <v>146</v>
      </c>
      <c r="H153" s="3" t="s">
        <v>148</v>
      </c>
      <c r="I153" s="3" t="s">
        <v>33</v>
      </c>
      <c r="J153" s="3" t="s">
        <v>459</v>
      </c>
      <c r="L153" s="1">
        <v>46049.689328703702</v>
      </c>
      <c r="M153" s="1">
        <v>46049.690057870372</v>
      </c>
      <c r="N153" s="1">
        <v>46052.708333333336</v>
      </c>
      <c r="O153" s="3" t="s">
        <v>147</v>
      </c>
      <c r="P153" s="3" t="s">
        <v>94</v>
      </c>
      <c r="Q153" s="3" t="s">
        <v>35</v>
      </c>
      <c r="R153" s="3" t="s">
        <v>93</v>
      </c>
      <c r="S153" s="3" t="s">
        <v>82</v>
      </c>
      <c r="T153" s="3" t="s">
        <v>81</v>
      </c>
      <c r="U153" s="4" t="b">
        <v>1</v>
      </c>
      <c r="V153" s="3" t="s">
        <v>31</v>
      </c>
      <c r="W153" s="1"/>
      <c r="Y153" s="3" t="s">
        <v>32</v>
      </c>
      <c r="Z153" s="3" t="s">
        <v>32</v>
      </c>
      <c r="AA153" s="3"/>
      <c r="AB153" s="3"/>
      <c r="AC153" s="4" t="s">
        <v>30</v>
      </c>
      <c r="AD153" s="3"/>
      <c r="AE153" s="3" t="s">
        <v>94</v>
      </c>
      <c r="AF153" s="4" t="s">
        <v>30</v>
      </c>
      <c r="AH153" s="4">
        <v>0</v>
      </c>
      <c r="AI153" s="3" t="s">
        <v>1118</v>
      </c>
      <c r="AJ153" s="4"/>
      <c r="AK153" s="4"/>
      <c r="AL153" s="3"/>
    </row>
    <row r="154" spans="1:38" x14ac:dyDescent="0.35">
      <c r="A154" s="3" t="s">
        <v>1119</v>
      </c>
      <c r="B154" s="4" t="s">
        <v>1123</v>
      </c>
      <c r="C154" s="4">
        <f>VLOOKUP(A154, [1]Planilha1!$A$3:$B$1015,2,FALSE)</f>
        <v>19460</v>
      </c>
      <c r="D154" s="4">
        <f t="shared" si="2"/>
        <v>5.4055555555555559</v>
      </c>
      <c r="E154" s="4" t="s">
        <v>1125</v>
      </c>
      <c r="F154" s="3" t="s">
        <v>1122</v>
      </c>
      <c r="G154" s="3" t="s">
        <v>1120</v>
      </c>
      <c r="H154" s="3" t="s">
        <v>44</v>
      </c>
      <c r="I154" s="3" t="s">
        <v>33</v>
      </c>
      <c r="J154" s="3" t="s">
        <v>41</v>
      </c>
      <c r="L154" s="1">
        <v>46049.686527777776</v>
      </c>
      <c r="M154" s="1">
        <v>46049.686527777776</v>
      </c>
      <c r="N154" s="1">
        <v>46050.416909722226</v>
      </c>
      <c r="O154" s="3" t="s">
        <v>43</v>
      </c>
      <c r="P154" s="3" t="s">
        <v>1123</v>
      </c>
      <c r="Q154" s="3" t="s">
        <v>42</v>
      </c>
      <c r="R154" s="3" t="s">
        <v>1008</v>
      </c>
      <c r="S154" s="3" t="s">
        <v>37</v>
      </c>
      <c r="T154" s="3" t="s">
        <v>36</v>
      </c>
      <c r="U154" s="4" t="b">
        <v>1</v>
      </c>
      <c r="V154" s="3" t="s">
        <v>28</v>
      </c>
      <c r="W154" s="1"/>
      <c r="Y154" s="3" t="s">
        <v>29</v>
      </c>
      <c r="Z154" s="3" t="s">
        <v>29</v>
      </c>
      <c r="AA154" s="3"/>
      <c r="AB154" s="3"/>
      <c r="AC154" s="4" t="s">
        <v>30</v>
      </c>
      <c r="AD154" s="3"/>
      <c r="AE154" s="3" t="s">
        <v>1123</v>
      </c>
      <c r="AF154" s="4" t="s">
        <v>30</v>
      </c>
      <c r="AH154" s="4">
        <v>2</v>
      </c>
      <c r="AI154" s="3" t="s">
        <v>1121</v>
      </c>
      <c r="AJ154" s="4" t="s">
        <v>5832</v>
      </c>
      <c r="AK154" s="4"/>
      <c r="AL154" s="3"/>
    </row>
    <row r="155" spans="1:38" x14ac:dyDescent="0.35">
      <c r="A155" s="3" t="s">
        <v>1124</v>
      </c>
      <c r="B155" s="4" t="s">
        <v>94</v>
      </c>
      <c r="C155" s="4">
        <f>VLOOKUP(A155, [1]Planilha1!$A$3:$B$1015,2,FALSE)</f>
        <v>0</v>
      </c>
      <c r="D155" s="4">
        <f t="shared" si="2"/>
        <v>0</v>
      </c>
      <c r="E155" s="4" t="s">
        <v>1125</v>
      </c>
      <c r="F155" s="3" t="s">
        <v>92</v>
      </c>
      <c r="G155" s="3" t="s">
        <v>1125</v>
      </c>
      <c r="H155" s="3" t="s">
        <v>1125</v>
      </c>
      <c r="I155" s="3" t="s">
        <v>33</v>
      </c>
      <c r="J155" s="3" t="s">
        <v>459</v>
      </c>
      <c r="L155" s="1">
        <v>46049.681215277778</v>
      </c>
      <c r="M155" s="1">
        <v>46049.685578703706</v>
      </c>
      <c r="N155" s="1">
        <v>46052.708333333336</v>
      </c>
      <c r="O155" s="3" t="s">
        <v>1127</v>
      </c>
      <c r="P155" s="3" t="s">
        <v>94</v>
      </c>
      <c r="Q155" s="3" t="s">
        <v>35</v>
      </c>
      <c r="R155" s="3" t="s">
        <v>93</v>
      </c>
      <c r="S155" s="3" t="s">
        <v>82</v>
      </c>
      <c r="T155" s="3" t="s">
        <v>81</v>
      </c>
      <c r="U155" s="4" t="b">
        <v>1</v>
      </c>
      <c r="V155" s="3" t="s">
        <v>31</v>
      </c>
      <c r="W155" s="1"/>
      <c r="Y155" s="3" t="s">
        <v>32</v>
      </c>
      <c r="Z155" s="3" t="s">
        <v>32</v>
      </c>
      <c r="AA155" s="3"/>
      <c r="AB155" s="3"/>
      <c r="AC155" s="4" t="s">
        <v>30</v>
      </c>
      <c r="AD155" s="3"/>
      <c r="AE155" s="3" t="s">
        <v>94</v>
      </c>
      <c r="AF155" s="4" t="s">
        <v>30</v>
      </c>
      <c r="AH155" s="4">
        <v>0</v>
      </c>
      <c r="AI155" s="3" t="s">
        <v>1126</v>
      </c>
      <c r="AJ155" s="4"/>
      <c r="AK155" s="4"/>
      <c r="AL155" s="3"/>
    </row>
    <row r="156" spans="1:38" x14ac:dyDescent="0.35">
      <c r="A156" s="3" t="s">
        <v>1128</v>
      </c>
      <c r="B156" s="4" t="s">
        <v>1134</v>
      </c>
      <c r="C156" s="4">
        <f>VLOOKUP(A156, [1]Planilha1!$A$3:$B$1015,2,FALSE)</f>
        <v>13302</v>
      </c>
      <c r="D156" s="4">
        <f t="shared" si="2"/>
        <v>3.6949999999999998</v>
      </c>
      <c r="E156" s="4" t="s">
        <v>1125</v>
      </c>
      <c r="F156" s="3" t="s">
        <v>1131</v>
      </c>
      <c r="G156" s="3" t="s">
        <v>100</v>
      </c>
      <c r="H156" s="3" t="s">
        <v>44</v>
      </c>
      <c r="I156" s="3" t="s">
        <v>33</v>
      </c>
      <c r="J156" s="3" t="s">
        <v>41</v>
      </c>
      <c r="K156" s="3" t="s">
        <v>1130</v>
      </c>
      <c r="L156" s="1">
        <v>46049.672685185185</v>
      </c>
      <c r="M156" s="1">
        <v>46049.685520833336</v>
      </c>
      <c r="N156" s="1">
        <v>46050.386192129627</v>
      </c>
      <c r="O156" s="3" t="s">
        <v>43</v>
      </c>
      <c r="P156" s="3" t="s">
        <v>1134</v>
      </c>
      <c r="Q156" s="3" t="s">
        <v>42</v>
      </c>
      <c r="R156" s="3" t="s">
        <v>1133</v>
      </c>
      <c r="S156" s="3" t="s">
        <v>98</v>
      </c>
      <c r="T156" s="3" t="s">
        <v>97</v>
      </c>
      <c r="U156" s="4" t="b">
        <v>1</v>
      </c>
      <c r="V156" s="3" t="s">
        <v>31</v>
      </c>
      <c r="W156" s="1"/>
      <c r="Y156" s="3" t="s">
        <v>32</v>
      </c>
      <c r="Z156" s="3" t="s">
        <v>32</v>
      </c>
      <c r="AA156" s="3"/>
      <c r="AB156" s="3"/>
      <c r="AC156" s="4" t="s">
        <v>30</v>
      </c>
      <c r="AD156" s="3"/>
      <c r="AE156" s="3" t="s">
        <v>1134</v>
      </c>
      <c r="AF156" s="4" t="s">
        <v>30</v>
      </c>
      <c r="AH156" s="4">
        <v>1</v>
      </c>
      <c r="AI156" s="3" t="s">
        <v>1129</v>
      </c>
      <c r="AJ156" s="4" t="s">
        <v>1132</v>
      </c>
      <c r="AK156" s="4"/>
      <c r="AL156" s="3"/>
    </row>
    <row r="157" spans="1:38" x14ac:dyDescent="0.35">
      <c r="A157" s="3" t="s">
        <v>1135</v>
      </c>
      <c r="B157" s="4" t="s">
        <v>1141</v>
      </c>
      <c r="C157" s="4">
        <f>VLOOKUP(A157, [1]Planilha1!$A$3:$B$1015,2,FALSE)</f>
        <v>5696</v>
      </c>
      <c r="D157" s="4">
        <f t="shared" si="2"/>
        <v>1.5822222222222222</v>
      </c>
      <c r="E157" s="4" t="s">
        <v>1125</v>
      </c>
      <c r="F157" s="3" t="s">
        <v>1138</v>
      </c>
      <c r="G157" s="3" t="s">
        <v>1136</v>
      </c>
      <c r="H157" s="3" t="s">
        <v>44</v>
      </c>
      <c r="I157" s="3" t="s">
        <v>33</v>
      </c>
      <c r="J157" s="3" t="s">
        <v>41</v>
      </c>
      <c r="L157" s="1">
        <v>46049.666203703702</v>
      </c>
      <c r="M157" s="1">
        <v>46049.666203703702</v>
      </c>
      <c r="N157" s="1">
        <v>46049.692812499998</v>
      </c>
      <c r="O157" s="3" t="s">
        <v>43</v>
      </c>
      <c r="P157" s="3" t="s">
        <v>1141</v>
      </c>
      <c r="Q157" s="3" t="s">
        <v>42</v>
      </c>
      <c r="R157" s="3" t="s">
        <v>1140</v>
      </c>
      <c r="S157" s="3" t="s">
        <v>37</v>
      </c>
      <c r="T157" s="3" t="s">
        <v>36</v>
      </c>
      <c r="U157" s="4" t="b">
        <v>1</v>
      </c>
      <c r="V157" s="3" t="s">
        <v>28</v>
      </c>
      <c r="W157" s="1"/>
      <c r="Y157" s="3" t="s">
        <v>29</v>
      </c>
      <c r="Z157" s="3" t="s">
        <v>29</v>
      </c>
      <c r="AA157" s="3"/>
      <c r="AB157" s="3"/>
      <c r="AC157" s="4" t="s">
        <v>30</v>
      </c>
      <c r="AD157" s="3"/>
      <c r="AE157" s="3" t="s">
        <v>1141</v>
      </c>
      <c r="AF157" s="4" t="s">
        <v>30</v>
      </c>
      <c r="AH157" s="4">
        <v>2</v>
      </c>
      <c r="AI157" s="3" t="s">
        <v>1137</v>
      </c>
      <c r="AJ157" s="4" t="s">
        <v>1139</v>
      </c>
      <c r="AK157" s="4"/>
      <c r="AL157" s="3"/>
    </row>
    <row r="158" spans="1:38" x14ac:dyDescent="0.35">
      <c r="A158" s="3" t="s">
        <v>1142</v>
      </c>
      <c r="B158" s="4" t="s">
        <v>1148</v>
      </c>
      <c r="C158" s="4">
        <f>VLOOKUP(A158, [1]Planilha1!$A$3:$B$1015,2,FALSE)</f>
        <v>14780</v>
      </c>
      <c r="D158" s="4">
        <f t="shared" si="2"/>
        <v>4.1055555555555552</v>
      </c>
      <c r="E158" s="4" t="s">
        <v>1125</v>
      </c>
      <c r="F158" s="3" t="s">
        <v>1145</v>
      </c>
      <c r="G158" s="3" t="s">
        <v>100</v>
      </c>
      <c r="H158" s="3" t="s">
        <v>44</v>
      </c>
      <c r="I158" s="3" t="s">
        <v>33</v>
      </c>
      <c r="J158" s="3" t="s">
        <v>41</v>
      </c>
      <c r="K158" s="3" t="s">
        <v>1144</v>
      </c>
      <c r="L158" s="1">
        <v>46049.663090277776</v>
      </c>
      <c r="M158" s="1">
        <v>46049.672662037039</v>
      </c>
      <c r="N158" s="1">
        <v>46050.383194444446</v>
      </c>
      <c r="O158" s="3" t="s">
        <v>43</v>
      </c>
      <c r="P158" s="3" t="s">
        <v>1148</v>
      </c>
      <c r="Q158" s="3" t="s">
        <v>42</v>
      </c>
      <c r="R158" s="3" t="s">
        <v>1147</v>
      </c>
      <c r="S158" s="3" t="s">
        <v>190</v>
      </c>
      <c r="T158" s="3" t="s">
        <v>189</v>
      </c>
      <c r="U158" s="4" t="b">
        <v>1</v>
      </c>
      <c r="V158" s="3" t="s">
        <v>31</v>
      </c>
      <c r="W158" s="1"/>
      <c r="Y158" s="3" t="s">
        <v>32</v>
      </c>
      <c r="Z158" s="3" t="s">
        <v>32</v>
      </c>
      <c r="AA158" s="3"/>
      <c r="AB158" s="3"/>
      <c r="AC158" s="4" t="s">
        <v>30</v>
      </c>
      <c r="AD158" s="3"/>
      <c r="AE158" s="3" t="s">
        <v>1148</v>
      </c>
      <c r="AF158" s="4" t="s">
        <v>30</v>
      </c>
      <c r="AH158" s="4">
        <v>1</v>
      </c>
      <c r="AI158" s="3" t="s">
        <v>1143</v>
      </c>
      <c r="AJ158" s="4" t="s">
        <v>1146</v>
      </c>
      <c r="AK158" s="4"/>
      <c r="AL158" s="3"/>
    </row>
    <row r="159" spans="1:38" x14ac:dyDescent="0.35">
      <c r="A159" s="3" t="s">
        <v>1027</v>
      </c>
      <c r="B159" s="4" t="s">
        <v>1030</v>
      </c>
      <c r="C159" s="4">
        <f>VLOOKUP(A159, [1]Planilha1!$A$3:$B$1015,2,FALSE)</f>
        <v>5966</v>
      </c>
      <c r="D159" s="4">
        <f t="shared" si="2"/>
        <v>1.6572222222222222</v>
      </c>
      <c r="E159" s="4" t="s">
        <v>1125</v>
      </c>
      <c r="F159" s="3" t="s">
        <v>1028</v>
      </c>
      <c r="G159" s="3" t="s">
        <v>1153</v>
      </c>
      <c r="H159" s="3" t="s">
        <v>1116</v>
      </c>
      <c r="I159" s="3" t="s">
        <v>33</v>
      </c>
      <c r="J159" s="3" t="s">
        <v>41</v>
      </c>
      <c r="L159" s="1">
        <v>46049.656145833331</v>
      </c>
      <c r="M159" s="1">
        <v>46049.656145833331</v>
      </c>
      <c r="N159" s="1">
        <v>46049.690671296295</v>
      </c>
      <c r="O159" s="3" t="s">
        <v>1115</v>
      </c>
      <c r="P159" s="3" t="s">
        <v>1030</v>
      </c>
      <c r="Q159" s="3" t="s">
        <v>35</v>
      </c>
      <c r="R159" s="3" t="s">
        <v>1029</v>
      </c>
      <c r="S159" s="3" t="s">
        <v>37</v>
      </c>
      <c r="T159" s="3" t="s">
        <v>36</v>
      </c>
      <c r="U159" s="4" t="b">
        <v>1</v>
      </c>
      <c r="V159" s="3" t="s">
        <v>28</v>
      </c>
      <c r="W159" s="1"/>
      <c r="Y159" s="3" t="s">
        <v>29</v>
      </c>
      <c r="Z159" s="3" t="s">
        <v>29</v>
      </c>
      <c r="AA159" s="3"/>
      <c r="AB159" s="3"/>
      <c r="AC159" s="4" t="s">
        <v>30</v>
      </c>
      <c r="AD159" s="3"/>
      <c r="AE159" s="3" t="s">
        <v>1030</v>
      </c>
      <c r="AF159" s="4" t="s">
        <v>30</v>
      </c>
      <c r="AH159" s="4">
        <v>1</v>
      </c>
      <c r="AI159" s="3" t="s">
        <v>1154</v>
      </c>
      <c r="AJ159" s="4" t="s">
        <v>5831</v>
      </c>
      <c r="AK159" s="4"/>
      <c r="AL159" s="3"/>
    </row>
    <row r="160" spans="1:38" x14ac:dyDescent="0.35">
      <c r="A160" s="3" t="s">
        <v>1155</v>
      </c>
      <c r="B160" s="4" t="s">
        <v>1161</v>
      </c>
      <c r="C160" s="4">
        <f>VLOOKUP(A160, [1]Planilha1!$A$3:$B$1015,2,FALSE)</f>
        <v>2226</v>
      </c>
      <c r="D160" s="4">
        <f t="shared" si="2"/>
        <v>0.61833333333333329</v>
      </c>
      <c r="E160" s="4" t="s">
        <v>1125</v>
      </c>
      <c r="F160" s="3" t="s">
        <v>1158</v>
      </c>
      <c r="G160" s="3" t="s">
        <v>1156</v>
      </c>
      <c r="H160" s="3" t="s">
        <v>224</v>
      </c>
      <c r="I160" s="3" t="s">
        <v>33</v>
      </c>
      <c r="J160" s="3" t="s">
        <v>41</v>
      </c>
      <c r="L160" s="1">
        <v>46049.632233796299</v>
      </c>
      <c r="M160" s="1">
        <v>46049.632233796299</v>
      </c>
      <c r="N160" s="1">
        <v>46049.645115740743</v>
      </c>
      <c r="O160" s="3" t="s">
        <v>223</v>
      </c>
      <c r="P160" s="3" t="s">
        <v>1161</v>
      </c>
      <c r="Q160" s="3" t="s">
        <v>42</v>
      </c>
      <c r="R160" s="3" t="s">
        <v>1160</v>
      </c>
      <c r="S160" s="3" t="s">
        <v>37</v>
      </c>
      <c r="T160" s="3" t="s">
        <v>36</v>
      </c>
      <c r="U160" s="4" t="b">
        <v>1</v>
      </c>
      <c r="V160" s="3" t="s">
        <v>28</v>
      </c>
      <c r="W160" s="1"/>
      <c r="Y160" s="3" t="s">
        <v>29</v>
      </c>
      <c r="Z160" s="3" t="s">
        <v>29</v>
      </c>
      <c r="AA160" s="3"/>
      <c r="AB160" s="3"/>
      <c r="AC160" s="4" t="s">
        <v>30</v>
      </c>
      <c r="AD160" s="3"/>
      <c r="AE160" s="3" t="s">
        <v>1161</v>
      </c>
      <c r="AF160" s="4" t="s">
        <v>30</v>
      </c>
      <c r="AH160" s="4">
        <v>1</v>
      </c>
      <c r="AI160" s="3" t="s">
        <v>1157</v>
      </c>
      <c r="AJ160" s="4" t="s">
        <v>1159</v>
      </c>
      <c r="AK160" s="4"/>
      <c r="AL160" s="3"/>
    </row>
    <row r="161" spans="1:38" x14ac:dyDescent="0.35">
      <c r="A161" s="3" t="s">
        <v>1162</v>
      </c>
      <c r="B161" s="4" t="s">
        <v>1167</v>
      </c>
      <c r="C161" s="4">
        <f>VLOOKUP(A161, [1]Planilha1!$A$3:$B$1015,2,FALSE)</f>
        <v>13160</v>
      </c>
      <c r="D161" s="4">
        <f t="shared" si="2"/>
        <v>3.6555555555555554</v>
      </c>
      <c r="E161" s="4" t="s">
        <v>1125</v>
      </c>
      <c r="F161" s="3" t="s">
        <v>1165</v>
      </c>
      <c r="G161" s="3" t="s">
        <v>44</v>
      </c>
      <c r="H161" s="3" t="s">
        <v>44</v>
      </c>
      <c r="I161" s="3" t="s">
        <v>33</v>
      </c>
      <c r="J161" s="3" t="s">
        <v>34</v>
      </c>
      <c r="K161" s="3" t="s">
        <v>1164</v>
      </c>
      <c r="L161" s="1">
        <v>46049.630231481482</v>
      </c>
      <c r="M161" s="1">
        <v>46049.648553240739</v>
      </c>
      <c r="N161" s="1">
        <v>46052.75</v>
      </c>
      <c r="O161" s="3" t="s">
        <v>43</v>
      </c>
      <c r="P161" s="3" t="s">
        <v>1167</v>
      </c>
      <c r="Q161" s="3" t="s">
        <v>35</v>
      </c>
      <c r="R161" s="3" t="s">
        <v>1166</v>
      </c>
      <c r="S161" s="3" t="s">
        <v>98</v>
      </c>
      <c r="T161" s="3" t="s">
        <v>97</v>
      </c>
      <c r="U161" s="4" t="b">
        <v>1</v>
      </c>
      <c r="V161" s="3" t="s">
        <v>31</v>
      </c>
      <c r="W161" s="1"/>
      <c r="Y161" s="3" t="s">
        <v>32</v>
      </c>
      <c r="Z161" s="3" t="s">
        <v>32</v>
      </c>
      <c r="AA161" s="3"/>
      <c r="AB161" s="3"/>
      <c r="AC161" s="4" t="s">
        <v>30</v>
      </c>
      <c r="AD161" s="3"/>
      <c r="AE161" s="3" t="s">
        <v>1167</v>
      </c>
      <c r="AF161" s="4" t="s">
        <v>30</v>
      </c>
      <c r="AH161" s="4">
        <v>2</v>
      </c>
      <c r="AI161" s="3" t="s">
        <v>1163</v>
      </c>
      <c r="AJ161" s="4" t="s">
        <v>5833</v>
      </c>
      <c r="AK161" s="4"/>
      <c r="AL161" s="3"/>
    </row>
    <row r="162" spans="1:38" x14ac:dyDescent="0.35">
      <c r="A162" s="3" t="s">
        <v>1168</v>
      </c>
      <c r="B162" s="4" t="s">
        <v>1174</v>
      </c>
      <c r="C162" s="4">
        <f>VLOOKUP(A162, [1]Planilha1!$A$3:$B$1015,2,FALSE)</f>
        <v>1988</v>
      </c>
      <c r="D162" s="4">
        <f t="shared" si="2"/>
        <v>0.55222222222222217</v>
      </c>
      <c r="E162" s="4" t="s">
        <v>1125</v>
      </c>
      <c r="F162" s="3" t="s">
        <v>1172</v>
      </c>
      <c r="G162" s="3" t="s">
        <v>1169</v>
      </c>
      <c r="H162" s="3" t="s">
        <v>44</v>
      </c>
      <c r="I162" s="3" t="s">
        <v>33</v>
      </c>
      <c r="J162" s="3" t="s">
        <v>41</v>
      </c>
      <c r="K162" s="3" t="s">
        <v>1171</v>
      </c>
      <c r="L162" s="1">
        <v>46049.626956018517</v>
      </c>
      <c r="M162" s="1">
        <v>46049.662777777776</v>
      </c>
      <c r="N162" s="1">
        <v>46049.67428240741</v>
      </c>
      <c r="O162" s="3" t="s">
        <v>43</v>
      </c>
      <c r="P162" s="3" t="s">
        <v>1174</v>
      </c>
      <c r="Q162" s="3" t="s">
        <v>42</v>
      </c>
      <c r="R162" s="3" t="s">
        <v>1173</v>
      </c>
      <c r="S162" s="3" t="s">
        <v>190</v>
      </c>
      <c r="T162" s="3" t="s">
        <v>189</v>
      </c>
      <c r="U162" s="4" t="b">
        <v>1</v>
      </c>
      <c r="V162" s="3" t="s">
        <v>31</v>
      </c>
      <c r="W162" s="1"/>
      <c r="Y162" s="3" t="s">
        <v>32</v>
      </c>
      <c r="Z162" s="3" t="s">
        <v>32</v>
      </c>
      <c r="AA162" s="3"/>
      <c r="AB162" s="3"/>
      <c r="AC162" s="4" t="s">
        <v>30</v>
      </c>
      <c r="AD162" s="3"/>
      <c r="AE162" s="3" t="s">
        <v>1174</v>
      </c>
      <c r="AF162" s="4" t="s">
        <v>30</v>
      </c>
      <c r="AH162" s="4">
        <v>1</v>
      </c>
      <c r="AI162" s="3" t="s">
        <v>1170</v>
      </c>
      <c r="AJ162" s="4" t="s">
        <v>5834</v>
      </c>
      <c r="AK162" s="4"/>
      <c r="AL162" s="3"/>
    </row>
    <row r="163" spans="1:38" x14ac:dyDescent="0.35">
      <c r="A163" s="3" t="s">
        <v>1176</v>
      </c>
      <c r="B163" s="4" t="s">
        <v>1183</v>
      </c>
      <c r="C163" s="4">
        <f>VLOOKUP(A163, [1]Planilha1!$A$3:$B$1015,2,FALSE)</f>
        <v>4574</v>
      </c>
      <c r="D163" s="4">
        <f t="shared" si="2"/>
        <v>1.2705555555555557</v>
      </c>
      <c r="E163" s="4" t="s">
        <v>1125</v>
      </c>
      <c r="F163" s="3" t="s">
        <v>1180</v>
      </c>
      <c r="G163" s="3" t="s">
        <v>1177</v>
      </c>
      <c r="H163" s="3" t="s">
        <v>224</v>
      </c>
      <c r="I163" s="3" t="s">
        <v>33</v>
      </c>
      <c r="J163" s="3" t="s">
        <v>41</v>
      </c>
      <c r="K163" s="3" t="s">
        <v>1179</v>
      </c>
      <c r="L163" s="1">
        <v>46049.616828703707</v>
      </c>
      <c r="M163" s="1">
        <v>46049.616828703707</v>
      </c>
      <c r="N163" s="1">
        <v>46049.64329861111</v>
      </c>
      <c r="O163" s="3" t="s">
        <v>223</v>
      </c>
      <c r="P163" s="3" t="s">
        <v>1183</v>
      </c>
      <c r="Q163" s="3" t="s">
        <v>42</v>
      </c>
      <c r="R163" s="3" t="s">
        <v>1182</v>
      </c>
      <c r="S163" s="3" t="s">
        <v>37</v>
      </c>
      <c r="T163" s="3" t="s">
        <v>36</v>
      </c>
      <c r="U163" s="4" t="b">
        <v>1</v>
      </c>
      <c r="V163" s="3" t="s">
        <v>28</v>
      </c>
      <c r="W163" s="1"/>
      <c r="Y163" s="3" t="s">
        <v>29</v>
      </c>
      <c r="Z163" s="3" t="s">
        <v>29</v>
      </c>
      <c r="AA163" s="3"/>
      <c r="AB163" s="3"/>
      <c r="AC163" s="4" t="s">
        <v>30</v>
      </c>
      <c r="AD163" s="3"/>
      <c r="AE163" s="3" t="s">
        <v>1183</v>
      </c>
      <c r="AF163" s="4" t="s">
        <v>30</v>
      </c>
      <c r="AH163" s="4">
        <v>1</v>
      </c>
      <c r="AI163" s="3" t="s">
        <v>1178</v>
      </c>
      <c r="AJ163" s="4" t="s">
        <v>1181</v>
      </c>
      <c r="AK163" s="4"/>
      <c r="AL163" s="3"/>
    </row>
    <row r="164" spans="1:38" x14ac:dyDescent="0.35">
      <c r="A164" s="3" t="s">
        <v>1184</v>
      </c>
      <c r="B164" s="4" t="s">
        <v>94</v>
      </c>
      <c r="C164" s="4">
        <f>VLOOKUP(A164, [1]Planilha1!$A$3:$B$1015,2,FALSE)</f>
        <v>6564</v>
      </c>
      <c r="D164" s="4">
        <f t="shared" si="2"/>
        <v>1.8233333333333333</v>
      </c>
      <c r="E164" s="4" t="s">
        <v>1125</v>
      </c>
      <c r="F164" s="3" t="s">
        <v>92</v>
      </c>
      <c r="G164" s="3" t="s">
        <v>1185</v>
      </c>
      <c r="H164" s="3" t="s">
        <v>727</v>
      </c>
      <c r="I164" s="3" t="s">
        <v>33</v>
      </c>
      <c r="J164" s="3" t="s">
        <v>41</v>
      </c>
      <c r="L164" s="1">
        <v>46049.609629629631</v>
      </c>
      <c r="M164" s="1">
        <v>46049.609629629631</v>
      </c>
      <c r="N164" s="1">
        <v>46049.647615740738</v>
      </c>
      <c r="O164" s="3" t="s">
        <v>726</v>
      </c>
      <c r="P164" s="3" t="s">
        <v>94</v>
      </c>
      <c r="Q164" s="3" t="s">
        <v>35</v>
      </c>
      <c r="R164" s="3" t="s">
        <v>93</v>
      </c>
      <c r="S164" s="3" t="s">
        <v>37</v>
      </c>
      <c r="T164" s="3" t="s">
        <v>36</v>
      </c>
      <c r="U164" s="4" t="b">
        <v>1</v>
      </c>
      <c r="V164" s="3" t="s">
        <v>28</v>
      </c>
      <c r="W164" s="1"/>
      <c r="Y164" s="3" t="s">
        <v>29</v>
      </c>
      <c r="Z164" s="3" t="s">
        <v>29</v>
      </c>
      <c r="AA164" s="3"/>
      <c r="AB164" s="3"/>
      <c r="AC164" s="4" t="s">
        <v>30</v>
      </c>
      <c r="AD164" s="3"/>
      <c r="AE164" s="3" t="s">
        <v>94</v>
      </c>
      <c r="AF164" s="4" t="s">
        <v>30</v>
      </c>
      <c r="AH164" s="4">
        <v>1</v>
      </c>
      <c r="AI164" s="3" t="s">
        <v>1186</v>
      </c>
      <c r="AJ164" s="4"/>
      <c r="AK164" s="4"/>
      <c r="AL164" s="3"/>
    </row>
    <row r="165" spans="1:38" x14ac:dyDescent="0.35">
      <c r="A165" s="3" t="s">
        <v>1187</v>
      </c>
      <c r="B165" s="4" t="s">
        <v>1192</v>
      </c>
      <c r="C165" s="4">
        <f>VLOOKUP(A165, [1]Planilha1!$A$3:$B$1015,2,FALSE)</f>
        <v>4652</v>
      </c>
      <c r="D165" s="4">
        <f t="shared" si="2"/>
        <v>1.2922222222222222</v>
      </c>
      <c r="E165" s="4" t="s">
        <v>1125</v>
      </c>
      <c r="F165" s="3" t="s">
        <v>1190</v>
      </c>
      <c r="G165" s="3" t="s">
        <v>1188</v>
      </c>
      <c r="H165" s="3" t="s">
        <v>428</v>
      </c>
      <c r="I165" s="3" t="s">
        <v>33</v>
      </c>
      <c r="J165" s="3" t="s">
        <v>41</v>
      </c>
      <c r="L165" s="1">
        <v>46049.596724537034</v>
      </c>
      <c r="M165" s="1">
        <v>46049.596724537034</v>
      </c>
      <c r="N165" s="1">
        <v>46049.623645833337</v>
      </c>
      <c r="O165" s="3" t="s">
        <v>427</v>
      </c>
      <c r="P165" s="3" t="s">
        <v>1192</v>
      </c>
      <c r="Q165" s="3" t="s">
        <v>35</v>
      </c>
      <c r="R165" s="3" t="s">
        <v>1191</v>
      </c>
      <c r="S165" s="3" t="s">
        <v>37</v>
      </c>
      <c r="T165" s="3" t="s">
        <v>36</v>
      </c>
      <c r="U165" s="4" t="b">
        <v>1</v>
      </c>
      <c r="V165" s="3" t="s">
        <v>28</v>
      </c>
      <c r="W165" s="1"/>
      <c r="Y165" s="3" t="s">
        <v>29</v>
      </c>
      <c r="Z165" s="3" t="s">
        <v>29</v>
      </c>
      <c r="AA165" s="3"/>
      <c r="AB165" s="3"/>
      <c r="AC165" s="4" t="s">
        <v>30</v>
      </c>
      <c r="AD165" s="3"/>
      <c r="AE165" s="3" t="s">
        <v>1192</v>
      </c>
      <c r="AF165" s="4" t="s">
        <v>30</v>
      </c>
      <c r="AH165" s="4">
        <v>1</v>
      </c>
      <c r="AI165" s="3" t="s">
        <v>1189</v>
      </c>
      <c r="AJ165" s="4" t="s">
        <v>5835</v>
      </c>
      <c r="AK165" s="4"/>
      <c r="AL165" s="3"/>
    </row>
    <row r="166" spans="1:38" x14ac:dyDescent="0.35">
      <c r="A166" s="3" t="s">
        <v>1193</v>
      </c>
      <c r="B166" s="4" t="s">
        <v>1199</v>
      </c>
      <c r="C166" s="4">
        <f>VLOOKUP(A166, [1]Planilha1!$A$3:$B$1015,2,FALSE)</f>
        <v>5404</v>
      </c>
      <c r="D166" s="4">
        <f t="shared" si="2"/>
        <v>1.5011111111111111</v>
      </c>
      <c r="E166" s="4" t="s">
        <v>1125</v>
      </c>
      <c r="F166" s="3" t="s">
        <v>1196</v>
      </c>
      <c r="G166" s="3" t="s">
        <v>1194</v>
      </c>
      <c r="H166" s="3" t="s">
        <v>163</v>
      </c>
      <c r="I166" s="3" t="s">
        <v>33</v>
      </c>
      <c r="J166" s="3" t="s">
        <v>41</v>
      </c>
      <c r="L166" s="1">
        <v>46049.589097222219</v>
      </c>
      <c r="M166" s="1">
        <v>46049.589097222219</v>
      </c>
      <c r="N166" s="1">
        <v>46049.620370370372</v>
      </c>
      <c r="O166" s="3" t="s">
        <v>162</v>
      </c>
      <c r="P166" s="3" t="s">
        <v>1199</v>
      </c>
      <c r="Q166" s="3" t="s">
        <v>35</v>
      </c>
      <c r="R166" s="3" t="s">
        <v>1198</v>
      </c>
      <c r="S166" s="3" t="s">
        <v>37</v>
      </c>
      <c r="T166" s="3" t="s">
        <v>36</v>
      </c>
      <c r="U166" s="4" t="b">
        <v>1</v>
      </c>
      <c r="V166" s="3" t="s">
        <v>28</v>
      </c>
      <c r="W166" s="1"/>
      <c r="Y166" s="3" t="s">
        <v>29</v>
      </c>
      <c r="Z166" s="3" t="s">
        <v>29</v>
      </c>
      <c r="AA166" s="3"/>
      <c r="AB166" s="3"/>
      <c r="AC166" s="4" t="s">
        <v>30</v>
      </c>
      <c r="AD166" s="3"/>
      <c r="AE166" s="3" t="s">
        <v>1199</v>
      </c>
      <c r="AF166" s="4" t="s">
        <v>30</v>
      </c>
      <c r="AH166" s="4">
        <v>1</v>
      </c>
      <c r="AI166" s="3" t="s">
        <v>1195</v>
      </c>
      <c r="AJ166" s="4" t="s">
        <v>1197</v>
      </c>
      <c r="AK166" s="4"/>
      <c r="AL166" s="3"/>
    </row>
    <row r="167" spans="1:38" x14ac:dyDescent="0.35">
      <c r="A167" s="3" t="s">
        <v>1200</v>
      </c>
      <c r="B167" s="4" t="s">
        <v>1206</v>
      </c>
      <c r="C167" s="4">
        <f>VLOOKUP(A167, [1]Planilha1!$A$3:$B$1015,2,FALSE)</f>
        <v>15892</v>
      </c>
      <c r="D167" s="4">
        <f t="shared" si="2"/>
        <v>4.4144444444444444</v>
      </c>
      <c r="E167" s="4" t="s">
        <v>1125</v>
      </c>
      <c r="F167" s="3" t="s">
        <v>1203</v>
      </c>
      <c r="G167" s="3" t="s">
        <v>134</v>
      </c>
      <c r="H167" s="3" t="s">
        <v>138</v>
      </c>
      <c r="I167" s="3" t="s">
        <v>33</v>
      </c>
      <c r="J167" s="3" t="s">
        <v>60</v>
      </c>
      <c r="K167" s="3" t="s">
        <v>1202</v>
      </c>
      <c r="L167" s="1">
        <v>46049.583506944444</v>
      </c>
      <c r="M167" s="1">
        <v>46049.583506944444</v>
      </c>
      <c r="N167" s="1">
        <v>46052.708333333336</v>
      </c>
      <c r="O167" s="3" t="s">
        <v>137</v>
      </c>
      <c r="P167" s="3" t="s">
        <v>1206</v>
      </c>
      <c r="Q167" s="3" t="s">
        <v>35</v>
      </c>
      <c r="R167" s="3" t="s">
        <v>1205</v>
      </c>
      <c r="S167" s="3" t="s">
        <v>37</v>
      </c>
      <c r="T167" s="3" t="s">
        <v>36</v>
      </c>
      <c r="U167" s="4" t="b">
        <v>1</v>
      </c>
      <c r="V167" s="3" t="s">
        <v>28</v>
      </c>
      <c r="W167" s="1"/>
      <c r="Y167" s="3" t="s">
        <v>29</v>
      </c>
      <c r="Z167" s="3" t="s">
        <v>29</v>
      </c>
      <c r="AA167" s="3"/>
      <c r="AB167" s="3"/>
      <c r="AC167" s="4" t="s">
        <v>30</v>
      </c>
      <c r="AD167" s="3"/>
      <c r="AE167" s="3" t="s">
        <v>1206</v>
      </c>
      <c r="AF167" s="4" t="s">
        <v>30</v>
      </c>
      <c r="AH167" s="4">
        <v>0</v>
      </c>
      <c r="AI167" s="3" t="s">
        <v>1201</v>
      </c>
      <c r="AJ167" s="4" t="s">
        <v>1204</v>
      </c>
      <c r="AK167" s="4"/>
      <c r="AL167" s="3"/>
    </row>
    <row r="168" spans="1:38" x14ac:dyDescent="0.35">
      <c r="A168" s="3" t="s">
        <v>1207</v>
      </c>
      <c r="B168" s="4" t="s">
        <v>1213</v>
      </c>
      <c r="C168" s="4">
        <f>VLOOKUP(A168, [1]Planilha1!$A$3:$B$1015,2,FALSE)</f>
        <v>0</v>
      </c>
      <c r="D168" s="4">
        <f t="shared" si="2"/>
        <v>0</v>
      </c>
      <c r="E168" s="4" t="s">
        <v>1125</v>
      </c>
      <c r="F168" s="3" t="s">
        <v>1211</v>
      </c>
      <c r="G168" s="3" t="s">
        <v>1208</v>
      </c>
      <c r="H168" s="3" t="s">
        <v>428</v>
      </c>
      <c r="I168" s="3" t="s">
        <v>33</v>
      </c>
      <c r="J168" s="3" t="s">
        <v>60</v>
      </c>
      <c r="K168" s="3" t="s">
        <v>1210</v>
      </c>
      <c r="L168" s="1">
        <v>46049.56212962963</v>
      </c>
      <c r="M168" s="1">
        <v>46049.615347222221</v>
      </c>
      <c r="N168" s="1">
        <v>46052.625011574077</v>
      </c>
      <c r="O168" s="3" t="s">
        <v>427</v>
      </c>
      <c r="P168" s="3" t="s">
        <v>1213</v>
      </c>
      <c r="Q168" s="3" t="s">
        <v>35</v>
      </c>
      <c r="R168" s="3" t="s">
        <v>1212</v>
      </c>
      <c r="S168" s="3" t="s">
        <v>144</v>
      </c>
      <c r="T168" s="3" t="s">
        <v>143</v>
      </c>
      <c r="U168" s="4" t="b">
        <v>1</v>
      </c>
      <c r="V168" s="3" t="s">
        <v>31</v>
      </c>
      <c r="W168" s="1"/>
      <c r="Y168" s="3" t="s">
        <v>32</v>
      </c>
      <c r="Z168" s="3" t="s">
        <v>32</v>
      </c>
      <c r="AA168" s="3"/>
      <c r="AB168" s="3"/>
      <c r="AC168" s="4" t="s">
        <v>30</v>
      </c>
      <c r="AD168" s="3"/>
      <c r="AE168" s="3" t="s">
        <v>1213</v>
      </c>
      <c r="AF168" s="4" t="s">
        <v>30</v>
      </c>
      <c r="AH168" s="4">
        <v>0</v>
      </c>
      <c r="AI168" s="3" t="s">
        <v>1209</v>
      </c>
      <c r="AJ168" s="4" t="s">
        <v>5836</v>
      </c>
      <c r="AK168" s="4"/>
      <c r="AL168" s="3"/>
    </row>
    <row r="169" spans="1:38" x14ac:dyDescent="0.35">
      <c r="A169" s="3" t="s">
        <v>1217</v>
      </c>
      <c r="B169" s="4" t="s">
        <v>1223</v>
      </c>
      <c r="C169" s="4">
        <f>VLOOKUP(A169, [1]Planilha1!$A$3:$B$1015,2,FALSE)</f>
        <v>2950</v>
      </c>
      <c r="D169" s="4">
        <f t="shared" si="2"/>
        <v>0.81944444444444442</v>
      </c>
      <c r="E169" s="4" t="s">
        <v>1125</v>
      </c>
      <c r="F169" s="3" t="s">
        <v>1220</v>
      </c>
      <c r="G169" s="3" t="s">
        <v>214</v>
      </c>
      <c r="H169" s="3" t="s">
        <v>44</v>
      </c>
      <c r="I169" s="3" t="s">
        <v>33</v>
      </c>
      <c r="J169" s="3" t="s">
        <v>60</v>
      </c>
      <c r="K169" s="3" t="s">
        <v>1219</v>
      </c>
      <c r="L169" s="1">
        <v>46049.543506944443</v>
      </c>
      <c r="M169" s="1">
        <v>46049.543506944443</v>
      </c>
      <c r="N169" s="1">
        <v>46052.583333333336</v>
      </c>
      <c r="O169" s="3" t="s">
        <v>43</v>
      </c>
      <c r="P169" s="3" t="s">
        <v>1223</v>
      </c>
      <c r="Q169" s="3" t="s">
        <v>35</v>
      </c>
      <c r="R169" s="3" t="s">
        <v>1222</v>
      </c>
      <c r="S169" s="3" t="s">
        <v>37</v>
      </c>
      <c r="T169" s="3" t="s">
        <v>36</v>
      </c>
      <c r="U169" s="4" t="b">
        <v>1</v>
      </c>
      <c r="V169" s="3" t="s">
        <v>28</v>
      </c>
      <c r="W169" s="1"/>
      <c r="Y169" s="3" t="s">
        <v>29</v>
      </c>
      <c r="Z169" s="3" t="s">
        <v>29</v>
      </c>
      <c r="AA169" s="3"/>
      <c r="AB169" s="3"/>
      <c r="AC169" s="4" t="s">
        <v>30</v>
      </c>
      <c r="AD169" s="3"/>
      <c r="AE169" s="3" t="s">
        <v>1223</v>
      </c>
      <c r="AF169" s="4" t="s">
        <v>30</v>
      </c>
      <c r="AH169" s="4">
        <v>0</v>
      </c>
      <c r="AI169" s="3" t="s">
        <v>1218</v>
      </c>
      <c r="AJ169" s="4" t="s">
        <v>1221</v>
      </c>
      <c r="AK169" s="4"/>
      <c r="AL169" s="3"/>
    </row>
    <row r="170" spans="1:38" x14ac:dyDescent="0.35">
      <c r="A170" s="3" t="s">
        <v>1224</v>
      </c>
      <c r="B170" s="4" t="s">
        <v>1216</v>
      </c>
      <c r="C170" s="4">
        <f>VLOOKUP(A170, [1]Planilha1!$A$3:$B$1015,2,FALSE)</f>
        <v>8914</v>
      </c>
      <c r="D170" s="4">
        <f t="shared" si="2"/>
        <v>2.4761111111111109</v>
      </c>
      <c r="E170" s="4" t="s">
        <v>1125</v>
      </c>
      <c r="F170" s="3" t="s">
        <v>1214</v>
      </c>
      <c r="G170" s="3" t="s">
        <v>74</v>
      </c>
      <c r="H170" s="3" t="s">
        <v>44</v>
      </c>
      <c r="I170" s="3" t="s">
        <v>33</v>
      </c>
      <c r="J170" s="3" t="s">
        <v>41</v>
      </c>
      <c r="L170" s="1">
        <v>46049.527048611111</v>
      </c>
      <c r="M170" s="1">
        <v>46049.52851851852</v>
      </c>
      <c r="N170" s="1">
        <v>46049.580104166664</v>
      </c>
      <c r="O170" s="3" t="s">
        <v>43</v>
      </c>
      <c r="P170" s="3" t="s">
        <v>1216</v>
      </c>
      <c r="Q170" s="3" t="s">
        <v>42</v>
      </c>
      <c r="R170" s="3" t="s">
        <v>1215</v>
      </c>
      <c r="S170" s="3" t="s">
        <v>80</v>
      </c>
      <c r="T170" s="3" t="s">
        <v>79</v>
      </c>
      <c r="U170" s="4" t="b">
        <v>1</v>
      </c>
      <c r="V170" s="3" t="s">
        <v>31</v>
      </c>
      <c r="W170" s="1"/>
      <c r="Y170" s="3" t="s">
        <v>32</v>
      </c>
      <c r="Z170" s="3" t="s">
        <v>32</v>
      </c>
      <c r="AA170" s="3"/>
      <c r="AB170" s="3"/>
      <c r="AC170" s="4" t="s">
        <v>30</v>
      </c>
      <c r="AD170" s="3"/>
      <c r="AE170" s="3" t="s">
        <v>1216</v>
      </c>
      <c r="AF170" s="4" t="s">
        <v>30</v>
      </c>
      <c r="AH170" s="4">
        <v>1</v>
      </c>
      <c r="AI170" s="3" t="s">
        <v>1225</v>
      </c>
      <c r="AJ170" s="4"/>
      <c r="AK170" s="4"/>
      <c r="AL170" s="3"/>
    </row>
    <row r="171" spans="1:38" x14ac:dyDescent="0.35">
      <c r="A171" s="3" t="s">
        <v>1230</v>
      </c>
      <c r="B171" s="4" t="s">
        <v>947</v>
      </c>
      <c r="C171" s="4">
        <f>VLOOKUP(A171, [1]Planilha1!$A$3:$B$1015,2,FALSE)</f>
        <v>4924</v>
      </c>
      <c r="D171" s="4">
        <f t="shared" si="2"/>
        <v>1.3677777777777778</v>
      </c>
      <c r="E171" s="4" t="s">
        <v>1125</v>
      </c>
      <c r="F171" s="3" t="s">
        <v>945</v>
      </c>
      <c r="G171" s="3" t="s">
        <v>1231</v>
      </c>
      <c r="H171" s="3" t="s">
        <v>44</v>
      </c>
      <c r="I171" s="3" t="s">
        <v>33</v>
      </c>
      <c r="J171" s="3" t="s">
        <v>41</v>
      </c>
      <c r="L171" s="1">
        <v>46049.508773148147</v>
      </c>
      <c r="M171" s="1">
        <v>46049.509571759256</v>
      </c>
      <c r="N171" s="1">
        <v>46049.53806712963</v>
      </c>
      <c r="O171" s="3" t="s">
        <v>43</v>
      </c>
      <c r="P171" s="3" t="s">
        <v>947</v>
      </c>
      <c r="Q171" s="3" t="s">
        <v>42</v>
      </c>
      <c r="R171" s="3" t="s">
        <v>946</v>
      </c>
      <c r="S171" s="3" t="s">
        <v>1234</v>
      </c>
      <c r="T171" s="3" t="s">
        <v>1233</v>
      </c>
      <c r="U171" s="4" t="b">
        <v>1</v>
      </c>
      <c r="V171" s="3" t="s">
        <v>31</v>
      </c>
      <c r="W171" s="1"/>
      <c r="Y171" s="3" t="s">
        <v>32</v>
      </c>
      <c r="Z171" s="3" t="s">
        <v>32</v>
      </c>
      <c r="AA171" s="3"/>
      <c r="AB171" s="3"/>
      <c r="AC171" s="4" t="s">
        <v>30</v>
      </c>
      <c r="AD171" s="3"/>
      <c r="AE171" s="3" t="s">
        <v>947</v>
      </c>
      <c r="AF171" s="4" t="s">
        <v>30</v>
      </c>
      <c r="AH171" s="4">
        <v>1</v>
      </c>
      <c r="AI171" s="3" t="s">
        <v>1232</v>
      </c>
      <c r="AJ171" s="4" t="s">
        <v>5837</v>
      </c>
      <c r="AK171" s="4"/>
      <c r="AL171" s="3"/>
    </row>
    <row r="172" spans="1:38" x14ac:dyDescent="0.35">
      <c r="A172" s="3" t="s">
        <v>1235</v>
      </c>
      <c r="B172" s="4" t="s">
        <v>58</v>
      </c>
      <c r="C172" s="4">
        <f>VLOOKUP(A172, [1]Planilha1!$A$3:$B$1015,2,FALSE)</f>
        <v>112672</v>
      </c>
      <c r="D172" s="4">
        <f t="shared" si="2"/>
        <v>31.297777777777778</v>
      </c>
      <c r="E172" s="4" t="s">
        <v>1125</v>
      </c>
      <c r="F172" s="3" t="s">
        <v>54</v>
      </c>
      <c r="G172" s="3" t="s">
        <v>1236</v>
      </c>
      <c r="H172" s="3" t="s">
        <v>455</v>
      </c>
      <c r="I172" s="3" t="s">
        <v>33</v>
      </c>
      <c r="J172" s="3" t="s">
        <v>152</v>
      </c>
      <c r="L172" s="1">
        <v>46049.507673611108</v>
      </c>
      <c r="M172" s="1">
        <v>46049.510208333333</v>
      </c>
      <c r="N172" s="1">
        <v>46057.397534722222</v>
      </c>
      <c r="O172" s="3" t="s">
        <v>833</v>
      </c>
      <c r="P172" s="3" t="s">
        <v>57</v>
      </c>
      <c r="Q172" s="3" t="s">
        <v>35</v>
      </c>
      <c r="R172" s="3" t="s">
        <v>56</v>
      </c>
      <c r="S172" s="3" t="s">
        <v>158</v>
      </c>
      <c r="T172" s="3" t="s">
        <v>157</v>
      </c>
      <c r="U172" s="4" t="b">
        <v>0</v>
      </c>
      <c r="V172" s="3" t="s">
        <v>28</v>
      </c>
      <c r="W172" s="1"/>
      <c r="Y172" s="3" t="s">
        <v>29</v>
      </c>
      <c r="Z172" s="3" t="s">
        <v>29</v>
      </c>
      <c r="AA172" s="3" t="s">
        <v>196</v>
      </c>
      <c r="AB172" s="3" t="s">
        <v>58</v>
      </c>
      <c r="AC172" s="4" t="s">
        <v>30</v>
      </c>
      <c r="AD172" s="3" t="s">
        <v>59</v>
      </c>
      <c r="AE172" s="3" t="s">
        <v>57</v>
      </c>
      <c r="AF172" s="4" t="s">
        <v>30</v>
      </c>
      <c r="AH172" s="4">
        <v>2</v>
      </c>
      <c r="AI172" s="3" t="s">
        <v>1237</v>
      </c>
      <c r="AJ172" s="4" t="s">
        <v>55</v>
      </c>
      <c r="AK172" s="4" t="s">
        <v>197</v>
      </c>
      <c r="AL172" s="3"/>
    </row>
    <row r="173" spans="1:38" x14ac:dyDescent="0.35">
      <c r="A173" s="3" t="s">
        <v>1238</v>
      </c>
      <c r="B173" s="4" t="s">
        <v>1246</v>
      </c>
      <c r="C173" s="4">
        <f>VLOOKUP(A173, [1]Planilha1!$A$3:$B$1015,2,FALSE)</f>
        <v>0</v>
      </c>
      <c r="D173" s="4">
        <f t="shared" si="2"/>
        <v>0</v>
      </c>
      <c r="E173" s="4" t="s">
        <v>1125</v>
      </c>
      <c r="F173" s="3" t="s">
        <v>1243</v>
      </c>
      <c r="G173" s="3" t="s">
        <v>1239</v>
      </c>
      <c r="H173" s="3" t="s">
        <v>148</v>
      </c>
      <c r="I173" s="3" t="s">
        <v>33</v>
      </c>
      <c r="J173" s="3" t="s">
        <v>459</v>
      </c>
      <c r="K173" s="3" t="s">
        <v>1241</v>
      </c>
      <c r="L173" s="1">
        <v>46049.496793981481</v>
      </c>
      <c r="M173" s="1">
        <v>46049.502534722225</v>
      </c>
      <c r="N173" s="1">
        <v>46052.541666666664</v>
      </c>
      <c r="O173" s="3" t="s">
        <v>1242</v>
      </c>
      <c r="P173" s="3" t="s">
        <v>1246</v>
      </c>
      <c r="Q173" s="3" t="s">
        <v>35</v>
      </c>
      <c r="R173" s="3" t="s">
        <v>1245</v>
      </c>
      <c r="S173" s="3" t="s">
        <v>1248</v>
      </c>
      <c r="T173" s="3" t="s">
        <v>1247</v>
      </c>
      <c r="U173" s="4" t="b">
        <v>1</v>
      </c>
      <c r="V173" s="3" t="s">
        <v>31</v>
      </c>
      <c r="W173" s="1"/>
      <c r="Y173" s="3" t="s">
        <v>32</v>
      </c>
      <c r="Z173" s="3" t="s">
        <v>32</v>
      </c>
      <c r="AA173" s="3"/>
      <c r="AB173" s="3"/>
      <c r="AC173" s="4" t="s">
        <v>30</v>
      </c>
      <c r="AD173" s="3"/>
      <c r="AE173" s="3" t="s">
        <v>1246</v>
      </c>
      <c r="AF173" s="4" t="s">
        <v>30</v>
      </c>
      <c r="AH173" s="4">
        <v>0</v>
      </c>
      <c r="AI173" s="3" t="s">
        <v>1240</v>
      </c>
      <c r="AJ173" s="4" t="s">
        <v>1244</v>
      </c>
      <c r="AK173" s="4"/>
      <c r="AL173" s="3"/>
    </row>
    <row r="174" spans="1:38" x14ac:dyDescent="0.35">
      <c r="A174" s="3" t="s">
        <v>1249</v>
      </c>
      <c r="B174" s="4" t="s">
        <v>1081</v>
      </c>
      <c r="C174" s="4">
        <f>VLOOKUP(A174, [1]Planilha1!$A$3:$B$1015,2,FALSE)</f>
        <v>0</v>
      </c>
      <c r="D174" s="4">
        <f t="shared" si="2"/>
        <v>0</v>
      </c>
      <c r="E174" s="4" t="s">
        <v>1125</v>
      </c>
      <c r="F174" s="3" t="s">
        <v>1080</v>
      </c>
      <c r="G174" s="3" t="s">
        <v>1250</v>
      </c>
      <c r="H174" s="3" t="s">
        <v>727</v>
      </c>
      <c r="I174" s="3" t="s">
        <v>33</v>
      </c>
      <c r="J174" s="3" t="s">
        <v>459</v>
      </c>
      <c r="L174" s="1">
        <v>46049.492743055554</v>
      </c>
      <c r="M174" s="1">
        <v>46049.496446759258</v>
      </c>
      <c r="N174" s="1">
        <v>46052.500011574077</v>
      </c>
      <c r="O174" s="3" t="s">
        <v>726</v>
      </c>
      <c r="P174" s="3" t="s">
        <v>1081</v>
      </c>
      <c r="Q174" s="3" t="s">
        <v>35</v>
      </c>
      <c r="S174" s="3" t="s">
        <v>276</v>
      </c>
      <c r="T174" s="3" t="s">
        <v>275</v>
      </c>
      <c r="U174" s="4" t="b">
        <v>1</v>
      </c>
      <c r="V174" s="3" t="s">
        <v>31</v>
      </c>
      <c r="W174" s="1"/>
      <c r="Y174" s="3" t="s">
        <v>32</v>
      </c>
      <c r="Z174" s="3" t="s">
        <v>32</v>
      </c>
      <c r="AA174" s="3"/>
      <c r="AB174" s="3"/>
      <c r="AC174" s="4" t="s">
        <v>30</v>
      </c>
      <c r="AD174" s="3"/>
      <c r="AE174" s="3" t="s">
        <v>1081</v>
      </c>
      <c r="AF174" s="4" t="s">
        <v>30</v>
      </c>
      <c r="AH174" s="4">
        <v>0</v>
      </c>
      <c r="AI174" s="3" t="s">
        <v>1251</v>
      </c>
      <c r="AJ174" s="4"/>
      <c r="AK174" s="4"/>
      <c r="AL174" s="3"/>
    </row>
    <row r="175" spans="1:38" x14ac:dyDescent="0.35">
      <c r="A175" s="3" t="s">
        <v>1252</v>
      </c>
      <c r="B175" s="4" t="s">
        <v>1257</v>
      </c>
      <c r="C175" s="4">
        <f>VLOOKUP(A175, [1]Planilha1!$A$3:$B$1015,2,FALSE)</f>
        <v>22384</v>
      </c>
      <c r="D175" s="4">
        <f t="shared" si="2"/>
        <v>6.2177777777777781</v>
      </c>
      <c r="E175" s="4" t="s">
        <v>1125</v>
      </c>
      <c r="F175" s="3" t="s">
        <v>1254</v>
      </c>
      <c r="G175" s="3" t="s">
        <v>910</v>
      </c>
      <c r="H175" s="3" t="s">
        <v>1116</v>
      </c>
      <c r="I175" s="3" t="s">
        <v>33</v>
      </c>
      <c r="J175" s="3" t="s">
        <v>41</v>
      </c>
      <c r="L175" s="1">
        <v>46049.48646990741</v>
      </c>
      <c r="M175" s="1">
        <v>46049.48646990741</v>
      </c>
      <c r="N175" s="1">
        <v>46049.616006944445</v>
      </c>
      <c r="O175" s="3" t="s">
        <v>1115</v>
      </c>
      <c r="P175" s="3" t="s">
        <v>1257</v>
      </c>
      <c r="Q175" s="3" t="s">
        <v>35</v>
      </c>
      <c r="R175" s="3" t="s">
        <v>1256</v>
      </c>
      <c r="S175" s="3" t="s">
        <v>37</v>
      </c>
      <c r="T175" s="3" t="s">
        <v>36</v>
      </c>
      <c r="U175" s="4" t="b">
        <v>1</v>
      </c>
      <c r="V175" s="3" t="s">
        <v>28</v>
      </c>
      <c r="W175" s="1"/>
      <c r="Y175" s="3" t="s">
        <v>29</v>
      </c>
      <c r="Z175" s="3" t="s">
        <v>29</v>
      </c>
      <c r="AA175" s="3"/>
      <c r="AB175" s="3"/>
      <c r="AC175" s="4" t="s">
        <v>30</v>
      </c>
      <c r="AD175" s="3"/>
      <c r="AE175" s="3" t="s">
        <v>1257</v>
      </c>
      <c r="AF175" s="4" t="s">
        <v>30</v>
      </c>
      <c r="AH175" s="4">
        <v>1</v>
      </c>
      <c r="AI175" s="3" t="s">
        <v>1253</v>
      </c>
      <c r="AJ175" s="4" t="s">
        <v>1255</v>
      </c>
      <c r="AK175" s="4"/>
      <c r="AL175" s="3"/>
    </row>
    <row r="176" spans="1:38" x14ac:dyDescent="0.35">
      <c r="A176" s="3" t="s">
        <v>1258</v>
      </c>
      <c r="B176" s="4" t="s">
        <v>1265</v>
      </c>
      <c r="C176" s="4">
        <f>VLOOKUP(A176, [1]Planilha1!$A$3:$B$1015,2,FALSE)</f>
        <v>23655</v>
      </c>
      <c r="D176" s="4">
        <f t="shared" si="2"/>
        <v>6.5708333333333337</v>
      </c>
      <c r="E176" s="4" t="s">
        <v>1125</v>
      </c>
      <c r="F176" s="3" t="s">
        <v>1262</v>
      </c>
      <c r="G176" s="3" t="s">
        <v>1259</v>
      </c>
      <c r="H176" s="3" t="s">
        <v>112</v>
      </c>
      <c r="I176" s="3" t="s">
        <v>33</v>
      </c>
      <c r="J176" s="3" t="s">
        <v>41</v>
      </c>
      <c r="K176" s="3" t="s">
        <v>1261</v>
      </c>
      <c r="L176" s="1">
        <v>46049.477719907409</v>
      </c>
      <c r="M176" s="1">
        <v>46049.477719907409</v>
      </c>
      <c r="N176" s="1">
        <v>46049.568981481483</v>
      </c>
      <c r="O176" s="3" t="s">
        <v>111</v>
      </c>
      <c r="P176" s="3" t="s">
        <v>1265</v>
      </c>
      <c r="Q176" s="3" t="s">
        <v>42</v>
      </c>
      <c r="R176" s="3" t="s">
        <v>1264</v>
      </c>
      <c r="S176" s="3" t="s">
        <v>37</v>
      </c>
      <c r="T176" s="3" t="s">
        <v>36</v>
      </c>
      <c r="U176" s="4" t="b">
        <v>1</v>
      </c>
      <c r="V176" s="3" t="s">
        <v>28</v>
      </c>
      <c r="W176" s="1"/>
      <c r="Y176" s="3" t="s">
        <v>29</v>
      </c>
      <c r="Z176" s="3" t="s">
        <v>29</v>
      </c>
      <c r="AA176" s="3"/>
      <c r="AB176" s="3"/>
      <c r="AC176" s="4" t="s">
        <v>30</v>
      </c>
      <c r="AD176" s="3"/>
      <c r="AE176" s="3" t="s">
        <v>1265</v>
      </c>
      <c r="AF176" s="4" t="s">
        <v>30</v>
      </c>
      <c r="AH176" s="4">
        <v>0</v>
      </c>
      <c r="AI176" s="3" t="s">
        <v>1260</v>
      </c>
      <c r="AJ176" s="4" t="s">
        <v>1263</v>
      </c>
      <c r="AK176" s="4"/>
      <c r="AL176" s="3"/>
    </row>
    <row r="177" spans="1:38" x14ac:dyDescent="0.35">
      <c r="A177" s="3" t="s">
        <v>1267</v>
      </c>
      <c r="B177" s="4" t="s">
        <v>1272</v>
      </c>
      <c r="C177" s="4">
        <f>VLOOKUP(A177, [1]Planilha1!$A$3:$B$1015,2,FALSE)</f>
        <v>1000</v>
      </c>
      <c r="D177" s="4">
        <f t="shared" si="2"/>
        <v>0.27777777777777779</v>
      </c>
      <c r="E177" s="4" t="s">
        <v>1125</v>
      </c>
      <c r="F177" s="3" t="s">
        <v>1269</v>
      </c>
      <c r="G177" s="3" t="s">
        <v>224</v>
      </c>
      <c r="H177" s="3" t="s">
        <v>224</v>
      </c>
      <c r="I177" s="3" t="s">
        <v>33</v>
      </c>
      <c r="J177" s="3" t="s">
        <v>60</v>
      </c>
      <c r="L177" s="1">
        <v>46049.45516203704</v>
      </c>
      <c r="M177" s="1">
        <v>46049.45516203704</v>
      </c>
      <c r="N177" s="1">
        <v>46052.500011574077</v>
      </c>
      <c r="O177" s="3" t="s">
        <v>223</v>
      </c>
      <c r="P177" s="3" t="s">
        <v>1272</v>
      </c>
      <c r="Q177" s="3" t="s">
        <v>35</v>
      </c>
      <c r="R177" s="3" t="s">
        <v>1271</v>
      </c>
      <c r="S177" s="3" t="s">
        <v>37</v>
      </c>
      <c r="T177" s="3" t="s">
        <v>36</v>
      </c>
      <c r="U177" s="4" t="b">
        <v>1</v>
      </c>
      <c r="V177" s="3" t="s">
        <v>28</v>
      </c>
      <c r="W177" s="1"/>
      <c r="Y177" s="3" t="s">
        <v>29</v>
      </c>
      <c r="Z177" s="3" t="s">
        <v>29</v>
      </c>
      <c r="AA177" s="3"/>
      <c r="AB177" s="3"/>
      <c r="AC177" s="4" t="s">
        <v>30</v>
      </c>
      <c r="AD177" s="3"/>
      <c r="AE177" s="3" t="s">
        <v>1272</v>
      </c>
      <c r="AF177" s="4" t="s">
        <v>30</v>
      </c>
      <c r="AH177" s="4">
        <v>0</v>
      </c>
      <c r="AI177" s="3" t="s">
        <v>1268</v>
      </c>
      <c r="AJ177" s="4" t="s">
        <v>1270</v>
      </c>
      <c r="AK177" s="4"/>
      <c r="AL177" s="3"/>
    </row>
    <row r="178" spans="1:38" x14ac:dyDescent="0.35">
      <c r="A178" s="3" t="s">
        <v>1273</v>
      </c>
      <c r="B178" s="4" t="s">
        <v>1278</v>
      </c>
      <c r="C178" s="4">
        <f>VLOOKUP(A178, [1]Planilha1!$A$3:$B$1015,2,FALSE)</f>
        <v>19570</v>
      </c>
      <c r="D178" s="4">
        <f t="shared" si="2"/>
        <v>5.4361111111111109</v>
      </c>
      <c r="E178" s="4" t="s">
        <v>1125</v>
      </c>
      <c r="F178" s="3" t="s">
        <v>1276</v>
      </c>
      <c r="G178" s="3" t="s">
        <v>1274</v>
      </c>
      <c r="H178" s="3" t="s">
        <v>44</v>
      </c>
      <c r="I178" s="3" t="s">
        <v>33</v>
      </c>
      <c r="J178" s="3" t="s">
        <v>41</v>
      </c>
      <c r="L178" s="1">
        <v>46049.452708333331</v>
      </c>
      <c r="M178" s="1">
        <v>46049.452708333331</v>
      </c>
      <c r="N178" s="1">
        <v>46049.565960648149</v>
      </c>
      <c r="O178" s="3" t="s">
        <v>43</v>
      </c>
      <c r="P178" s="3" t="s">
        <v>1278</v>
      </c>
      <c r="Q178" s="3" t="s">
        <v>42</v>
      </c>
      <c r="R178" s="3" t="s">
        <v>1277</v>
      </c>
      <c r="S178" s="3" t="s">
        <v>37</v>
      </c>
      <c r="T178" s="3" t="s">
        <v>36</v>
      </c>
      <c r="U178" s="4" t="b">
        <v>1</v>
      </c>
      <c r="V178" s="3" t="s">
        <v>28</v>
      </c>
      <c r="W178" s="1"/>
      <c r="Y178" s="3" t="s">
        <v>29</v>
      </c>
      <c r="Z178" s="3" t="s">
        <v>29</v>
      </c>
      <c r="AA178" s="3"/>
      <c r="AB178" s="3"/>
      <c r="AC178" s="4" t="s">
        <v>30</v>
      </c>
      <c r="AD178" s="3"/>
      <c r="AE178" s="3" t="s">
        <v>1278</v>
      </c>
      <c r="AF178" s="4" t="s">
        <v>30</v>
      </c>
      <c r="AH178" s="4">
        <v>0</v>
      </c>
      <c r="AI178" s="3" t="s">
        <v>1275</v>
      </c>
      <c r="AJ178" s="4"/>
      <c r="AK178" s="4"/>
      <c r="AL178" s="3"/>
    </row>
    <row r="179" spans="1:38" x14ac:dyDescent="0.35">
      <c r="A179" s="3" t="s">
        <v>1279</v>
      </c>
      <c r="B179" s="4" t="s">
        <v>1286</v>
      </c>
      <c r="C179" s="4">
        <f>VLOOKUP(A179, [1]Planilha1!$A$3:$B$1015,2,FALSE)</f>
        <v>27774</v>
      </c>
      <c r="D179" s="4">
        <f t="shared" si="2"/>
        <v>7.7149999999999999</v>
      </c>
      <c r="E179" s="4" t="s">
        <v>1125</v>
      </c>
      <c r="F179" s="3" t="s">
        <v>1283</v>
      </c>
      <c r="G179" s="3" t="s">
        <v>1280</v>
      </c>
      <c r="H179" s="3" t="s">
        <v>171</v>
      </c>
      <c r="I179" s="3" t="s">
        <v>33</v>
      </c>
      <c r="J179" s="3" t="s">
        <v>41</v>
      </c>
      <c r="K179" s="3" t="s">
        <v>1282</v>
      </c>
      <c r="L179" s="1">
        <v>46049.450509259259</v>
      </c>
      <c r="M179" s="1">
        <v>46049.450509259259</v>
      </c>
      <c r="N179" s="1">
        <v>46049.557662037034</v>
      </c>
      <c r="O179" s="3" t="s">
        <v>170</v>
      </c>
      <c r="P179" s="3" t="s">
        <v>1286</v>
      </c>
      <c r="Q179" s="3" t="s">
        <v>42</v>
      </c>
      <c r="R179" s="3" t="s">
        <v>1285</v>
      </c>
      <c r="S179" s="3" t="s">
        <v>37</v>
      </c>
      <c r="T179" s="3" t="s">
        <v>36</v>
      </c>
      <c r="U179" s="4" t="b">
        <v>1</v>
      </c>
      <c r="V179" s="3" t="s">
        <v>28</v>
      </c>
      <c r="W179" s="1"/>
      <c r="Y179" s="3" t="s">
        <v>29</v>
      </c>
      <c r="Z179" s="3" t="s">
        <v>29</v>
      </c>
      <c r="AA179" s="3"/>
      <c r="AB179" s="3"/>
      <c r="AC179" s="4" t="s">
        <v>30</v>
      </c>
      <c r="AD179" s="3"/>
      <c r="AE179" s="3" t="s">
        <v>1286</v>
      </c>
      <c r="AF179" s="4" t="s">
        <v>30</v>
      </c>
      <c r="AH179" s="4">
        <v>1</v>
      </c>
      <c r="AI179" s="3" t="s">
        <v>1281</v>
      </c>
      <c r="AJ179" s="4" t="s">
        <v>1284</v>
      </c>
      <c r="AK179" s="4"/>
      <c r="AL179" s="3"/>
    </row>
    <row r="180" spans="1:38" x14ac:dyDescent="0.35">
      <c r="A180" s="3" t="s">
        <v>1287</v>
      </c>
      <c r="B180" s="4" t="s">
        <v>1291</v>
      </c>
      <c r="C180" s="4">
        <f>VLOOKUP(A180, [1]Planilha1!$A$3:$B$1015,2,FALSE)</f>
        <v>15068</v>
      </c>
      <c r="D180" s="4">
        <f t="shared" si="2"/>
        <v>4.1855555555555553</v>
      </c>
      <c r="E180" s="4" t="s">
        <v>1125</v>
      </c>
      <c r="F180" s="3" t="s">
        <v>1289</v>
      </c>
      <c r="G180" s="3" t="s">
        <v>44</v>
      </c>
      <c r="H180" s="3" t="s">
        <v>44</v>
      </c>
      <c r="I180" s="3" t="s">
        <v>33</v>
      </c>
      <c r="J180" s="3" t="s">
        <v>41</v>
      </c>
      <c r="L180" s="1">
        <v>46049.448587962965</v>
      </c>
      <c r="M180" s="1">
        <v>46049.45239583333</v>
      </c>
      <c r="N180" s="1">
        <v>46049.539594907408</v>
      </c>
      <c r="O180" s="3" t="s">
        <v>43</v>
      </c>
      <c r="P180" s="3" t="s">
        <v>1291</v>
      </c>
      <c r="Q180" s="3" t="s">
        <v>42</v>
      </c>
      <c r="R180" s="3" t="s">
        <v>1290</v>
      </c>
      <c r="S180" s="3" t="s">
        <v>62</v>
      </c>
      <c r="T180" s="3" t="s">
        <v>61</v>
      </c>
      <c r="U180" s="4" t="b">
        <v>1</v>
      </c>
      <c r="V180" s="3" t="s">
        <v>31</v>
      </c>
      <c r="W180" s="1"/>
      <c r="Y180" s="3" t="s">
        <v>32</v>
      </c>
      <c r="Z180" s="3" t="s">
        <v>32</v>
      </c>
      <c r="AA180" s="3"/>
      <c r="AB180" s="3"/>
      <c r="AC180" s="4" t="s">
        <v>30</v>
      </c>
      <c r="AD180" s="3"/>
      <c r="AE180" s="3" t="s">
        <v>1291</v>
      </c>
      <c r="AF180" s="4" t="s">
        <v>30</v>
      </c>
      <c r="AH180" s="4">
        <v>1</v>
      </c>
      <c r="AI180" s="3" t="s">
        <v>1288</v>
      </c>
      <c r="AJ180" s="4"/>
      <c r="AK180" s="4"/>
      <c r="AL180" s="3"/>
    </row>
    <row r="181" spans="1:38" x14ac:dyDescent="0.35">
      <c r="A181" s="3" t="s">
        <v>1292</v>
      </c>
      <c r="B181" s="4" t="s">
        <v>1296</v>
      </c>
      <c r="C181" s="4">
        <f>VLOOKUP(A181, [1]Planilha1!$A$3:$B$1015,2,FALSE)</f>
        <v>6396</v>
      </c>
      <c r="D181" s="4">
        <f t="shared" si="2"/>
        <v>1.7766666666666666</v>
      </c>
      <c r="E181" s="4" t="s">
        <v>1125</v>
      </c>
      <c r="F181" s="3" t="s">
        <v>1294</v>
      </c>
      <c r="G181" s="3" t="s">
        <v>74</v>
      </c>
      <c r="H181" s="3" t="s">
        <v>44</v>
      </c>
      <c r="I181" s="3" t="s">
        <v>33</v>
      </c>
      <c r="J181" s="3" t="s">
        <v>41</v>
      </c>
      <c r="L181" s="1">
        <v>46049.447789351849</v>
      </c>
      <c r="M181" s="1">
        <v>46049.44972222222</v>
      </c>
      <c r="N181" s="1">
        <v>46049.48673611111</v>
      </c>
      <c r="O181" s="3" t="s">
        <v>43</v>
      </c>
      <c r="P181" s="3" t="s">
        <v>1296</v>
      </c>
      <c r="Q181" s="3" t="s">
        <v>42</v>
      </c>
      <c r="R181" s="3" t="s">
        <v>1295</v>
      </c>
      <c r="S181" s="3" t="s">
        <v>80</v>
      </c>
      <c r="T181" s="3" t="s">
        <v>79</v>
      </c>
      <c r="U181" s="4" t="b">
        <v>1</v>
      </c>
      <c r="V181" s="3" t="s">
        <v>31</v>
      </c>
      <c r="W181" s="1"/>
      <c r="Y181" s="3" t="s">
        <v>32</v>
      </c>
      <c r="Z181" s="3" t="s">
        <v>32</v>
      </c>
      <c r="AA181" s="3"/>
      <c r="AB181" s="3"/>
      <c r="AC181" s="4" t="s">
        <v>30</v>
      </c>
      <c r="AD181" s="3"/>
      <c r="AE181" s="3" t="s">
        <v>1296</v>
      </c>
      <c r="AF181" s="4" t="s">
        <v>30</v>
      </c>
      <c r="AH181" s="4">
        <v>1</v>
      </c>
      <c r="AI181" s="3" t="s">
        <v>1293</v>
      </c>
      <c r="AJ181" s="4" t="s">
        <v>5838</v>
      </c>
      <c r="AK181" s="4"/>
      <c r="AL181" s="3"/>
    </row>
    <row r="182" spans="1:38" x14ac:dyDescent="0.35">
      <c r="A182" s="3" t="s">
        <v>1301</v>
      </c>
      <c r="B182" s="4" t="s">
        <v>1305</v>
      </c>
      <c r="C182" s="4">
        <f>VLOOKUP(A182, [1]Planilha1!$A$3:$B$1015,2,FALSE)</f>
        <v>9210</v>
      </c>
      <c r="D182" s="4">
        <f t="shared" si="2"/>
        <v>2.5583333333333331</v>
      </c>
      <c r="E182" s="4" t="s">
        <v>1125</v>
      </c>
      <c r="F182" s="3" t="s">
        <v>1303</v>
      </c>
      <c r="G182" s="3" t="s">
        <v>74</v>
      </c>
      <c r="H182" s="3" t="s">
        <v>44</v>
      </c>
      <c r="I182" s="3" t="s">
        <v>33</v>
      </c>
      <c r="J182" s="3" t="s">
        <v>41</v>
      </c>
      <c r="L182" s="1">
        <v>46049.430625000001</v>
      </c>
      <c r="M182" s="1">
        <v>46049.432175925926</v>
      </c>
      <c r="N182" s="1">
        <v>46049.485474537039</v>
      </c>
      <c r="O182" s="3" t="s">
        <v>43</v>
      </c>
      <c r="P182" s="3" t="s">
        <v>1305</v>
      </c>
      <c r="Q182" s="3" t="s">
        <v>42</v>
      </c>
      <c r="R182" s="3" t="s">
        <v>1304</v>
      </c>
      <c r="S182" s="3" t="s">
        <v>80</v>
      </c>
      <c r="T182" s="3" t="s">
        <v>79</v>
      </c>
      <c r="U182" s="4" t="b">
        <v>1</v>
      </c>
      <c r="V182" s="3" t="s">
        <v>31</v>
      </c>
      <c r="W182" s="1"/>
      <c r="Y182" s="3" t="s">
        <v>32</v>
      </c>
      <c r="Z182" s="3" t="s">
        <v>32</v>
      </c>
      <c r="AA182" s="3"/>
      <c r="AB182" s="3"/>
      <c r="AC182" s="4" t="s">
        <v>30</v>
      </c>
      <c r="AD182" s="3"/>
      <c r="AE182" s="3" t="s">
        <v>1305</v>
      </c>
      <c r="AF182" s="4" t="s">
        <v>30</v>
      </c>
      <c r="AH182" s="4">
        <v>1</v>
      </c>
      <c r="AI182" s="3" t="s">
        <v>1302</v>
      </c>
      <c r="AJ182" s="4"/>
      <c r="AK182" s="4"/>
      <c r="AL182" s="3"/>
    </row>
    <row r="183" spans="1:38" x14ac:dyDescent="0.35">
      <c r="A183" s="3" t="s">
        <v>1306</v>
      </c>
      <c r="B183" s="4" t="s">
        <v>94</v>
      </c>
      <c r="C183" s="4">
        <f>VLOOKUP(A183, [1]Planilha1!$A$3:$B$1015,2,FALSE)</f>
        <v>0</v>
      </c>
      <c r="D183" s="4">
        <f t="shared" si="2"/>
        <v>0</v>
      </c>
      <c r="E183" s="4" t="s">
        <v>1125</v>
      </c>
      <c r="F183" s="3" t="s">
        <v>92</v>
      </c>
      <c r="G183" s="3" t="s">
        <v>146</v>
      </c>
      <c r="H183" s="3" t="s">
        <v>148</v>
      </c>
      <c r="I183" s="3" t="s">
        <v>33</v>
      </c>
      <c r="J183" s="3" t="s">
        <v>459</v>
      </c>
      <c r="L183" s="1">
        <v>46049.42523148148</v>
      </c>
      <c r="M183" s="1">
        <v>46049.425902777781</v>
      </c>
      <c r="N183" s="1">
        <v>46052.458344907405</v>
      </c>
      <c r="O183" s="3" t="s">
        <v>147</v>
      </c>
      <c r="P183" s="3" t="s">
        <v>94</v>
      </c>
      <c r="Q183" s="3" t="s">
        <v>35</v>
      </c>
      <c r="R183" s="3" t="s">
        <v>93</v>
      </c>
      <c r="S183" s="3" t="s">
        <v>82</v>
      </c>
      <c r="T183" s="3" t="s">
        <v>81</v>
      </c>
      <c r="U183" s="4" t="b">
        <v>1</v>
      </c>
      <c r="V183" s="3" t="s">
        <v>31</v>
      </c>
      <c r="W183" s="1"/>
      <c r="Y183" s="3" t="s">
        <v>32</v>
      </c>
      <c r="Z183" s="3" t="s">
        <v>32</v>
      </c>
      <c r="AA183" s="3"/>
      <c r="AB183" s="3"/>
      <c r="AC183" s="4" t="s">
        <v>30</v>
      </c>
      <c r="AD183" s="3"/>
      <c r="AE183" s="3" t="s">
        <v>94</v>
      </c>
      <c r="AF183" s="4" t="s">
        <v>30</v>
      </c>
      <c r="AH183" s="4">
        <v>0</v>
      </c>
      <c r="AI183" s="3" t="s">
        <v>146</v>
      </c>
      <c r="AJ183" s="4"/>
      <c r="AK183" s="4"/>
      <c r="AL183" s="3"/>
    </row>
    <row r="184" spans="1:38" x14ac:dyDescent="0.35">
      <c r="A184" s="3" t="s">
        <v>1307</v>
      </c>
      <c r="B184" s="4"/>
      <c r="C184" s="4">
        <f>VLOOKUP(A184, [1]Planilha1!$A$3:$B$1015,2,FALSE)</f>
        <v>0</v>
      </c>
      <c r="D184" s="4">
        <f t="shared" si="2"/>
        <v>0</v>
      </c>
      <c r="E184" s="4" t="s">
        <v>1125</v>
      </c>
      <c r="F184" s="3" t="s">
        <v>1310</v>
      </c>
      <c r="G184" s="3" t="s">
        <v>122</v>
      </c>
      <c r="H184" s="3" t="s">
        <v>126</v>
      </c>
      <c r="I184" s="3" t="s">
        <v>33</v>
      </c>
      <c r="J184" s="3" t="s">
        <v>60</v>
      </c>
      <c r="K184" s="3" t="s">
        <v>1309</v>
      </c>
      <c r="L184" s="1">
        <v>46049.423587962963</v>
      </c>
      <c r="M184" s="1">
        <v>46049.441828703704</v>
      </c>
      <c r="N184" s="1">
        <v>46052.458344907405</v>
      </c>
      <c r="O184" s="3" t="s">
        <v>125</v>
      </c>
      <c r="Q184" s="3" t="s">
        <v>42</v>
      </c>
      <c r="S184" s="3" t="s">
        <v>120</v>
      </c>
      <c r="T184" s="3" t="s">
        <v>119</v>
      </c>
      <c r="U184" s="4" t="b">
        <v>1</v>
      </c>
      <c r="V184" s="3" t="s">
        <v>31</v>
      </c>
      <c r="W184" s="1"/>
      <c r="Y184" s="3" t="s">
        <v>32</v>
      </c>
      <c r="Z184" s="3" t="s">
        <v>32</v>
      </c>
      <c r="AA184" s="3"/>
      <c r="AB184" s="3"/>
      <c r="AC184" s="4" t="s">
        <v>30</v>
      </c>
      <c r="AD184" s="3"/>
      <c r="AE184" s="3"/>
      <c r="AF184" s="4" t="s">
        <v>30</v>
      </c>
      <c r="AH184" s="4">
        <v>0</v>
      </c>
      <c r="AI184" s="3" t="s">
        <v>1308</v>
      </c>
      <c r="AJ184" s="4"/>
      <c r="AK184" s="4"/>
      <c r="AL184" s="3"/>
    </row>
    <row r="185" spans="1:38" x14ac:dyDescent="0.35">
      <c r="A185" s="3" t="s">
        <v>1311</v>
      </c>
      <c r="B185" s="4" t="s">
        <v>1316</v>
      </c>
      <c r="C185" s="4">
        <f>VLOOKUP(A185, [1]Planilha1!$A$3:$B$1015,2,FALSE)</f>
        <v>46110</v>
      </c>
      <c r="D185" s="4">
        <f t="shared" si="2"/>
        <v>12.808333333333334</v>
      </c>
      <c r="E185" s="4" t="s">
        <v>1125</v>
      </c>
      <c r="F185" s="3" t="s">
        <v>1313</v>
      </c>
      <c r="G185" s="3" t="s">
        <v>138</v>
      </c>
      <c r="H185" s="3" t="s">
        <v>44</v>
      </c>
      <c r="I185" s="3" t="s">
        <v>33</v>
      </c>
      <c r="J185" s="3" t="s">
        <v>41</v>
      </c>
      <c r="L185" s="1">
        <v>46049.417175925926</v>
      </c>
      <c r="M185" s="1">
        <v>46049.417175925926</v>
      </c>
      <c r="N185" s="1">
        <v>46049.616979166669</v>
      </c>
      <c r="O185" s="3" t="s">
        <v>43</v>
      </c>
      <c r="P185" s="3" t="s">
        <v>1316</v>
      </c>
      <c r="Q185" s="3" t="s">
        <v>42</v>
      </c>
      <c r="R185" s="3" t="s">
        <v>1315</v>
      </c>
      <c r="S185" s="3" t="s">
        <v>37</v>
      </c>
      <c r="T185" s="3" t="s">
        <v>36</v>
      </c>
      <c r="U185" s="4" t="b">
        <v>1</v>
      </c>
      <c r="V185" s="3" t="s">
        <v>28</v>
      </c>
      <c r="W185" s="1"/>
      <c r="Y185" s="3" t="s">
        <v>29</v>
      </c>
      <c r="Z185" s="3" t="s">
        <v>29</v>
      </c>
      <c r="AA185" s="3"/>
      <c r="AB185" s="3"/>
      <c r="AC185" s="4" t="s">
        <v>30</v>
      </c>
      <c r="AD185" s="3"/>
      <c r="AE185" s="3" t="s">
        <v>1316</v>
      </c>
      <c r="AF185" s="4" t="s">
        <v>30</v>
      </c>
      <c r="AH185" s="4">
        <v>2</v>
      </c>
      <c r="AI185" s="3" t="s">
        <v>1312</v>
      </c>
      <c r="AJ185" s="4" t="s">
        <v>1314</v>
      </c>
      <c r="AK185" s="4"/>
      <c r="AL185" s="3"/>
    </row>
    <row r="186" spans="1:38" x14ac:dyDescent="0.35">
      <c r="A186" s="3" t="s">
        <v>1317</v>
      </c>
      <c r="B186" s="4" t="s">
        <v>1322</v>
      </c>
      <c r="C186" s="4">
        <f>VLOOKUP(A186, [1]Planilha1!$A$3:$B$1015,2,FALSE)</f>
        <v>49226</v>
      </c>
      <c r="D186" s="4">
        <f t="shared" si="2"/>
        <v>13.673888888888889</v>
      </c>
      <c r="E186" s="4" t="s">
        <v>1125</v>
      </c>
      <c r="F186" s="3" t="s">
        <v>1320</v>
      </c>
      <c r="G186" s="3" t="s">
        <v>1318</v>
      </c>
      <c r="H186" s="3" t="s">
        <v>44</v>
      </c>
      <c r="I186" s="3" t="s">
        <v>33</v>
      </c>
      <c r="J186" s="3" t="s">
        <v>41</v>
      </c>
      <c r="L186" s="1">
        <v>46049.407696759263</v>
      </c>
      <c r="M186" s="1">
        <v>46049.407696759263</v>
      </c>
      <c r="N186" s="1">
        <v>46049.621666666666</v>
      </c>
      <c r="O186" s="3" t="s">
        <v>43</v>
      </c>
      <c r="P186" s="3" t="s">
        <v>1322</v>
      </c>
      <c r="Q186" s="3" t="s">
        <v>42</v>
      </c>
      <c r="R186" s="3" t="s">
        <v>1321</v>
      </c>
      <c r="S186" s="3" t="s">
        <v>37</v>
      </c>
      <c r="T186" s="3" t="s">
        <v>36</v>
      </c>
      <c r="U186" s="4" t="b">
        <v>1</v>
      </c>
      <c r="V186" s="3" t="s">
        <v>28</v>
      </c>
      <c r="W186" s="1"/>
      <c r="Y186" s="3" t="s">
        <v>29</v>
      </c>
      <c r="Z186" s="3" t="s">
        <v>29</v>
      </c>
      <c r="AA186" s="3"/>
      <c r="AB186" s="3"/>
      <c r="AC186" s="4" t="s">
        <v>30</v>
      </c>
      <c r="AD186" s="3"/>
      <c r="AE186" s="3" t="s">
        <v>1322</v>
      </c>
      <c r="AF186" s="4" t="s">
        <v>30</v>
      </c>
      <c r="AH186" s="4">
        <v>2</v>
      </c>
      <c r="AI186" s="3" t="s">
        <v>1319</v>
      </c>
      <c r="AJ186" s="4" t="s">
        <v>5839</v>
      </c>
      <c r="AK186" s="4"/>
      <c r="AL186" s="3"/>
    </row>
    <row r="187" spans="1:38" x14ac:dyDescent="0.35">
      <c r="A187" s="3" t="s">
        <v>1323</v>
      </c>
      <c r="B187" s="4" t="s">
        <v>1329</v>
      </c>
      <c r="C187" s="4">
        <f>VLOOKUP(A187, [1]Planilha1!$A$3:$B$1015,2,FALSE)</f>
        <v>36534</v>
      </c>
      <c r="D187" s="4">
        <f t="shared" si="2"/>
        <v>10.148333333333333</v>
      </c>
      <c r="E187" s="4" t="s">
        <v>1125</v>
      </c>
      <c r="F187" s="3" t="s">
        <v>1326</v>
      </c>
      <c r="G187" s="3" t="s">
        <v>1324</v>
      </c>
      <c r="H187" s="3" t="s">
        <v>44</v>
      </c>
      <c r="I187" s="3" t="s">
        <v>33</v>
      </c>
      <c r="J187" s="3" t="s">
        <v>41</v>
      </c>
      <c r="L187" s="1">
        <v>46049.406782407408</v>
      </c>
      <c r="M187" s="1">
        <v>46049.406782407408</v>
      </c>
      <c r="N187" s="1">
        <v>46049.547731481478</v>
      </c>
      <c r="O187" s="3" t="s">
        <v>43</v>
      </c>
      <c r="P187" s="3" t="s">
        <v>1329</v>
      </c>
      <c r="Q187" s="3" t="s">
        <v>42</v>
      </c>
      <c r="R187" s="3" t="s">
        <v>1328</v>
      </c>
      <c r="S187" s="3" t="s">
        <v>37</v>
      </c>
      <c r="T187" s="3" t="s">
        <v>36</v>
      </c>
      <c r="U187" s="4" t="b">
        <v>1</v>
      </c>
      <c r="V187" s="3" t="s">
        <v>28</v>
      </c>
      <c r="W187" s="1"/>
      <c r="Y187" s="3" t="s">
        <v>29</v>
      </c>
      <c r="Z187" s="3" t="s">
        <v>29</v>
      </c>
      <c r="AA187" s="3"/>
      <c r="AB187" s="3"/>
      <c r="AC187" s="4" t="s">
        <v>30</v>
      </c>
      <c r="AD187" s="3"/>
      <c r="AE187" s="3" t="s">
        <v>1329</v>
      </c>
      <c r="AF187" s="4" t="s">
        <v>30</v>
      </c>
      <c r="AH187" s="4">
        <v>0</v>
      </c>
      <c r="AI187" s="3" t="s">
        <v>1325</v>
      </c>
      <c r="AJ187" s="4" t="s">
        <v>1327</v>
      </c>
      <c r="AK187" s="4"/>
      <c r="AL187" s="3"/>
    </row>
    <row r="188" spans="1:38" x14ac:dyDescent="0.35">
      <c r="A188" s="3" t="s">
        <v>1332</v>
      </c>
      <c r="B188" s="4" t="s">
        <v>58</v>
      </c>
      <c r="C188" s="4">
        <f>VLOOKUP(A188, [1]Planilha1!$A$3:$B$1015,2,FALSE)</f>
        <v>48014</v>
      </c>
      <c r="D188" s="4">
        <f t="shared" si="2"/>
        <v>13.337222222222222</v>
      </c>
      <c r="E188" s="4" t="s">
        <v>1125</v>
      </c>
      <c r="F188" s="3" t="s">
        <v>54</v>
      </c>
      <c r="G188" s="3" t="s">
        <v>1333</v>
      </c>
      <c r="H188" s="3" t="s">
        <v>455</v>
      </c>
      <c r="I188" s="3" t="s">
        <v>33</v>
      </c>
      <c r="J188" s="3" t="s">
        <v>152</v>
      </c>
      <c r="L188" s="1">
        <v>46049.397164351853</v>
      </c>
      <c r="M188" s="1">
        <v>46049.4</v>
      </c>
      <c r="N188" s="1">
        <v>46056.740995370368</v>
      </c>
      <c r="O188" s="3" t="s">
        <v>833</v>
      </c>
      <c r="P188" s="3" t="s">
        <v>57</v>
      </c>
      <c r="Q188" s="3" t="s">
        <v>52</v>
      </c>
      <c r="R188" s="3" t="s">
        <v>56</v>
      </c>
      <c r="S188" s="3" t="s">
        <v>64</v>
      </c>
      <c r="T188" s="3" t="s">
        <v>63</v>
      </c>
      <c r="U188" s="4" t="b">
        <v>0</v>
      </c>
      <c r="V188" s="3" t="s">
        <v>28</v>
      </c>
      <c r="W188" s="1"/>
      <c r="Y188" s="3" t="s">
        <v>29</v>
      </c>
      <c r="Z188" s="3" t="s">
        <v>29</v>
      </c>
      <c r="AA188" s="3" t="s">
        <v>196</v>
      </c>
      <c r="AB188" s="3" t="s">
        <v>58</v>
      </c>
      <c r="AC188" s="4" t="s">
        <v>30</v>
      </c>
      <c r="AD188" s="3" t="s">
        <v>59</v>
      </c>
      <c r="AE188" s="3" t="s">
        <v>57</v>
      </c>
      <c r="AF188" s="4" t="s">
        <v>30</v>
      </c>
      <c r="AH188" s="4">
        <v>2</v>
      </c>
      <c r="AI188" s="3" t="s">
        <v>1334</v>
      </c>
      <c r="AJ188" s="4" t="s">
        <v>55</v>
      </c>
      <c r="AK188" s="4" t="s">
        <v>197</v>
      </c>
      <c r="AL188" s="3"/>
    </row>
    <row r="189" spans="1:38" x14ac:dyDescent="0.35">
      <c r="A189" s="3" t="s">
        <v>1335</v>
      </c>
      <c r="B189" s="4" t="s">
        <v>1340</v>
      </c>
      <c r="C189" s="4">
        <f>VLOOKUP(A189, [1]Planilha1!$A$3:$B$1015,2,FALSE)</f>
        <v>0</v>
      </c>
      <c r="D189" s="4">
        <f t="shared" si="2"/>
        <v>0</v>
      </c>
      <c r="E189" s="4" t="s">
        <v>1125</v>
      </c>
      <c r="F189" s="3" t="s">
        <v>1338</v>
      </c>
      <c r="G189" s="3" t="s">
        <v>214</v>
      </c>
      <c r="H189" s="3" t="s">
        <v>44</v>
      </c>
      <c r="I189" s="3" t="s">
        <v>33</v>
      </c>
      <c r="J189" s="3" t="s">
        <v>60</v>
      </c>
      <c r="K189" s="3" t="s">
        <v>1337</v>
      </c>
      <c r="L189" s="1">
        <v>46049.391215277778</v>
      </c>
      <c r="M189" s="1">
        <v>46049.398321759261</v>
      </c>
      <c r="N189" s="1">
        <v>46052.416666666664</v>
      </c>
      <c r="O189" s="3" t="s">
        <v>43</v>
      </c>
      <c r="P189" s="3" t="s">
        <v>1340</v>
      </c>
      <c r="Q189" s="3" t="s">
        <v>35</v>
      </c>
      <c r="R189" s="3" t="s">
        <v>1339</v>
      </c>
      <c r="S189" s="3" t="s">
        <v>144</v>
      </c>
      <c r="T189" s="3" t="s">
        <v>143</v>
      </c>
      <c r="U189" s="4" t="b">
        <v>1</v>
      </c>
      <c r="V189" s="3" t="s">
        <v>31</v>
      </c>
      <c r="W189" s="1"/>
      <c r="Y189" s="3" t="s">
        <v>32</v>
      </c>
      <c r="Z189" s="3" t="s">
        <v>32</v>
      </c>
      <c r="AA189" s="3"/>
      <c r="AB189" s="3"/>
      <c r="AC189" s="4" t="s">
        <v>30</v>
      </c>
      <c r="AD189" s="3"/>
      <c r="AE189" s="3" t="s">
        <v>1340</v>
      </c>
      <c r="AF189" s="4" t="s">
        <v>30</v>
      </c>
      <c r="AH189" s="4">
        <v>0</v>
      </c>
      <c r="AI189" s="3" t="s">
        <v>1336</v>
      </c>
      <c r="AJ189" s="4" t="s">
        <v>5840</v>
      </c>
      <c r="AK189" s="4"/>
      <c r="AL189" s="3"/>
    </row>
    <row r="190" spans="1:38" x14ac:dyDescent="0.35">
      <c r="A190" s="3" t="s">
        <v>1341</v>
      </c>
      <c r="B190" s="4" t="s">
        <v>1348</v>
      </c>
      <c r="C190" s="4">
        <f>VLOOKUP(A190, [1]Planilha1!$A$3:$B$1015,2,FALSE)</f>
        <v>33876</v>
      </c>
      <c r="D190" s="4">
        <f t="shared" si="2"/>
        <v>9.41</v>
      </c>
      <c r="E190" s="4" t="s">
        <v>1125</v>
      </c>
      <c r="F190" s="3" t="s">
        <v>1345</v>
      </c>
      <c r="G190" s="3" t="s">
        <v>1342</v>
      </c>
      <c r="H190" s="3" t="s">
        <v>224</v>
      </c>
      <c r="I190" s="3" t="s">
        <v>33</v>
      </c>
      <c r="J190" s="3" t="s">
        <v>41</v>
      </c>
      <c r="K190" s="3" t="s">
        <v>1344</v>
      </c>
      <c r="L190" s="1">
        <v>46049.379317129627</v>
      </c>
      <c r="M190" s="1">
        <v>46049.379317129627</v>
      </c>
      <c r="N190" s="1">
        <v>46049.575358796297</v>
      </c>
      <c r="O190" s="3" t="s">
        <v>223</v>
      </c>
      <c r="P190" s="3" t="s">
        <v>1348</v>
      </c>
      <c r="Q190" s="3" t="s">
        <v>42</v>
      </c>
      <c r="R190" s="3" t="s">
        <v>1347</v>
      </c>
      <c r="S190" s="3" t="s">
        <v>37</v>
      </c>
      <c r="T190" s="3" t="s">
        <v>36</v>
      </c>
      <c r="U190" s="4" t="b">
        <v>1</v>
      </c>
      <c r="V190" s="3" t="s">
        <v>28</v>
      </c>
      <c r="W190" s="1"/>
      <c r="Y190" s="3" t="s">
        <v>29</v>
      </c>
      <c r="Z190" s="3" t="s">
        <v>29</v>
      </c>
      <c r="AA190" s="3"/>
      <c r="AB190" s="3"/>
      <c r="AC190" s="4" t="s">
        <v>30</v>
      </c>
      <c r="AD190" s="3"/>
      <c r="AE190" s="3" t="s">
        <v>1348</v>
      </c>
      <c r="AF190" s="4" t="s">
        <v>30</v>
      </c>
      <c r="AH190" s="4">
        <v>1</v>
      </c>
      <c r="AI190" s="3" t="s">
        <v>1343</v>
      </c>
      <c r="AJ190" s="4" t="s">
        <v>1346</v>
      </c>
      <c r="AK190" s="4"/>
      <c r="AL190" s="3"/>
    </row>
    <row r="191" spans="1:38" x14ac:dyDescent="0.35">
      <c r="A191" s="3" t="s">
        <v>1349</v>
      </c>
      <c r="B191" s="4" t="s">
        <v>1354</v>
      </c>
      <c r="C191" s="4">
        <f>VLOOKUP(A191, [1]Planilha1!$A$3:$B$1015,2,FALSE)</f>
        <v>0</v>
      </c>
      <c r="D191" s="4">
        <f t="shared" si="2"/>
        <v>0</v>
      </c>
      <c r="E191" s="4" t="s">
        <v>1125</v>
      </c>
      <c r="F191" s="3" t="s">
        <v>1352</v>
      </c>
      <c r="G191" s="3" t="s">
        <v>214</v>
      </c>
      <c r="H191" s="3" t="s">
        <v>44</v>
      </c>
      <c r="I191" s="3" t="s">
        <v>33</v>
      </c>
      <c r="J191" s="3" t="s">
        <v>60</v>
      </c>
      <c r="K191" s="3" t="s">
        <v>1351</v>
      </c>
      <c r="L191" s="1">
        <v>46049.359039351853</v>
      </c>
      <c r="M191" s="1">
        <v>46049.374675925923</v>
      </c>
      <c r="N191" s="1">
        <v>46052.375</v>
      </c>
      <c r="O191" s="3" t="s">
        <v>43</v>
      </c>
      <c r="P191" s="3" t="s">
        <v>1354</v>
      </c>
      <c r="Q191" s="3" t="s">
        <v>35</v>
      </c>
      <c r="R191" s="3" t="s">
        <v>1353</v>
      </c>
      <c r="S191" s="3" t="s">
        <v>144</v>
      </c>
      <c r="T191" s="3" t="s">
        <v>143</v>
      </c>
      <c r="U191" s="4" t="b">
        <v>1</v>
      </c>
      <c r="V191" s="3" t="s">
        <v>31</v>
      </c>
      <c r="W191" s="1"/>
      <c r="Y191" s="3" t="s">
        <v>32</v>
      </c>
      <c r="Z191" s="3" t="s">
        <v>32</v>
      </c>
      <c r="AA191" s="3"/>
      <c r="AB191" s="3"/>
      <c r="AC191" s="4" t="s">
        <v>30</v>
      </c>
      <c r="AD191" s="3"/>
      <c r="AE191" s="3" t="s">
        <v>1354</v>
      </c>
      <c r="AF191" s="4" t="s">
        <v>30</v>
      </c>
      <c r="AH191" s="4">
        <v>0</v>
      </c>
      <c r="AI191" s="3" t="s">
        <v>1350</v>
      </c>
      <c r="AJ191" s="4" t="s">
        <v>5841</v>
      </c>
      <c r="AK191" s="4"/>
      <c r="AL191" s="3"/>
    </row>
    <row r="192" spans="1:38" x14ac:dyDescent="0.35">
      <c r="A192" s="3" t="s">
        <v>1355</v>
      </c>
      <c r="B192" s="4" t="s">
        <v>1362</v>
      </c>
      <c r="C192" s="4">
        <f>VLOOKUP(A192, [1]Planilha1!$A$3:$B$1015,2,FALSE)</f>
        <v>35256</v>
      </c>
      <c r="D192" s="4">
        <f t="shared" si="2"/>
        <v>9.793333333333333</v>
      </c>
      <c r="E192" s="4" t="s">
        <v>1125</v>
      </c>
      <c r="F192" s="3" t="s">
        <v>1359</v>
      </c>
      <c r="G192" s="3" t="s">
        <v>1356</v>
      </c>
      <c r="H192" s="3" t="s">
        <v>224</v>
      </c>
      <c r="I192" s="3" t="s">
        <v>33</v>
      </c>
      <c r="J192" s="3" t="s">
        <v>41</v>
      </c>
      <c r="K192" s="3" t="s">
        <v>1358</v>
      </c>
      <c r="L192" s="1">
        <v>46049.358402777776</v>
      </c>
      <c r="M192" s="1">
        <v>46049.358402777776</v>
      </c>
      <c r="N192" s="1">
        <v>46049.570729166669</v>
      </c>
      <c r="O192" s="3" t="s">
        <v>223</v>
      </c>
      <c r="P192" s="3" t="s">
        <v>1362</v>
      </c>
      <c r="Q192" s="3" t="s">
        <v>42</v>
      </c>
      <c r="R192" s="3" t="s">
        <v>1361</v>
      </c>
      <c r="S192" s="3" t="s">
        <v>37</v>
      </c>
      <c r="T192" s="3" t="s">
        <v>36</v>
      </c>
      <c r="U192" s="4" t="b">
        <v>1</v>
      </c>
      <c r="V192" s="3" t="s">
        <v>28</v>
      </c>
      <c r="W192" s="1"/>
      <c r="Y192" s="3" t="s">
        <v>29</v>
      </c>
      <c r="Z192" s="3" t="s">
        <v>29</v>
      </c>
      <c r="AA192" s="3"/>
      <c r="AB192" s="3"/>
      <c r="AC192" s="4" t="s">
        <v>30</v>
      </c>
      <c r="AD192" s="3"/>
      <c r="AE192" s="3" t="s">
        <v>1362</v>
      </c>
      <c r="AF192" s="4" t="s">
        <v>30</v>
      </c>
      <c r="AH192" s="4">
        <v>1</v>
      </c>
      <c r="AI192" s="3" t="s">
        <v>1357</v>
      </c>
      <c r="AJ192" s="4" t="s">
        <v>1360</v>
      </c>
      <c r="AK192" s="4"/>
      <c r="AL192" s="3"/>
    </row>
    <row r="193" spans="1:38" x14ac:dyDescent="0.35">
      <c r="A193" s="3" t="s">
        <v>1363</v>
      </c>
      <c r="B193" s="4" t="s">
        <v>1367</v>
      </c>
      <c r="C193" s="4">
        <f>VLOOKUP(A193, [1]Planilha1!$A$3:$B$1015,2,FALSE)</f>
        <v>28054</v>
      </c>
      <c r="D193" s="4">
        <f t="shared" si="2"/>
        <v>7.7927777777777774</v>
      </c>
      <c r="E193" s="4" t="s">
        <v>1125</v>
      </c>
      <c r="F193" s="3" t="s">
        <v>1365</v>
      </c>
      <c r="G193" s="3" t="s">
        <v>44</v>
      </c>
      <c r="H193" s="3" t="s">
        <v>44</v>
      </c>
      <c r="I193" s="3" t="s">
        <v>33</v>
      </c>
      <c r="J193" s="3" t="s">
        <v>41</v>
      </c>
      <c r="L193" s="1">
        <v>46049.356620370374</v>
      </c>
      <c r="M193" s="1">
        <v>46049.360162037039</v>
      </c>
      <c r="N193" s="1">
        <v>46049.537349537037</v>
      </c>
      <c r="O193" s="3" t="s">
        <v>43</v>
      </c>
      <c r="P193" s="3" t="s">
        <v>1367</v>
      </c>
      <c r="Q193" s="3" t="s">
        <v>42</v>
      </c>
      <c r="R193" s="3" t="s">
        <v>1366</v>
      </c>
      <c r="S193" s="3" t="s">
        <v>96</v>
      </c>
      <c r="T193" s="3" t="s">
        <v>95</v>
      </c>
      <c r="U193" s="4" t="b">
        <v>1</v>
      </c>
      <c r="V193" s="3" t="s">
        <v>31</v>
      </c>
      <c r="W193" s="1"/>
      <c r="Y193" s="3" t="s">
        <v>32</v>
      </c>
      <c r="Z193" s="3" t="s">
        <v>32</v>
      </c>
      <c r="AA193" s="3"/>
      <c r="AB193" s="3"/>
      <c r="AC193" s="4" t="s">
        <v>30</v>
      </c>
      <c r="AD193" s="3"/>
      <c r="AE193" s="3" t="s">
        <v>1367</v>
      </c>
      <c r="AF193" s="4" t="s">
        <v>30</v>
      </c>
      <c r="AH193" s="4">
        <v>3</v>
      </c>
      <c r="AI193" s="3" t="s">
        <v>1364</v>
      </c>
      <c r="AJ193" s="4" t="s">
        <v>5842</v>
      </c>
      <c r="AK193" s="4"/>
      <c r="AL193" s="3"/>
    </row>
    <row r="194" spans="1:38" x14ac:dyDescent="0.35">
      <c r="A194" s="3" t="s">
        <v>1368</v>
      </c>
      <c r="B194" s="4" t="s">
        <v>1374</v>
      </c>
      <c r="C194" s="4">
        <f>VLOOKUP(A194, [1]Planilha1!$A$3:$B$1015,2,FALSE)</f>
        <v>0</v>
      </c>
      <c r="D194" s="4">
        <f t="shared" si="2"/>
        <v>0</v>
      </c>
      <c r="E194" s="4" t="s">
        <v>1125</v>
      </c>
      <c r="F194" s="3" t="s">
        <v>1371</v>
      </c>
      <c r="G194" s="3" t="s">
        <v>237</v>
      </c>
      <c r="H194" s="3" t="s">
        <v>237</v>
      </c>
      <c r="I194" s="3" t="s">
        <v>33</v>
      </c>
      <c r="J194" s="3" t="s">
        <v>60</v>
      </c>
      <c r="L194" s="1">
        <v>46049.353125000001</v>
      </c>
      <c r="M194" s="1">
        <v>46049.355370370373</v>
      </c>
      <c r="N194" s="1">
        <v>46052.375</v>
      </c>
      <c r="O194" s="3" t="s">
        <v>1370</v>
      </c>
      <c r="P194" s="3" t="s">
        <v>1374</v>
      </c>
      <c r="Q194" s="3" t="s">
        <v>42</v>
      </c>
      <c r="R194" s="3" t="s">
        <v>1373</v>
      </c>
      <c r="S194" s="3" t="s">
        <v>120</v>
      </c>
      <c r="T194" s="3" t="s">
        <v>119</v>
      </c>
      <c r="U194" s="4" t="b">
        <v>1</v>
      </c>
      <c r="V194" s="3" t="s">
        <v>31</v>
      </c>
      <c r="W194" s="1"/>
      <c r="Y194" s="3" t="s">
        <v>32</v>
      </c>
      <c r="Z194" s="3" t="s">
        <v>32</v>
      </c>
      <c r="AA194" s="3"/>
      <c r="AB194" s="3"/>
      <c r="AC194" s="4" t="s">
        <v>30</v>
      </c>
      <c r="AD194" s="3"/>
      <c r="AE194" s="3" t="s">
        <v>1374</v>
      </c>
      <c r="AF194" s="4" t="s">
        <v>30</v>
      </c>
      <c r="AH194" s="4">
        <v>0</v>
      </c>
      <c r="AI194" s="3" t="s">
        <v>1369</v>
      </c>
      <c r="AJ194" s="4" t="s">
        <v>1372</v>
      </c>
      <c r="AK194" s="4"/>
      <c r="AL194" s="3"/>
    </row>
    <row r="195" spans="1:38" x14ac:dyDescent="0.35">
      <c r="A195" s="3" t="s">
        <v>1375</v>
      </c>
      <c r="B195" s="4" t="s">
        <v>1381</v>
      </c>
      <c r="C195" s="4">
        <f>VLOOKUP(A195, [1]Planilha1!$A$3:$B$1015,2,FALSE)</f>
        <v>9264</v>
      </c>
      <c r="D195" s="4">
        <f t="shared" ref="D195:D258" si="3">C195/3600</f>
        <v>2.5733333333333333</v>
      </c>
      <c r="E195" s="4" t="s">
        <v>1125</v>
      </c>
      <c r="F195" s="3" t="s">
        <v>1378</v>
      </c>
      <c r="G195" s="3" t="s">
        <v>214</v>
      </c>
      <c r="H195" s="3" t="s">
        <v>44</v>
      </c>
      <c r="I195" s="3" t="s">
        <v>33</v>
      </c>
      <c r="J195" s="3" t="s">
        <v>41</v>
      </c>
      <c r="K195" s="3" t="s">
        <v>1377</v>
      </c>
      <c r="L195" s="1">
        <v>46049.350462962961</v>
      </c>
      <c r="M195" s="1">
        <v>46049.366643518515</v>
      </c>
      <c r="N195" s="1">
        <v>46049.428611111114</v>
      </c>
      <c r="O195" s="3" t="s">
        <v>43</v>
      </c>
      <c r="P195" s="3" t="s">
        <v>1381</v>
      </c>
      <c r="Q195" s="3" t="s">
        <v>42</v>
      </c>
      <c r="R195" s="3" t="s">
        <v>1380</v>
      </c>
      <c r="S195" s="3" t="s">
        <v>144</v>
      </c>
      <c r="T195" s="3" t="s">
        <v>143</v>
      </c>
      <c r="U195" s="4" t="b">
        <v>1</v>
      </c>
      <c r="V195" s="3" t="s">
        <v>31</v>
      </c>
      <c r="W195" s="1"/>
      <c r="Y195" s="3" t="s">
        <v>32</v>
      </c>
      <c r="Z195" s="3" t="s">
        <v>32</v>
      </c>
      <c r="AA195" s="3"/>
      <c r="AB195" s="3"/>
      <c r="AC195" s="4" t="s">
        <v>30</v>
      </c>
      <c r="AD195" s="3"/>
      <c r="AE195" s="3" t="s">
        <v>1381</v>
      </c>
      <c r="AF195" s="4" t="s">
        <v>30</v>
      </c>
      <c r="AH195" s="4">
        <v>1</v>
      </c>
      <c r="AI195" s="3" t="s">
        <v>1376</v>
      </c>
      <c r="AJ195" s="4" t="s">
        <v>1379</v>
      </c>
      <c r="AK195" s="4"/>
      <c r="AL195" s="3"/>
    </row>
    <row r="196" spans="1:38" x14ac:dyDescent="0.35">
      <c r="A196" s="3" t="s">
        <v>1382</v>
      </c>
      <c r="B196" s="4" t="s">
        <v>1388</v>
      </c>
      <c r="C196" s="4">
        <f>VLOOKUP(A196, [1]Planilha1!$A$3:$B$1015,2,FALSE)</f>
        <v>24426</v>
      </c>
      <c r="D196" s="4">
        <f t="shared" si="3"/>
        <v>6.7850000000000001</v>
      </c>
      <c r="E196" s="4" t="s">
        <v>1125</v>
      </c>
      <c r="F196" s="3" t="s">
        <v>1385</v>
      </c>
      <c r="G196" s="3" t="s">
        <v>1383</v>
      </c>
      <c r="H196" s="3" t="s">
        <v>44</v>
      </c>
      <c r="I196" s="3" t="s">
        <v>33</v>
      </c>
      <c r="J196" s="3" t="s">
        <v>41</v>
      </c>
      <c r="L196" s="1">
        <v>46049.279340277775</v>
      </c>
      <c r="M196" s="1">
        <v>46049.279340277775</v>
      </c>
      <c r="N196" s="1">
        <v>46049.489305555559</v>
      </c>
      <c r="O196" s="3" t="s">
        <v>43</v>
      </c>
      <c r="P196" s="3" t="s">
        <v>1388</v>
      </c>
      <c r="Q196" s="3" t="s">
        <v>42</v>
      </c>
      <c r="R196" s="3" t="s">
        <v>1387</v>
      </c>
      <c r="S196" s="3" t="s">
        <v>37</v>
      </c>
      <c r="T196" s="3" t="s">
        <v>36</v>
      </c>
      <c r="U196" s="4" t="b">
        <v>1</v>
      </c>
      <c r="V196" s="3" t="s">
        <v>28</v>
      </c>
      <c r="W196" s="1"/>
      <c r="Y196" s="3" t="s">
        <v>29</v>
      </c>
      <c r="Z196" s="3" t="s">
        <v>29</v>
      </c>
      <c r="AA196" s="3"/>
      <c r="AB196" s="3"/>
      <c r="AC196" s="4" t="s">
        <v>30</v>
      </c>
      <c r="AD196" s="3"/>
      <c r="AE196" s="3" t="s">
        <v>1388</v>
      </c>
      <c r="AF196" s="4" t="s">
        <v>30</v>
      </c>
      <c r="AH196" s="4">
        <v>4</v>
      </c>
      <c r="AI196" s="3" t="s">
        <v>1384</v>
      </c>
      <c r="AJ196" s="4" t="s">
        <v>1386</v>
      </c>
      <c r="AK196" s="4"/>
      <c r="AL196" s="3"/>
    </row>
    <row r="197" spans="1:38" x14ac:dyDescent="0.35">
      <c r="A197" s="3" t="s">
        <v>1389</v>
      </c>
      <c r="B197" s="4" t="s">
        <v>1395</v>
      </c>
      <c r="C197" s="4">
        <f>VLOOKUP(A197, [1]Planilha1!$A$3:$B$1015,2,FALSE)</f>
        <v>39818</v>
      </c>
      <c r="D197" s="4">
        <f t="shared" si="3"/>
        <v>11.060555555555556</v>
      </c>
      <c r="E197" s="4" t="s">
        <v>1125</v>
      </c>
      <c r="F197" s="3" t="s">
        <v>1392</v>
      </c>
      <c r="G197" s="3" t="s">
        <v>1390</v>
      </c>
      <c r="H197" s="3" t="s">
        <v>224</v>
      </c>
      <c r="I197" s="3" t="s">
        <v>33</v>
      </c>
      <c r="J197" s="3" t="s">
        <v>41</v>
      </c>
      <c r="L197" s="1">
        <v>46048.816828703704</v>
      </c>
      <c r="M197" s="1">
        <v>46048.816828703704</v>
      </c>
      <c r="N197" s="1">
        <v>46049.563761574071</v>
      </c>
      <c r="O197" s="3" t="s">
        <v>223</v>
      </c>
      <c r="P197" s="3" t="s">
        <v>1395</v>
      </c>
      <c r="Q197" s="3" t="s">
        <v>35</v>
      </c>
      <c r="R197" s="3" t="s">
        <v>1394</v>
      </c>
      <c r="S197" s="3" t="s">
        <v>37</v>
      </c>
      <c r="T197" s="3" t="s">
        <v>36</v>
      </c>
      <c r="U197" s="4" t="b">
        <v>1</v>
      </c>
      <c r="V197" s="3" t="s">
        <v>28</v>
      </c>
      <c r="W197" s="1"/>
      <c r="Y197" s="3" t="s">
        <v>29</v>
      </c>
      <c r="Z197" s="3" t="s">
        <v>29</v>
      </c>
      <c r="AA197" s="3"/>
      <c r="AB197" s="3"/>
      <c r="AC197" s="4" t="s">
        <v>30</v>
      </c>
      <c r="AD197" s="3"/>
      <c r="AE197" s="3" t="s">
        <v>1395</v>
      </c>
      <c r="AF197" s="4" t="s">
        <v>30</v>
      </c>
      <c r="AH197" s="4">
        <v>1</v>
      </c>
      <c r="AI197" s="3" t="s">
        <v>1391</v>
      </c>
      <c r="AJ197" s="4" t="s">
        <v>1393</v>
      </c>
      <c r="AK197" s="4"/>
      <c r="AL197" s="3"/>
    </row>
    <row r="198" spans="1:38" x14ac:dyDescent="0.35">
      <c r="A198" s="3" t="s">
        <v>1396</v>
      </c>
      <c r="B198" s="4" t="s">
        <v>1402</v>
      </c>
      <c r="C198" s="4">
        <f>VLOOKUP(A198, [1]Planilha1!$A$3:$B$1015,2,FALSE)</f>
        <v>42139</v>
      </c>
      <c r="D198" s="4">
        <f t="shared" si="3"/>
        <v>11.705277777777777</v>
      </c>
      <c r="E198" s="4" t="s">
        <v>1125</v>
      </c>
      <c r="F198" s="3" t="s">
        <v>1400</v>
      </c>
      <c r="G198" s="3" t="s">
        <v>1397</v>
      </c>
      <c r="H198" s="3" t="s">
        <v>224</v>
      </c>
      <c r="I198" s="3" t="s">
        <v>33</v>
      </c>
      <c r="J198" s="3" t="s">
        <v>41</v>
      </c>
      <c r="K198" s="3" t="s">
        <v>1399</v>
      </c>
      <c r="L198" s="1">
        <v>46048.758368055554</v>
      </c>
      <c r="M198" s="1">
        <v>46048.758368055554</v>
      </c>
      <c r="N198" s="1">
        <v>46049.560543981483</v>
      </c>
      <c r="O198" s="3" t="s">
        <v>223</v>
      </c>
      <c r="P198" s="3" t="s">
        <v>1402</v>
      </c>
      <c r="Q198" s="3" t="s">
        <v>42</v>
      </c>
      <c r="R198" s="3" t="s">
        <v>1401</v>
      </c>
      <c r="S198" s="3" t="s">
        <v>37</v>
      </c>
      <c r="T198" s="3" t="s">
        <v>36</v>
      </c>
      <c r="U198" s="4" t="b">
        <v>1</v>
      </c>
      <c r="V198" s="3" t="s">
        <v>28</v>
      </c>
      <c r="W198" s="1"/>
      <c r="Y198" s="3" t="s">
        <v>29</v>
      </c>
      <c r="Z198" s="3" t="s">
        <v>29</v>
      </c>
      <c r="AA198" s="3"/>
      <c r="AB198" s="3"/>
      <c r="AC198" s="4" t="s">
        <v>30</v>
      </c>
      <c r="AD198" s="3"/>
      <c r="AE198" s="3" t="s">
        <v>1402</v>
      </c>
      <c r="AF198" s="4" t="s">
        <v>30</v>
      </c>
      <c r="AH198" s="4">
        <v>1</v>
      </c>
      <c r="AI198" s="3" t="s">
        <v>1398</v>
      </c>
      <c r="AJ198" s="4"/>
      <c r="AK198" s="4"/>
      <c r="AL198" s="3"/>
    </row>
    <row r="199" spans="1:38" x14ac:dyDescent="0.35">
      <c r="A199" s="3" t="s">
        <v>1403</v>
      </c>
      <c r="B199" s="4" t="s">
        <v>1408</v>
      </c>
      <c r="C199" s="4">
        <f>VLOOKUP(A199, [1]Planilha1!$A$3:$B$1015,2,FALSE)</f>
        <v>9496</v>
      </c>
      <c r="D199" s="4">
        <f t="shared" si="3"/>
        <v>2.637777777777778</v>
      </c>
      <c r="E199" s="4" t="s">
        <v>1125</v>
      </c>
      <c r="F199" s="3" t="s">
        <v>1405</v>
      </c>
      <c r="G199" s="3" t="s">
        <v>74</v>
      </c>
      <c r="H199" s="3" t="s">
        <v>44</v>
      </c>
      <c r="I199" s="3" t="s">
        <v>33</v>
      </c>
      <c r="J199" s="3" t="s">
        <v>607</v>
      </c>
      <c r="L199" s="1">
        <v>46048.747615740744</v>
      </c>
      <c r="M199" s="1">
        <v>46048.750196759262</v>
      </c>
      <c r="N199" s="1">
        <v>46052.458344907405</v>
      </c>
      <c r="O199" s="3" t="s">
        <v>43</v>
      </c>
      <c r="P199" s="3" t="s">
        <v>1408</v>
      </c>
      <c r="Q199" s="3" t="s">
        <v>35</v>
      </c>
      <c r="R199" s="3" t="s">
        <v>1407</v>
      </c>
      <c r="S199" s="3" t="s">
        <v>80</v>
      </c>
      <c r="T199" s="3" t="s">
        <v>79</v>
      </c>
      <c r="U199" s="4" t="b">
        <v>1</v>
      </c>
      <c r="V199" s="3" t="s">
        <v>31</v>
      </c>
      <c r="W199" s="1"/>
      <c r="Y199" s="3" t="s">
        <v>32</v>
      </c>
      <c r="Z199" s="3" t="s">
        <v>32</v>
      </c>
      <c r="AA199" s="3"/>
      <c r="AB199" s="3"/>
      <c r="AC199" s="4" t="s">
        <v>30</v>
      </c>
      <c r="AD199" s="3"/>
      <c r="AE199" s="3" t="s">
        <v>1408</v>
      </c>
      <c r="AF199" s="4" t="s">
        <v>30</v>
      </c>
      <c r="AH199" s="4">
        <v>1</v>
      </c>
      <c r="AI199" s="3" t="s">
        <v>1404</v>
      </c>
      <c r="AJ199" s="4" t="s">
        <v>1406</v>
      </c>
      <c r="AK199" s="4"/>
      <c r="AL199" s="3"/>
    </row>
    <row r="200" spans="1:38" x14ac:dyDescent="0.35">
      <c r="A200" s="3" t="s">
        <v>1409</v>
      </c>
      <c r="B200" s="4" t="s">
        <v>1414</v>
      </c>
      <c r="C200" s="4">
        <f>VLOOKUP(A200, [1]Planilha1!$A$3:$B$1015,2,FALSE)</f>
        <v>3214</v>
      </c>
      <c r="D200" s="4">
        <f t="shared" si="3"/>
        <v>0.89277777777777778</v>
      </c>
      <c r="E200" s="4" t="s">
        <v>1125</v>
      </c>
      <c r="F200" s="3" t="s">
        <v>1412</v>
      </c>
      <c r="G200" s="3" t="s">
        <v>1410</v>
      </c>
      <c r="H200" s="3" t="s">
        <v>44</v>
      </c>
      <c r="I200" s="3" t="s">
        <v>33</v>
      </c>
      <c r="J200" s="3" t="s">
        <v>41</v>
      </c>
      <c r="L200" s="1">
        <v>46048.726412037038</v>
      </c>
      <c r="M200" s="1">
        <v>46048.731400462966</v>
      </c>
      <c r="N200" s="1">
        <v>46049.341493055559</v>
      </c>
      <c r="O200" s="3" t="s">
        <v>43</v>
      </c>
      <c r="P200" s="3" t="s">
        <v>1414</v>
      </c>
      <c r="Q200" s="3" t="s">
        <v>42</v>
      </c>
      <c r="R200" s="3" t="s">
        <v>1413</v>
      </c>
      <c r="S200" s="3" t="s">
        <v>62</v>
      </c>
      <c r="T200" s="3" t="s">
        <v>61</v>
      </c>
      <c r="U200" s="4" t="b">
        <v>1</v>
      </c>
      <c r="V200" s="3" t="s">
        <v>31</v>
      </c>
      <c r="W200" s="1"/>
      <c r="Y200" s="3" t="s">
        <v>32</v>
      </c>
      <c r="Z200" s="3" t="s">
        <v>32</v>
      </c>
      <c r="AA200" s="3"/>
      <c r="AB200" s="3"/>
      <c r="AC200" s="4" t="s">
        <v>30</v>
      </c>
      <c r="AD200" s="3"/>
      <c r="AE200" s="3" t="s">
        <v>1414</v>
      </c>
      <c r="AF200" s="4" t="s">
        <v>30</v>
      </c>
      <c r="AH200" s="4">
        <v>1</v>
      </c>
      <c r="AI200" s="3" t="s">
        <v>1411</v>
      </c>
      <c r="AJ200" s="4" t="s">
        <v>5843</v>
      </c>
      <c r="AK200" s="4"/>
      <c r="AL200" s="3"/>
    </row>
    <row r="201" spans="1:38" x14ac:dyDescent="0.35">
      <c r="A201" s="3" t="s">
        <v>1415</v>
      </c>
      <c r="B201" s="4" t="s">
        <v>1420</v>
      </c>
      <c r="C201" s="4">
        <f>VLOOKUP(A201, [1]Planilha1!$A$3:$B$1015,2,FALSE)</f>
        <v>0</v>
      </c>
      <c r="D201" s="4">
        <f t="shared" si="3"/>
        <v>0</v>
      </c>
      <c r="E201" s="4" t="s">
        <v>1125</v>
      </c>
      <c r="F201" s="3" t="s">
        <v>1418</v>
      </c>
      <c r="G201" s="3" t="s">
        <v>122</v>
      </c>
      <c r="H201" s="3" t="s">
        <v>126</v>
      </c>
      <c r="I201" s="3" t="s">
        <v>33</v>
      </c>
      <c r="J201" s="3" t="s">
        <v>60</v>
      </c>
      <c r="K201" s="3" t="s">
        <v>1417</v>
      </c>
      <c r="L201" s="1">
        <v>46048.721377314818</v>
      </c>
      <c r="M201" s="1">
        <v>46048.729108796295</v>
      </c>
      <c r="N201" s="1">
        <v>46051.750011574077</v>
      </c>
      <c r="O201" s="3" t="s">
        <v>125</v>
      </c>
      <c r="P201" s="3" t="s">
        <v>1420</v>
      </c>
      <c r="Q201" s="3" t="s">
        <v>42</v>
      </c>
      <c r="R201" s="3" t="s">
        <v>1419</v>
      </c>
      <c r="S201" s="3" t="s">
        <v>120</v>
      </c>
      <c r="T201" s="3" t="s">
        <v>119</v>
      </c>
      <c r="U201" s="4" t="b">
        <v>1</v>
      </c>
      <c r="V201" s="3" t="s">
        <v>31</v>
      </c>
      <c r="W201" s="1"/>
      <c r="Y201" s="3" t="s">
        <v>32</v>
      </c>
      <c r="Z201" s="3" t="s">
        <v>32</v>
      </c>
      <c r="AA201" s="3"/>
      <c r="AB201" s="3"/>
      <c r="AC201" s="4" t="s">
        <v>30</v>
      </c>
      <c r="AD201" s="3"/>
      <c r="AE201" s="3" t="s">
        <v>1420</v>
      </c>
      <c r="AF201" s="4" t="s">
        <v>30</v>
      </c>
      <c r="AH201" s="4">
        <v>0</v>
      </c>
      <c r="AI201" s="3" t="s">
        <v>1416</v>
      </c>
      <c r="AJ201" s="4"/>
      <c r="AK201" s="4"/>
      <c r="AL201" s="3"/>
    </row>
    <row r="202" spans="1:38" x14ac:dyDescent="0.35">
      <c r="A202" s="3" t="s">
        <v>1421</v>
      </c>
      <c r="B202" s="4" t="s">
        <v>1425</v>
      </c>
      <c r="C202" s="4">
        <f>VLOOKUP(A202, [1]Planilha1!$A$3:$B$1015,2,FALSE)</f>
        <v>4200</v>
      </c>
      <c r="D202" s="4">
        <f t="shared" si="3"/>
        <v>1.1666666666666667</v>
      </c>
      <c r="E202" s="4" t="s">
        <v>1125</v>
      </c>
      <c r="F202" s="3" t="s">
        <v>1423</v>
      </c>
      <c r="G202" s="3" t="s">
        <v>74</v>
      </c>
      <c r="H202" s="3" t="s">
        <v>44</v>
      </c>
      <c r="I202" s="3" t="s">
        <v>33</v>
      </c>
      <c r="J202" s="3" t="s">
        <v>41</v>
      </c>
      <c r="L202" s="1">
        <v>46048.703101851854</v>
      </c>
      <c r="M202" s="1">
        <v>46048.725694444445</v>
      </c>
      <c r="N202" s="1">
        <v>46049.342442129629</v>
      </c>
      <c r="O202" s="3" t="s">
        <v>43</v>
      </c>
      <c r="P202" s="3" t="s">
        <v>1425</v>
      </c>
      <c r="Q202" s="3" t="s">
        <v>42</v>
      </c>
      <c r="R202" s="3" t="s">
        <v>1424</v>
      </c>
      <c r="S202" s="3" t="s">
        <v>80</v>
      </c>
      <c r="T202" s="3" t="s">
        <v>79</v>
      </c>
      <c r="U202" s="4" t="b">
        <v>1</v>
      </c>
      <c r="V202" s="3" t="s">
        <v>31</v>
      </c>
      <c r="W202" s="1"/>
      <c r="Y202" s="3" t="s">
        <v>32</v>
      </c>
      <c r="Z202" s="3" t="s">
        <v>32</v>
      </c>
      <c r="AA202" s="3"/>
      <c r="AB202" s="3"/>
      <c r="AC202" s="4" t="s">
        <v>30</v>
      </c>
      <c r="AD202" s="3"/>
      <c r="AE202" s="3" t="s">
        <v>1425</v>
      </c>
      <c r="AF202" s="4" t="s">
        <v>30</v>
      </c>
      <c r="AH202" s="4">
        <v>1</v>
      </c>
      <c r="AI202" s="3" t="s">
        <v>1422</v>
      </c>
      <c r="AJ202" s="4"/>
      <c r="AK202" s="4"/>
      <c r="AL202" s="3"/>
    </row>
    <row r="203" spans="1:38" x14ac:dyDescent="0.35">
      <c r="A203" s="3" t="s">
        <v>1426</v>
      </c>
      <c r="B203" s="4" t="s">
        <v>1408</v>
      </c>
      <c r="C203" s="4">
        <f>VLOOKUP(A203, [1]Planilha1!$A$3:$B$1015,2,FALSE)</f>
        <v>17768</v>
      </c>
      <c r="D203" s="4">
        <f t="shared" si="3"/>
        <v>4.9355555555555553</v>
      </c>
      <c r="E203" s="4" t="s">
        <v>1125</v>
      </c>
      <c r="F203" s="3" t="s">
        <v>1405</v>
      </c>
      <c r="G203" s="3" t="s">
        <v>1427</v>
      </c>
      <c r="H203" s="3" t="s">
        <v>44</v>
      </c>
      <c r="I203" s="3" t="s">
        <v>33</v>
      </c>
      <c r="J203" s="3" t="s">
        <v>607</v>
      </c>
      <c r="L203" s="1">
        <v>46048.70244212963</v>
      </c>
      <c r="M203" s="1">
        <v>46048.70244212963</v>
      </c>
      <c r="N203" s="1">
        <v>46052.458344907405</v>
      </c>
      <c r="O203" s="3" t="s">
        <v>43</v>
      </c>
      <c r="P203" s="3" t="s">
        <v>1408</v>
      </c>
      <c r="Q203" s="3" t="s">
        <v>35</v>
      </c>
      <c r="R203" s="3" t="s">
        <v>1407</v>
      </c>
      <c r="S203" s="3" t="s">
        <v>37</v>
      </c>
      <c r="T203" s="3" t="s">
        <v>36</v>
      </c>
      <c r="U203" s="4" t="b">
        <v>1</v>
      </c>
      <c r="V203" s="3" t="s">
        <v>28</v>
      </c>
      <c r="W203" s="1"/>
      <c r="Y203" s="3" t="s">
        <v>29</v>
      </c>
      <c r="Z203" s="3" t="s">
        <v>29</v>
      </c>
      <c r="AA203" s="3"/>
      <c r="AB203" s="3"/>
      <c r="AC203" s="4" t="s">
        <v>30</v>
      </c>
      <c r="AD203" s="3"/>
      <c r="AE203" s="3" t="s">
        <v>1408</v>
      </c>
      <c r="AF203" s="4" t="s">
        <v>30</v>
      </c>
      <c r="AH203" s="4">
        <v>1</v>
      </c>
      <c r="AI203" s="3" t="s">
        <v>1428</v>
      </c>
      <c r="AJ203" s="4" t="s">
        <v>1406</v>
      </c>
      <c r="AK203" s="4"/>
      <c r="AL203" s="3"/>
    </row>
    <row r="204" spans="1:38" x14ac:dyDescent="0.35">
      <c r="A204" s="3" t="s">
        <v>1429</v>
      </c>
      <c r="B204" s="4" t="s">
        <v>1436</v>
      </c>
      <c r="C204" s="4">
        <f>VLOOKUP(A204, [1]Planilha1!$A$3:$B$1015,2,FALSE)</f>
        <v>0</v>
      </c>
      <c r="D204" s="4">
        <f t="shared" si="3"/>
        <v>0</v>
      </c>
      <c r="E204" s="4" t="s">
        <v>1125</v>
      </c>
      <c r="F204" s="3" t="s">
        <v>1433</v>
      </c>
      <c r="G204" s="3" t="s">
        <v>1430</v>
      </c>
      <c r="H204" s="3" t="s">
        <v>44</v>
      </c>
      <c r="I204" s="3" t="s">
        <v>33</v>
      </c>
      <c r="J204" s="3" t="s">
        <v>60</v>
      </c>
      <c r="K204" s="3" t="s">
        <v>1432</v>
      </c>
      <c r="L204" s="1">
        <v>46048.701678240737</v>
      </c>
      <c r="M204" s="1">
        <v>46048.720717592594</v>
      </c>
      <c r="N204" s="1">
        <v>46051.750011574077</v>
      </c>
      <c r="O204" s="3" t="s">
        <v>43</v>
      </c>
      <c r="P204" s="3" t="s">
        <v>1436</v>
      </c>
      <c r="Q204" s="3" t="s">
        <v>42</v>
      </c>
      <c r="R204" s="3" t="s">
        <v>1435</v>
      </c>
      <c r="S204" s="3" t="s">
        <v>120</v>
      </c>
      <c r="T204" s="3" t="s">
        <v>119</v>
      </c>
      <c r="U204" s="4" t="b">
        <v>1</v>
      </c>
      <c r="V204" s="3" t="s">
        <v>31</v>
      </c>
      <c r="W204" s="1"/>
      <c r="Y204" s="3" t="s">
        <v>32</v>
      </c>
      <c r="Z204" s="3" t="s">
        <v>32</v>
      </c>
      <c r="AA204" s="3"/>
      <c r="AB204" s="3"/>
      <c r="AC204" s="4" t="s">
        <v>30</v>
      </c>
      <c r="AD204" s="3"/>
      <c r="AE204" s="3" t="s">
        <v>1436</v>
      </c>
      <c r="AF204" s="4" t="s">
        <v>30</v>
      </c>
      <c r="AH204" s="4">
        <v>0</v>
      </c>
      <c r="AI204" s="3" t="s">
        <v>1431</v>
      </c>
      <c r="AJ204" s="4" t="s">
        <v>1434</v>
      </c>
      <c r="AK204" s="4"/>
      <c r="AL204" s="3"/>
    </row>
    <row r="205" spans="1:38" x14ac:dyDescent="0.35">
      <c r="A205" s="3" t="s">
        <v>1440</v>
      </c>
      <c r="B205" s="4" t="s">
        <v>1446</v>
      </c>
      <c r="C205" s="4">
        <f>VLOOKUP(A205, [1]Planilha1!$A$3:$B$1015,2,FALSE)</f>
        <v>11341</v>
      </c>
      <c r="D205" s="4">
        <f t="shared" si="3"/>
        <v>3.1502777777777777</v>
      </c>
      <c r="E205" s="4" t="s">
        <v>1125</v>
      </c>
      <c r="F205" s="3" t="s">
        <v>1443</v>
      </c>
      <c r="G205" s="3" t="s">
        <v>1441</v>
      </c>
      <c r="H205" s="3" t="s">
        <v>44</v>
      </c>
      <c r="I205" s="3" t="s">
        <v>33</v>
      </c>
      <c r="J205" s="3" t="s">
        <v>41</v>
      </c>
      <c r="L205" s="1">
        <v>46048.690347222226</v>
      </c>
      <c r="M205" s="1">
        <v>46048.690347222226</v>
      </c>
      <c r="N205" s="1">
        <v>46049.340740740743</v>
      </c>
      <c r="O205" s="3" t="s">
        <v>43</v>
      </c>
      <c r="P205" s="3" t="s">
        <v>1446</v>
      </c>
      <c r="Q205" s="3" t="s">
        <v>42</v>
      </c>
      <c r="R205" s="3" t="s">
        <v>1445</v>
      </c>
      <c r="S205" s="3" t="s">
        <v>37</v>
      </c>
      <c r="T205" s="3" t="s">
        <v>36</v>
      </c>
      <c r="U205" s="4" t="b">
        <v>1</v>
      </c>
      <c r="V205" s="3" t="s">
        <v>28</v>
      </c>
      <c r="W205" s="1"/>
      <c r="Y205" s="3" t="s">
        <v>29</v>
      </c>
      <c r="Z205" s="3" t="s">
        <v>29</v>
      </c>
      <c r="AA205" s="3"/>
      <c r="AB205" s="3"/>
      <c r="AC205" s="4" t="s">
        <v>30</v>
      </c>
      <c r="AD205" s="3"/>
      <c r="AE205" s="3" t="s">
        <v>1446</v>
      </c>
      <c r="AF205" s="4" t="s">
        <v>30</v>
      </c>
      <c r="AH205" s="4">
        <v>2</v>
      </c>
      <c r="AI205" s="3" t="s">
        <v>1442</v>
      </c>
      <c r="AJ205" s="4" t="s">
        <v>1444</v>
      </c>
      <c r="AK205" s="4"/>
      <c r="AL205" s="3"/>
    </row>
    <row r="206" spans="1:38" x14ac:dyDescent="0.35">
      <c r="A206" s="3" t="s">
        <v>1447</v>
      </c>
      <c r="B206" s="4" t="s">
        <v>94</v>
      </c>
      <c r="C206" s="4">
        <f>VLOOKUP(A206, [1]Planilha1!$A$3:$B$1015,2,FALSE)</f>
        <v>0</v>
      </c>
      <c r="D206" s="4">
        <f t="shared" si="3"/>
        <v>0</v>
      </c>
      <c r="E206" s="4" t="s">
        <v>1125</v>
      </c>
      <c r="F206" s="3" t="s">
        <v>92</v>
      </c>
      <c r="G206" s="3" t="s">
        <v>447</v>
      </c>
      <c r="H206" s="3" t="s">
        <v>44</v>
      </c>
      <c r="I206" s="3" t="s">
        <v>33</v>
      </c>
      <c r="J206" s="3" t="s">
        <v>60</v>
      </c>
      <c r="K206" s="3" t="s">
        <v>1449</v>
      </c>
      <c r="L206" s="1">
        <v>46048.690104166664</v>
      </c>
      <c r="M206" s="1">
        <v>46048.696284722224</v>
      </c>
      <c r="N206" s="1">
        <v>46051.708333333336</v>
      </c>
      <c r="O206" s="3" t="s">
        <v>43</v>
      </c>
      <c r="P206" s="3" t="s">
        <v>94</v>
      </c>
      <c r="Q206" s="3" t="s">
        <v>42</v>
      </c>
      <c r="R206" s="3" t="s">
        <v>93</v>
      </c>
      <c r="S206" s="3" t="s">
        <v>120</v>
      </c>
      <c r="T206" s="3" t="s">
        <v>119</v>
      </c>
      <c r="U206" s="4" t="b">
        <v>1</v>
      </c>
      <c r="V206" s="3" t="s">
        <v>31</v>
      </c>
      <c r="W206" s="1"/>
      <c r="Y206" s="3" t="s">
        <v>32</v>
      </c>
      <c r="Z206" s="3" t="s">
        <v>32</v>
      </c>
      <c r="AA206" s="3"/>
      <c r="AB206" s="3"/>
      <c r="AC206" s="4" t="s">
        <v>30</v>
      </c>
      <c r="AD206" s="3"/>
      <c r="AE206" s="3" t="s">
        <v>94</v>
      </c>
      <c r="AF206" s="4" t="s">
        <v>30</v>
      </c>
      <c r="AH206" s="4">
        <v>0</v>
      </c>
      <c r="AI206" s="3" t="s">
        <v>1448</v>
      </c>
      <c r="AJ206" s="4"/>
      <c r="AK206" s="4"/>
      <c r="AL206" s="3"/>
    </row>
    <row r="207" spans="1:38" x14ac:dyDescent="0.35">
      <c r="A207" s="3" t="s">
        <v>1450</v>
      </c>
      <c r="B207" s="4" t="s">
        <v>1456</v>
      </c>
      <c r="C207" s="4">
        <f>VLOOKUP(A207, [1]Planilha1!$A$3:$B$1015,2,FALSE)</f>
        <v>0</v>
      </c>
      <c r="D207" s="4">
        <f t="shared" si="3"/>
        <v>0</v>
      </c>
      <c r="E207" s="4" t="s">
        <v>1125</v>
      </c>
      <c r="F207" s="3" t="s">
        <v>1454</v>
      </c>
      <c r="G207" s="3" t="s">
        <v>1451</v>
      </c>
      <c r="H207" s="3" t="s">
        <v>44</v>
      </c>
      <c r="I207" s="3" t="s">
        <v>33</v>
      </c>
      <c r="J207" s="3" t="s">
        <v>60</v>
      </c>
      <c r="K207" s="3" t="s">
        <v>1453</v>
      </c>
      <c r="L207" s="1">
        <v>46048.654872685183</v>
      </c>
      <c r="M207" s="1">
        <v>46048.666516203702</v>
      </c>
      <c r="N207" s="1">
        <v>46051.666666666664</v>
      </c>
      <c r="O207" s="3" t="s">
        <v>43</v>
      </c>
      <c r="P207" s="3" t="s">
        <v>1456</v>
      </c>
      <c r="Q207" s="3" t="s">
        <v>42</v>
      </c>
      <c r="R207" s="3" t="s">
        <v>1455</v>
      </c>
      <c r="S207" s="3" t="s">
        <v>120</v>
      </c>
      <c r="T207" s="3" t="s">
        <v>119</v>
      </c>
      <c r="U207" s="4" t="b">
        <v>1</v>
      </c>
      <c r="V207" s="3" t="s">
        <v>31</v>
      </c>
      <c r="W207" s="1"/>
      <c r="Y207" s="3" t="s">
        <v>32</v>
      </c>
      <c r="Z207" s="3" t="s">
        <v>32</v>
      </c>
      <c r="AA207" s="3"/>
      <c r="AB207" s="3"/>
      <c r="AC207" s="4" t="s">
        <v>30</v>
      </c>
      <c r="AD207" s="3"/>
      <c r="AE207" s="3" t="s">
        <v>1456</v>
      </c>
      <c r="AF207" s="4" t="s">
        <v>30</v>
      </c>
      <c r="AH207" s="4">
        <v>0</v>
      </c>
      <c r="AI207" s="3" t="s">
        <v>1452</v>
      </c>
      <c r="AJ207" s="4"/>
      <c r="AK207" s="4"/>
      <c r="AL207" s="3"/>
    </row>
    <row r="208" spans="1:38" x14ac:dyDescent="0.35">
      <c r="A208" s="3" t="s">
        <v>1457</v>
      </c>
      <c r="B208" s="4" t="s">
        <v>1464</v>
      </c>
      <c r="C208" s="4">
        <f>VLOOKUP(A208, [1]Planilha1!$A$3:$B$1015,2,FALSE)</f>
        <v>38488</v>
      </c>
      <c r="D208" s="4">
        <f t="shared" si="3"/>
        <v>10.691111111111111</v>
      </c>
      <c r="E208" s="4" t="s">
        <v>1125</v>
      </c>
      <c r="F208" s="3" t="s">
        <v>1461</v>
      </c>
      <c r="G208" s="3" t="s">
        <v>1458</v>
      </c>
      <c r="H208" s="3" t="s">
        <v>44</v>
      </c>
      <c r="I208" s="3" t="s">
        <v>33</v>
      </c>
      <c r="J208" s="3" t="s">
        <v>41</v>
      </c>
      <c r="K208" s="3" t="s">
        <v>1460</v>
      </c>
      <c r="L208" s="1">
        <v>46048.652604166666</v>
      </c>
      <c r="M208" s="1">
        <v>46048.688263888886</v>
      </c>
      <c r="N208" s="1">
        <v>46049.535995370374</v>
      </c>
      <c r="O208" s="3" t="s">
        <v>43</v>
      </c>
      <c r="P208" s="3" t="s">
        <v>1464</v>
      </c>
      <c r="Q208" s="3" t="s">
        <v>42</v>
      </c>
      <c r="R208" s="3" t="s">
        <v>1463</v>
      </c>
      <c r="S208" s="3" t="s">
        <v>144</v>
      </c>
      <c r="T208" s="3" t="s">
        <v>143</v>
      </c>
      <c r="U208" s="4" t="b">
        <v>1</v>
      </c>
      <c r="V208" s="3" t="s">
        <v>31</v>
      </c>
      <c r="W208" s="1"/>
      <c r="Y208" s="3" t="s">
        <v>32</v>
      </c>
      <c r="Z208" s="3" t="s">
        <v>32</v>
      </c>
      <c r="AA208" s="3"/>
      <c r="AB208" s="3"/>
      <c r="AC208" s="4" t="s">
        <v>30</v>
      </c>
      <c r="AD208" s="3"/>
      <c r="AE208" s="3" t="s">
        <v>1464</v>
      </c>
      <c r="AF208" s="4" t="s">
        <v>30</v>
      </c>
      <c r="AH208" s="4">
        <v>6</v>
      </c>
      <c r="AI208" s="3" t="s">
        <v>1459</v>
      </c>
      <c r="AJ208" s="4" t="s">
        <v>1462</v>
      </c>
      <c r="AK208" s="4"/>
      <c r="AL208" s="3"/>
    </row>
    <row r="209" spans="1:38" x14ac:dyDescent="0.35">
      <c r="A209" s="3" t="s">
        <v>1465</v>
      </c>
      <c r="B209" s="4"/>
      <c r="C209" s="4">
        <f>VLOOKUP(A209, [1]Planilha1!$A$3:$B$1015,2,FALSE)</f>
        <v>3668</v>
      </c>
      <c r="D209" s="4">
        <f t="shared" si="3"/>
        <v>1.018888888888889</v>
      </c>
      <c r="E209" s="4" t="s">
        <v>1125</v>
      </c>
      <c r="F209" s="3" t="s">
        <v>1467</v>
      </c>
      <c r="G209" s="3" t="s">
        <v>74</v>
      </c>
      <c r="H209" s="3" t="s">
        <v>44</v>
      </c>
      <c r="I209" s="3" t="s">
        <v>33</v>
      </c>
      <c r="J209" s="3" t="s">
        <v>41</v>
      </c>
      <c r="L209" s="1">
        <v>46048.641701388886</v>
      </c>
      <c r="M209" s="1">
        <v>46048.651226851849</v>
      </c>
      <c r="N209" s="1">
        <v>46048.672453703701</v>
      </c>
      <c r="O209" s="3" t="s">
        <v>43</v>
      </c>
      <c r="Q209" s="3" t="s">
        <v>42</v>
      </c>
      <c r="S209" s="3" t="s">
        <v>80</v>
      </c>
      <c r="T209" s="3" t="s">
        <v>79</v>
      </c>
      <c r="U209" s="4" t="b">
        <v>1</v>
      </c>
      <c r="V209" s="3" t="s">
        <v>31</v>
      </c>
      <c r="W209" s="1"/>
      <c r="Y209" s="3" t="s">
        <v>32</v>
      </c>
      <c r="Z209" s="3" t="s">
        <v>32</v>
      </c>
      <c r="AA209" s="3"/>
      <c r="AB209" s="3"/>
      <c r="AC209" s="4" t="s">
        <v>30</v>
      </c>
      <c r="AD209" s="3"/>
      <c r="AE209" s="3"/>
      <c r="AF209" s="4" t="s">
        <v>30</v>
      </c>
      <c r="AH209" s="4">
        <v>1</v>
      </c>
      <c r="AI209" s="3" t="s">
        <v>1466</v>
      </c>
      <c r="AJ209" s="4"/>
      <c r="AK209" s="4"/>
      <c r="AL209" s="3"/>
    </row>
    <row r="210" spans="1:38" x14ac:dyDescent="0.35">
      <c r="A210" s="3" t="s">
        <v>1468</v>
      </c>
      <c r="B210" s="4" t="s">
        <v>1473</v>
      </c>
      <c r="C210" s="4">
        <f>VLOOKUP(A210, [1]Planilha1!$A$3:$B$1015,2,FALSE)</f>
        <v>0</v>
      </c>
      <c r="D210" s="4">
        <f t="shared" si="3"/>
        <v>0</v>
      </c>
      <c r="E210" s="4" t="s">
        <v>1125</v>
      </c>
      <c r="F210" s="3" t="s">
        <v>1471</v>
      </c>
      <c r="G210" s="3" t="s">
        <v>239</v>
      </c>
      <c r="H210" s="3" t="s">
        <v>243</v>
      </c>
      <c r="I210" s="3" t="s">
        <v>33</v>
      </c>
      <c r="J210" s="3" t="s">
        <v>60</v>
      </c>
      <c r="K210" s="3" t="s">
        <v>1470</v>
      </c>
      <c r="L210" s="1">
        <v>46048.63989583333</v>
      </c>
      <c r="M210" s="1">
        <v>46048.652337962965</v>
      </c>
      <c r="N210" s="1">
        <v>46051.666666666664</v>
      </c>
      <c r="O210" s="3" t="s">
        <v>242</v>
      </c>
      <c r="P210" s="3" t="s">
        <v>1473</v>
      </c>
      <c r="Q210" s="3" t="s">
        <v>35</v>
      </c>
      <c r="R210" s="3" t="s">
        <v>1472</v>
      </c>
      <c r="S210" s="3" t="s">
        <v>144</v>
      </c>
      <c r="T210" s="3" t="s">
        <v>143</v>
      </c>
      <c r="U210" s="4" t="b">
        <v>1</v>
      </c>
      <c r="V210" s="3" t="s">
        <v>31</v>
      </c>
      <c r="W210" s="1"/>
      <c r="Y210" s="3" t="s">
        <v>32</v>
      </c>
      <c r="Z210" s="3" t="s">
        <v>32</v>
      </c>
      <c r="AA210" s="3"/>
      <c r="AB210" s="3"/>
      <c r="AC210" s="4" t="s">
        <v>30</v>
      </c>
      <c r="AD210" s="3"/>
      <c r="AE210" s="3" t="s">
        <v>1473</v>
      </c>
      <c r="AF210" s="4" t="s">
        <v>30</v>
      </c>
      <c r="AH210" s="4">
        <v>0</v>
      </c>
      <c r="AI210" s="3" t="s">
        <v>1469</v>
      </c>
      <c r="AJ210" s="4" t="s">
        <v>5844</v>
      </c>
      <c r="AK210" s="4"/>
      <c r="AL210" s="3"/>
    </row>
    <row r="211" spans="1:38" x14ac:dyDescent="0.35">
      <c r="A211" s="3" t="s">
        <v>1474</v>
      </c>
      <c r="B211" s="4" t="s">
        <v>1478</v>
      </c>
      <c r="C211" s="4">
        <f>VLOOKUP(A211, [1]Planilha1!$A$3:$B$1015,2,FALSE)</f>
        <v>0</v>
      </c>
      <c r="D211" s="4">
        <f t="shared" si="3"/>
        <v>0</v>
      </c>
      <c r="E211" s="4" t="s">
        <v>1125</v>
      </c>
      <c r="F211" s="3" t="s">
        <v>1476</v>
      </c>
      <c r="G211" s="3" t="s">
        <v>457</v>
      </c>
      <c r="H211" s="3" t="s">
        <v>457</v>
      </c>
      <c r="I211" s="3" t="s">
        <v>33</v>
      </c>
      <c r="J211" s="3" t="s">
        <v>60</v>
      </c>
      <c r="L211" s="1">
        <v>46048.631990740738</v>
      </c>
      <c r="M211" s="1">
        <v>46048.63590277778</v>
      </c>
      <c r="N211" s="1">
        <v>46051.666666666664</v>
      </c>
      <c r="O211" s="3" t="s">
        <v>460</v>
      </c>
      <c r="P211" s="3" t="s">
        <v>1478</v>
      </c>
      <c r="Q211" s="3" t="s">
        <v>35</v>
      </c>
      <c r="R211" s="3" t="s">
        <v>1477</v>
      </c>
      <c r="S211" s="3" t="s">
        <v>62</v>
      </c>
      <c r="T211" s="3" t="s">
        <v>61</v>
      </c>
      <c r="U211" s="4" t="b">
        <v>1</v>
      </c>
      <c r="V211" s="3" t="s">
        <v>31</v>
      </c>
      <c r="W211" s="1"/>
      <c r="Y211" s="3" t="s">
        <v>32</v>
      </c>
      <c r="Z211" s="3" t="s">
        <v>32</v>
      </c>
      <c r="AA211" s="3"/>
      <c r="AB211" s="3"/>
      <c r="AC211" s="4" t="s">
        <v>30</v>
      </c>
      <c r="AD211" s="3"/>
      <c r="AE211" s="3" t="s">
        <v>1478</v>
      </c>
      <c r="AF211" s="4" t="s">
        <v>30</v>
      </c>
      <c r="AH211" s="4">
        <v>0</v>
      </c>
      <c r="AI211" s="3" t="s">
        <v>1475</v>
      </c>
      <c r="AJ211" s="4" t="s">
        <v>5845</v>
      </c>
      <c r="AK211" s="4"/>
      <c r="AL211" s="3"/>
    </row>
    <row r="212" spans="1:38" x14ac:dyDescent="0.35">
      <c r="A212" s="3" t="s">
        <v>1479</v>
      </c>
      <c r="B212" s="4" t="s">
        <v>1485</v>
      </c>
      <c r="C212" s="4">
        <f>VLOOKUP(A212, [1]Planilha1!$A$3:$B$1015,2,FALSE)</f>
        <v>0</v>
      </c>
      <c r="D212" s="4">
        <f t="shared" si="3"/>
        <v>0</v>
      </c>
      <c r="E212" s="4" t="s">
        <v>1125</v>
      </c>
      <c r="F212" s="3" t="s">
        <v>1482</v>
      </c>
      <c r="G212" s="3" t="s">
        <v>134</v>
      </c>
      <c r="H212" s="3" t="s">
        <v>138</v>
      </c>
      <c r="I212" s="3" t="s">
        <v>33</v>
      </c>
      <c r="J212" s="3" t="s">
        <v>60</v>
      </c>
      <c r="K212" s="3" t="s">
        <v>1481</v>
      </c>
      <c r="L212" s="1">
        <v>46048.628784722219</v>
      </c>
      <c r="M212" s="1">
        <v>46048.687673611108</v>
      </c>
      <c r="N212" s="1">
        <v>46051.708333333336</v>
      </c>
      <c r="O212" s="3" t="s">
        <v>137</v>
      </c>
      <c r="P212" s="3" t="s">
        <v>1485</v>
      </c>
      <c r="Q212" s="3" t="s">
        <v>35</v>
      </c>
      <c r="R212" s="3" t="s">
        <v>1484</v>
      </c>
      <c r="S212" s="3" t="s">
        <v>144</v>
      </c>
      <c r="T212" s="3" t="s">
        <v>143</v>
      </c>
      <c r="U212" s="4" t="b">
        <v>1</v>
      </c>
      <c r="V212" s="3" t="s">
        <v>31</v>
      </c>
      <c r="W212" s="1"/>
      <c r="Y212" s="3" t="s">
        <v>32</v>
      </c>
      <c r="Z212" s="3" t="s">
        <v>32</v>
      </c>
      <c r="AA212" s="3"/>
      <c r="AB212" s="3"/>
      <c r="AC212" s="4" t="s">
        <v>30</v>
      </c>
      <c r="AD212" s="3"/>
      <c r="AE212" s="3" t="s">
        <v>1485</v>
      </c>
      <c r="AF212" s="4" t="s">
        <v>30</v>
      </c>
      <c r="AH212" s="4">
        <v>0</v>
      </c>
      <c r="AI212" s="3" t="s">
        <v>1480</v>
      </c>
      <c r="AJ212" s="4" t="s">
        <v>1483</v>
      </c>
      <c r="AK212" s="4"/>
      <c r="AL212" s="3"/>
    </row>
    <row r="213" spans="1:38" x14ac:dyDescent="0.35">
      <c r="A213" s="3" t="s">
        <v>1486</v>
      </c>
      <c r="B213" s="4" t="s">
        <v>1491</v>
      </c>
      <c r="C213" s="4">
        <f>VLOOKUP(A213, [1]Planilha1!$A$3:$B$1015,2,FALSE)</f>
        <v>3278</v>
      </c>
      <c r="D213" s="4">
        <f t="shared" si="3"/>
        <v>0.91055555555555556</v>
      </c>
      <c r="E213" s="4" t="s">
        <v>1125</v>
      </c>
      <c r="F213" s="3" t="s">
        <v>1488</v>
      </c>
      <c r="G213" s="3" t="s">
        <v>74</v>
      </c>
      <c r="H213" s="3" t="s">
        <v>44</v>
      </c>
      <c r="I213" s="3" t="s">
        <v>33</v>
      </c>
      <c r="J213" s="3" t="s">
        <v>41</v>
      </c>
      <c r="L213" s="1">
        <v>46048.627187500002</v>
      </c>
      <c r="M213" s="1">
        <v>46048.628946759258</v>
      </c>
      <c r="N213" s="1">
        <v>46048.647916666669</v>
      </c>
      <c r="O213" s="3" t="s">
        <v>43</v>
      </c>
      <c r="P213" s="3" t="s">
        <v>1491</v>
      </c>
      <c r="Q213" s="3" t="s">
        <v>42</v>
      </c>
      <c r="R213" s="3" t="s">
        <v>1490</v>
      </c>
      <c r="S213" s="3" t="s">
        <v>80</v>
      </c>
      <c r="T213" s="3" t="s">
        <v>79</v>
      </c>
      <c r="U213" s="4" t="b">
        <v>1</v>
      </c>
      <c r="V213" s="3" t="s">
        <v>31</v>
      </c>
      <c r="W213" s="1"/>
      <c r="Y213" s="3" t="s">
        <v>32</v>
      </c>
      <c r="Z213" s="3" t="s">
        <v>32</v>
      </c>
      <c r="AA213" s="3"/>
      <c r="AB213" s="3"/>
      <c r="AC213" s="4" t="s">
        <v>30</v>
      </c>
      <c r="AD213" s="3"/>
      <c r="AE213" s="3" t="s">
        <v>1491</v>
      </c>
      <c r="AF213" s="4" t="s">
        <v>30</v>
      </c>
      <c r="AH213" s="4">
        <v>1</v>
      </c>
      <c r="AI213" s="3" t="s">
        <v>1487</v>
      </c>
      <c r="AJ213" s="4" t="s">
        <v>1489</v>
      </c>
      <c r="AK213" s="4"/>
      <c r="AL213" s="3"/>
    </row>
    <row r="214" spans="1:38" x14ac:dyDescent="0.35">
      <c r="A214" s="3" t="s">
        <v>1492</v>
      </c>
      <c r="B214" s="4" t="s">
        <v>1498</v>
      </c>
      <c r="C214" s="4">
        <f>VLOOKUP(A214, [1]Planilha1!$A$3:$B$1015,2,FALSE)</f>
        <v>5499</v>
      </c>
      <c r="D214" s="4">
        <f t="shared" si="3"/>
        <v>1.5275000000000001</v>
      </c>
      <c r="E214" s="4" t="s">
        <v>1125</v>
      </c>
      <c r="F214" s="3" t="s">
        <v>1495</v>
      </c>
      <c r="G214" s="3" t="s">
        <v>1493</v>
      </c>
      <c r="H214" s="3" t="s">
        <v>727</v>
      </c>
      <c r="I214" s="3" t="s">
        <v>33</v>
      </c>
      <c r="J214" s="3" t="s">
        <v>41</v>
      </c>
      <c r="L214" s="1">
        <v>46048.624849537038</v>
      </c>
      <c r="M214" s="1">
        <v>46048.624849537038</v>
      </c>
      <c r="N214" s="1">
        <v>46048.646064814813</v>
      </c>
      <c r="O214" s="3" t="s">
        <v>726</v>
      </c>
      <c r="P214" s="3" t="s">
        <v>1498</v>
      </c>
      <c r="Q214" s="3" t="s">
        <v>42</v>
      </c>
      <c r="R214" s="3" t="s">
        <v>1497</v>
      </c>
      <c r="S214" s="3" t="s">
        <v>37</v>
      </c>
      <c r="T214" s="3" t="s">
        <v>36</v>
      </c>
      <c r="U214" s="4" t="b">
        <v>1</v>
      </c>
      <c r="V214" s="3" t="s">
        <v>28</v>
      </c>
      <c r="W214" s="1"/>
      <c r="Y214" s="3" t="s">
        <v>29</v>
      </c>
      <c r="Z214" s="3" t="s">
        <v>29</v>
      </c>
      <c r="AA214" s="3"/>
      <c r="AB214" s="3"/>
      <c r="AC214" s="4" t="s">
        <v>30</v>
      </c>
      <c r="AD214" s="3"/>
      <c r="AE214" s="3" t="s">
        <v>1498</v>
      </c>
      <c r="AF214" s="4" t="s">
        <v>30</v>
      </c>
      <c r="AH214" s="4">
        <v>0</v>
      </c>
      <c r="AI214" s="3" t="s">
        <v>1494</v>
      </c>
      <c r="AJ214" s="4" t="s">
        <v>1496</v>
      </c>
      <c r="AK214" s="4"/>
      <c r="AL214" s="3"/>
    </row>
    <row r="215" spans="1:38" x14ac:dyDescent="0.35">
      <c r="A215" s="3" t="s">
        <v>1499</v>
      </c>
      <c r="B215" s="4" t="s">
        <v>1504</v>
      </c>
      <c r="C215" s="4">
        <f>VLOOKUP(A215, [1]Planilha1!$A$3:$B$1015,2,FALSE)</f>
        <v>4660</v>
      </c>
      <c r="D215" s="4">
        <f t="shared" si="3"/>
        <v>1.2944444444444445</v>
      </c>
      <c r="E215" s="4" t="s">
        <v>1125</v>
      </c>
      <c r="F215" s="3" t="s">
        <v>1501</v>
      </c>
      <c r="G215" s="3" t="s">
        <v>74</v>
      </c>
      <c r="H215" s="3" t="s">
        <v>44</v>
      </c>
      <c r="I215" s="3" t="s">
        <v>33</v>
      </c>
      <c r="J215" s="3" t="s">
        <v>41</v>
      </c>
      <c r="L215" s="1">
        <v>46048.617581018516</v>
      </c>
      <c r="M215" s="1">
        <v>46048.620127314818</v>
      </c>
      <c r="N215" s="1">
        <v>46048.647094907406</v>
      </c>
      <c r="O215" s="3" t="s">
        <v>43</v>
      </c>
      <c r="P215" s="3" t="s">
        <v>1504</v>
      </c>
      <c r="Q215" s="3" t="s">
        <v>42</v>
      </c>
      <c r="R215" s="3" t="s">
        <v>1503</v>
      </c>
      <c r="S215" s="3" t="s">
        <v>80</v>
      </c>
      <c r="T215" s="3" t="s">
        <v>79</v>
      </c>
      <c r="U215" s="4" t="b">
        <v>1</v>
      </c>
      <c r="V215" s="3" t="s">
        <v>31</v>
      </c>
      <c r="W215" s="1"/>
      <c r="Y215" s="3" t="s">
        <v>32</v>
      </c>
      <c r="Z215" s="3" t="s">
        <v>32</v>
      </c>
      <c r="AA215" s="3"/>
      <c r="AB215" s="3"/>
      <c r="AC215" s="4" t="s">
        <v>30</v>
      </c>
      <c r="AD215" s="3"/>
      <c r="AE215" s="3" t="s">
        <v>1504</v>
      </c>
      <c r="AF215" s="4" t="s">
        <v>30</v>
      </c>
      <c r="AH215" s="4">
        <v>1</v>
      </c>
      <c r="AI215" s="3" t="s">
        <v>1500</v>
      </c>
      <c r="AJ215" s="4" t="s">
        <v>1502</v>
      </c>
      <c r="AK215" s="4"/>
      <c r="AL215" s="3"/>
    </row>
    <row r="216" spans="1:38" x14ac:dyDescent="0.35">
      <c r="A216" s="3" t="s">
        <v>1505</v>
      </c>
      <c r="B216" s="4" t="s">
        <v>1511</v>
      </c>
      <c r="C216" s="4">
        <f>VLOOKUP(A216, [1]Planilha1!$A$3:$B$1015,2,FALSE)</f>
        <v>3524</v>
      </c>
      <c r="D216" s="4">
        <f t="shared" si="3"/>
        <v>0.97888888888888892</v>
      </c>
      <c r="E216" s="4" t="s">
        <v>1125</v>
      </c>
      <c r="F216" s="3" t="s">
        <v>1508</v>
      </c>
      <c r="G216" s="3" t="s">
        <v>214</v>
      </c>
      <c r="H216" s="3" t="s">
        <v>44</v>
      </c>
      <c r="I216" s="3" t="s">
        <v>33</v>
      </c>
      <c r="J216" s="3" t="s">
        <v>41</v>
      </c>
      <c r="K216" s="3" t="s">
        <v>1507</v>
      </c>
      <c r="L216" s="1">
        <v>46048.616180555553</v>
      </c>
      <c r="M216" s="1">
        <v>46048.628622685188</v>
      </c>
      <c r="N216" s="1">
        <v>46048.649016203701</v>
      </c>
      <c r="O216" s="3" t="s">
        <v>43</v>
      </c>
      <c r="P216" s="3" t="s">
        <v>1511</v>
      </c>
      <c r="Q216" s="3" t="s">
        <v>42</v>
      </c>
      <c r="R216" s="3" t="s">
        <v>1510</v>
      </c>
      <c r="S216" s="3" t="s">
        <v>144</v>
      </c>
      <c r="T216" s="3" t="s">
        <v>143</v>
      </c>
      <c r="U216" s="4" t="b">
        <v>1</v>
      </c>
      <c r="V216" s="3" t="s">
        <v>31</v>
      </c>
      <c r="W216" s="1"/>
      <c r="Y216" s="3" t="s">
        <v>32</v>
      </c>
      <c r="Z216" s="3" t="s">
        <v>32</v>
      </c>
      <c r="AA216" s="3"/>
      <c r="AB216" s="3"/>
      <c r="AC216" s="4" t="s">
        <v>30</v>
      </c>
      <c r="AD216" s="3"/>
      <c r="AE216" s="3" t="s">
        <v>1511</v>
      </c>
      <c r="AF216" s="4" t="s">
        <v>30</v>
      </c>
      <c r="AH216" s="4">
        <v>1</v>
      </c>
      <c r="AI216" s="3" t="s">
        <v>1506</v>
      </c>
      <c r="AJ216" s="4" t="s">
        <v>1509</v>
      </c>
      <c r="AK216" s="4"/>
      <c r="AL216" s="3"/>
    </row>
    <row r="217" spans="1:38" x14ac:dyDescent="0.35">
      <c r="A217" s="3" t="s">
        <v>1516</v>
      </c>
      <c r="B217" s="4" t="s">
        <v>94</v>
      </c>
      <c r="C217" s="4">
        <f>VLOOKUP(A217, [1]Planilha1!$A$3:$B$1015,2,FALSE)</f>
        <v>0</v>
      </c>
      <c r="D217" s="4">
        <f t="shared" si="3"/>
        <v>0</v>
      </c>
      <c r="E217" s="4" t="s">
        <v>1125</v>
      </c>
      <c r="F217" s="3" t="s">
        <v>92</v>
      </c>
      <c r="G217" s="3" t="s">
        <v>1517</v>
      </c>
      <c r="H217" s="3" t="s">
        <v>44</v>
      </c>
      <c r="I217" s="3" t="s">
        <v>33</v>
      </c>
      <c r="J217" s="3" t="s">
        <v>60</v>
      </c>
      <c r="L217" s="1">
        <v>46048.606122685182</v>
      </c>
      <c r="M217" s="1">
        <v>46048.610150462962</v>
      </c>
      <c r="N217" s="1">
        <v>46051.625</v>
      </c>
      <c r="O217" s="3" t="s">
        <v>43</v>
      </c>
      <c r="P217" s="3" t="s">
        <v>94</v>
      </c>
      <c r="Q217" s="3" t="s">
        <v>35</v>
      </c>
      <c r="R217" s="3" t="s">
        <v>93</v>
      </c>
      <c r="S217" s="3" t="s">
        <v>98</v>
      </c>
      <c r="T217" s="3" t="s">
        <v>97</v>
      </c>
      <c r="U217" s="4" t="b">
        <v>1</v>
      </c>
      <c r="V217" s="3" t="s">
        <v>31</v>
      </c>
      <c r="W217" s="1"/>
      <c r="Y217" s="3" t="s">
        <v>32</v>
      </c>
      <c r="Z217" s="3" t="s">
        <v>32</v>
      </c>
      <c r="AA217" s="3"/>
      <c r="AB217" s="3"/>
      <c r="AC217" s="4" t="s">
        <v>30</v>
      </c>
      <c r="AD217" s="3"/>
      <c r="AE217" s="3" t="s">
        <v>94</v>
      </c>
      <c r="AF217" s="4" t="s">
        <v>30</v>
      </c>
      <c r="AH217" s="4">
        <v>0</v>
      </c>
      <c r="AI217" s="3" t="s">
        <v>1518</v>
      </c>
      <c r="AJ217" s="4"/>
      <c r="AK217" s="4"/>
      <c r="AL217" s="3"/>
    </row>
    <row r="218" spans="1:38" x14ac:dyDescent="0.35">
      <c r="A218" s="3" t="s">
        <v>1519</v>
      </c>
      <c r="B218" s="4"/>
      <c r="C218" s="4">
        <f>VLOOKUP(A218, [1]Planilha1!$A$3:$B$1015,2,FALSE)</f>
        <v>920</v>
      </c>
      <c r="D218" s="4">
        <f t="shared" si="3"/>
        <v>0.25555555555555554</v>
      </c>
      <c r="E218" s="4" t="s">
        <v>1125</v>
      </c>
      <c r="F218" s="3" t="s">
        <v>49</v>
      </c>
      <c r="G218" s="3" t="s">
        <v>72</v>
      </c>
      <c r="H218" s="3" t="s">
        <v>677</v>
      </c>
      <c r="I218" s="3" t="s">
        <v>33</v>
      </c>
      <c r="J218" s="3" t="s">
        <v>60</v>
      </c>
      <c r="L218" s="1">
        <v>46048.606076388889</v>
      </c>
      <c r="M218" s="1">
        <v>46048.606076388889</v>
      </c>
      <c r="N218" s="1">
        <v>46051.625</v>
      </c>
      <c r="O218" s="3" t="s">
        <v>1097</v>
      </c>
      <c r="Q218" s="3" t="s">
        <v>42</v>
      </c>
      <c r="R218" s="3" t="s">
        <v>51</v>
      </c>
      <c r="S218" s="3" t="s">
        <v>37</v>
      </c>
      <c r="T218" s="3" t="s">
        <v>36</v>
      </c>
      <c r="U218" s="4" t="b">
        <v>1</v>
      </c>
      <c r="V218" s="3" t="s">
        <v>28</v>
      </c>
      <c r="W218" s="1"/>
      <c r="Y218" s="3" t="s">
        <v>29</v>
      </c>
      <c r="Z218" s="3" t="s">
        <v>29</v>
      </c>
      <c r="AA218" s="3"/>
      <c r="AB218" s="3"/>
      <c r="AC218" s="4" t="s">
        <v>30</v>
      </c>
      <c r="AD218" s="3"/>
      <c r="AE218" s="3"/>
      <c r="AF218" s="4" t="s">
        <v>30</v>
      </c>
      <c r="AH218" s="4">
        <v>0</v>
      </c>
      <c r="AI218" s="3" t="s">
        <v>1520</v>
      </c>
      <c r="AJ218" s="4" t="s">
        <v>50</v>
      </c>
      <c r="AK218" s="4"/>
      <c r="AL218" s="3"/>
    </row>
    <row r="219" spans="1:38" x14ac:dyDescent="0.35">
      <c r="A219" s="3" t="s">
        <v>1521</v>
      </c>
      <c r="B219" s="4" t="s">
        <v>1528</v>
      </c>
      <c r="C219" s="4">
        <f>VLOOKUP(A219, [1]Planilha1!$A$3:$B$1015,2,FALSE)</f>
        <v>0</v>
      </c>
      <c r="D219" s="4">
        <f t="shared" si="3"/>
        <v>0</v>
      </c>
      <c r="E219" s="4" t="s">
        <v>1125</v>
      </c>
      <c r="F219" s="3" t="s">
        <v>1525</v>
      </c>
      <c r="G219" s="3" t="s">
        <v>1522</v>
      </c>
      <c r="H219" s="3" t="s">
        <v>622</v>
      </c>
      <c r="I219" s="3" t="s">
        <v>33</v>
      </c>
      <c r="J219" s="3" t="s">
        <v>60</v>
      </c>
      <c r="K219" s="3" t="s">
        <v>1524</v>
      </c>
      <c r="L219" s="1">
        <v>46048.589444444442</v>
      </c>
      <c r="M219" s="1">
        <v>46048.607210648152</v>
      </c>
      <c r="N219" s="1">
        <v>46051.625</v>
      </c>
      <c r="O219" s="3" t="s">
        <v>621</v>
      </c>
      <c r="P219" s="3" t="s">
        <v>1528</v>
      </c>
      <c r="Q219" s="3" t="s">
        <v>35</v>
      </c>
      <c r="R219" s="3" t="s">
        <v>1527</v>
      </c>
      <c r="S219" s="3" t="s">
        <v>144</v>
      </c>
      <c r="T219" s="3" t="s">
        <v>143</v>
      </c>
      <c r="U219" s="4" t="b">
        <v>1</v>
      </c>
      <c r="V219" s="3" t="s">
        <v>31</v>
      </c>
      <c r="W219" s="1"/>
      <c r="Y219" s="3" t="s">
        <v>32</v>
      </c>
      <c r="Z219" s="3" t="s">
        <v>32</v>
      </c>
      <c r="AA219" s="3"/>
      <c r="AB219" s="3"/>
      <c r="AC219" s="4" t="s">
        <v>30</v>
      </c>
      <c r="AD219" s="3"/>
      <c r="AE219" s="3" t="s">
        <v>1528</v>
      </c>
      <c r="AF219" s="4" t="s">
        <v>30</v>
      </c>
      <c r="AH219" s="4">
        <v>0</v>
      </c>
      <c r="AI219" s="3" t="s">
        <v>1523</v>
      </c>
      <c r="AJ219" s="4" t="s">
        <v>1526</v>
      </c>
      <c r="AK219" s="4"/>
      <c r="AL219" s="3"/>
    </row>
    <row r="220" spans="1:38" x14ac:dyDescent="0.35">
      <c r="A220" s="3" t="s">
        <v>1529</v>
      </c>
      <c r="B220" s="4" t="s">
        <v>1535</v>
      </c>
      <c r="C220" s="4">
        <f>VLOOKUP(A220, [1]Planilha1!$A$3:$B$1015,2,FALSE)</f>
        <v>4974</v>
      </c>
      <c r="D220" s="4">
        <f t="shared" si="3"/>
        <v>1.3816666666666666</v>
      </c>
      <c r="E220" s="4" t="s">
        <v>1125</v>
      </c>
      <c r="F220" s="3" t="s">
        <v>1532</v>
      </c>
      <c r="G220" s="3" t="s">
        <v>1530</v>
      </c>
      <c r="H220" s="3" t="s">
        <v>622</v>
      </c>
      <c r="I220" s="3" t="s">
        <v>33</v>
      </c>
      <c r="J220" s="3" t="s">
        <v>41</v>
      </c>
      <c r="L220" s="1">
        <v>46048.588437500002</v>
      </c>
      <c r="M220" s="1">
        <v>46048.588437500002</v>
      </c>
      <c r="N220" s="1">
        <v>46048.607627314814</v>
      </c>
      <c r="O220" s="3" t="s">
        <v>621</v>
      </c>
      <c r="P220" s="3" t="s">
        <v>1535</v>
      </c>
      <c r="Q220" s="3" t="s">
        <v>42</v>
      </c>
      <c r="R220" s="3" t="s">
        <v>1534</v>
      </c>
      <c r="S220" s="3" t="s">
        <v>37</v>
      </c>
      <c r="T220" s="3" t="s">
        <v>36</v>
      </c>
      <c r="U220" s="4" t="b">
        <v>1</v>
      </c>
      <c r="V220" s="3" t="s">
        <v>28</v>
      </c>
      <c r="W220" s="1"/>
      <c r="Y220" s="3" t="s">
        <v>29</v>
      </c>
      <c r="Z220" s="3" t="s">
        <v>29</v>
      </c>
      <c r="AA220" s="3"/>
      <c r="AB220" s="3"/>
      <c r="AC220" s="4" t="s">
        <v>30</v>
      </c>
      <c r="AD220" s="3"/>
      <c r="AE220" s="3" t="s">
        <v>1535</v>
      </c>
      <c r="AF220" s="4" t="s">
        <v>30</v>
      </c>
      <c r="AH220" s="4">
        <v>0</v>
      </c>
      <c r="AI220" s="3" t="s">
        <v>1531</v>
      </c>
      <c r="AJ220" s="4" t="s">
        <v>1533</v>
      </c>
      <c r="AK220" s="4"/>
      <c r="AL220" s="3"/>
    </row>
    <row r="221" spans="1:38" x14ac:dyDescent="0.35">
      <c r="A221" s="3" t="s">
        <v>1536</v>
      </c>
      <c r="B221" s="4" t="s">
        <v>94</v>
      </c>
      <c r="C221" s="4">
        <f>VLOOKUP(A221, [1]Planilha1!$A$3:$B$1015,2,FALSE)</f>
        <v>3699</v>
      </c>
      <c r="D221" s="4">
        <f t="shared" si="3"/>
        <v>1.0275000000000001</v>
      </c>
      <c r="E221" s="4" t="s">
        <v>1125</v>
      </c>
      <c r="F221" s="3" t="s">
        <v>92</v>
      </c>
      <c r="G221" s="3" t="s">
        <v>1537</v>
      </c>
      <c r="H221" s="3" t="s">
        <v>44</v>
      </c>
      <c r="I221" s="3" t="s">
        <v>33</v>
      </c>
      <c r="J221" s="3" t="s">
        <v>41</v>
      </c>
      <c r="L221" s="1">
        <v>46048.584814814814</v>
      </c>
      <c r="M221" s="1">
        <v>46048.584814814814</v>
      </c>
      <c r="N221" s="1">
        <v>46048.599085648151</v>
      </c>
      <c r="O221" s="3" t="s">
        <v>43</v>
      </c>
      <c r="P221" s="3" t="s">
        <v>94</v>
      </c>
      <c r="Q221" s="3" t="s">
        <v>42</v>
      </c>
      <c r="R221" s="3" t="s">
        <v>93</v>
      </c>
      <c r="S221" s="3" t="s">
        <v>37</v>
      </c>
      <c r="T221" s="3" t="s">
        <v>36</v>
      </c>
      <c r="U221" s="4" t="b">
        <v>1</v>
      </c>
      <c r="V221" s="3" t="s">
        <v>28</v>
      </c>
      <c r="W221" s="1"/>
      <c r="Y221" s="3" t="s">
        <v>29</v>
      </c>
      <c r="Z221" s="3" t="s">
        <v>29</v>
      </c>
      <c r="AA221" s="3"/>
      <c r="AB221" s="3"/>
      <c r="AC221" s="4" t="s">
        <v>30</v>
      </c>
      <c r="AD221" s="3"/>
      <c r="AE221" s="3" t="s">
        <v>94</v>
      </c>
      <c r="AF221" s="4" t="s">
        <v>30</v>
      </c>
      <c r="AH221" s="4">
        <v>0</v>
      </c>
      <c r="AI221" s="3" t="s">
        <v>1538</v>
      </c>
      <c r="AJ221" s="4"/>
      <c r="AK221" s="4"/>
      <c r="AL221" s="3"/>
    </row>
    <row r="222" spans="1:38" x14ac:dyDescent="0.35">
      <c r="A222" s="3" t="s">
        <v>1539</v>
      </c>
      <c r="B222" s="4" t="s">
        <v>1348</v>
      </c>
      <c r="C222" s="4">
        <f>VLOOKUP(A222, [1]Planilha1!$A$3:$B$1015,2,FALSE)</f>
        <v>1647405</v>
      </c>
      <c r="D222" s="4">
        <f t="shared" si="3"/>
        <v>457.61250000000001</v>
      </c>
      <c r="E222" s="4" t="s">
        <v>1125</v>
      </c>
      <c r="F222" s="3" t="s">
        <v>1345</v>
      </c>
      <c r="G222" s="3" t="s">
        <v>743</v>
      </c>
      <c r="H222" s="3" t="s">
        <v>722</v>
      </c>
      <c r="I222" s="3" t="s">
        <v>65</v>
      </c>
      <c r="J222" s="3" t="s">
        <v>459</v>
      </c>
      <c r="L222" s="1">
        <v>46048.574849537035</v>
      </c>
      <c r="M222" s="1">
        <v>46048.574849537035</v>
      </c>
      <c r="N222" s="1"/>
      <c r="O222" s="3" t="s">
        <v>745</v>
      </c>
      <c r="P222" s="3" t="s">
        <v>1348</v>
      </c>
      <c r="R222" s="3" t="s">
        <v>1347</v>
      </c>
      <c r="S222" s="3" t="s">
        <v>37</v>
      </c>
      <c r="T222" s="3" t="s">
        <v>36</v>
      </c>
      <c r="U222" s="4" t="b">
        <v>0</v>
      </c>
      <c r="V222" s="3" t="s">
        <v>28</v>
      </c>
      <c r="W222" s="1"/>
      <c r="Y222" s="3" t="s">
        <v>29</v>
      </c>
      <c r="Z222" s="3" t="s">
        <v>29</v>
      </c>
      <c r="AA222" s="3"/>
      <c r="AB222" s="3"/>
      <c r="AC222" s="4" t="s">
        <v>30</v>
      </c>
      <c r="AD222" s="3"/>
      <c r="AE222" s="3" t="s">
        <v>1348</v>
      </c>
      <c r="AF222" s="4" t="s">
        <v>30</v>
      </c>
      <c r="AH222" s="4">
        <v>0</v>
      </c>
      <c r="AI222" s="3" t="s">
        <v>1540</v>
      </c>
      <c r="AJ222" s="4" t="s">
        <v>1346</v>
      </c>
      <c r="AK222" s="4"/>
      <c r="AL222" s="3"/>
    </row>
    <row r="223" spans="1:38" x14ac:dyDescent="0.35">
      <c r="A223" s="3" t="s">
        <v>1541</v>
      </c>
      <c r="B223" s="4"/>
      <c r="C223" s="4">
        <f>VLOOKUP(A223, [1]Planilha1!$A$3:$B$1015,2,FALSE)</f>
        <v>1654623</v>
      </c>
      <c r="D223" s="4">
        <f t="shared" si="3"/>
        <v>459.61750000000001</v>
      </c>
      <c r="E223" s="4" t="s">
        <v>1125</v>
      </c>
      <c r="F223" s="3" t="s">
        <v>49</v>
      </c>
      <c r="G223" s="3" t="s">
        <v>743</v>
      </c>
      <c r="H223" s="3" t="s">
        <v>722</v>
      </c>
      <c r="I223" s="3" t="s">
        <v>65</v>
      </c>
      <c r="J223" s="3" t="s">
        <v>459</v>
      </c>
      <c r="L223" s="1">
        <v>46048.547002314815</v>
      </c>
      <c r="M223" s="1">
        <v>46048.547002314815</v>
      </c>
      <c r="N223" s="1"/>
      <c r="O223" s="3" t="s">
        <v>745</v>
      </c>
      <c r="R223" s="3" t="s">
        <v>51</v>
      </c>
      <c r="S223" s="3" t="s">
        <v>37</v>
      </c>
      <c r="T223" s="3" t="s">
        <v>36</v>
      </c>
      <c r="U223" s="4" t="b">
        <v>0</v>
      </c>
      <c r="V223" s="3" t="s">
        <v>28</v>
      </c>
      <c r="W223" s="1"/>
      <c r="Y223" s="3" t="s">
        <v>29</v>
      </c>
      <c r="Z223" s="3" t="s">
        <v>29</v>
      </c>
      <c r="AA223" s="3"/>
      <c r="AB223" s="3"/>
      <c r="AC223" s="4" t="s">
        <v>30</v>
      </c>
      <c r="AD223" s="3"/>
      <c r="AE223" s="3"/>
      <c r="AF223" s="4" t="s">
        <v>30</v>
      </c>
      <c r="AH223" s="4">
        <v>0</v>
      </c>
      <c r="AI223" s="3" t="s">
        <v>1542</v>
      </c>
      <c r="AJ223" s="4" t="s">
        <v>50</v>
      </c>
      <c r="AK223" s="4"/>
      <c r="AL223" s="3"/>
    </row>
    <row r="224" spans="1:38" x14ac:dyDescent="0.35">
      <c r="A224" s="3" t="s">
        <v>1543</v>
      </c>
      <c r="B224" s="4" t="s">
        <v>1549</v>
      </c>
      <c r="C224" s="4">
        <f>VLOOKUP(A224, [1]Planilha1!$A$3:$B$1015,2,FALSE)</f>
        <v>8396</v>
      </c>
      <c r="D224" s="4">
        <f t="shared" si="3"/>
        <v>2.3322222222222222</v>
      </c>
      <c r="E224" s="4" t="s">
        <v>1125</v>
      </c>
      <c r="F224" s="3" t="s">
        <v>1546</v>
      </c>
      <c r="G224" s="3" t="s">
        <v>214</v>
      </c>
      <c r="H224" s="3" t="s">
        <v>44</v>
      </c>
      <c r="I224" s="3" t="s">
        <v>33</v>
      </c>
      <c r="J224" s="3" t="s">
        <v>41</v>
      </c>
      <c r="K224" s="3" t="s">
        <v>1545</v>
      </c>
      <c r="L224" s="1">
        <v>46048.543622685182</v>
      </c>
      <c r="M224" s="1">
        <v>46048.5621875</v>
      </c>
      <c r="N224" s="1">
        <v>46048.610775462963</v>
      </c>
      <c r="O224" s="3" t="s">
        <v>43</v>
      </c>
      <c r="P224" s="3" t="s">
        <v>1549</v>
      </c>
      <c r="Q224" s="3" t="s">
        <v>42</v>
      </c>
      <c r="R224" s="3" t="s">
        <v>1548</v>
      </c>
      <c r="S224" s="3" t="s">
        <v>144</v>
      </c>
      <c r="T224" s="3" t="s">
        <v>143</v>
      </c>
      <c r="U224" s="4" t="b">
        <v>1</v>
      </c>
      <c r="V224" s="3" t="s">
        <v>31</v>
      </c>
      <c r="W224" s="1"/>
      <c r="Y224" s="3" t="s">
        <v>32</v>
      </c>
      <c r="Z224" s="3" t="s">
        <v>32</v>
      </c>
      <c r="AA224" s="3"/>
      <c r="AB224" s="3"/>
      <c r="AC224" s="4" t="s">
        <v>30</v>
      </c>
      <c r="AD224" s="3"/>
      <c r="AE224" s="3" t="s">
        <v>1549</v>
      </c>
      <c r="AF224" s="4" t="s">
        <v>30</v>
      </c>
      <c r="AH224" s="4">
        <v>1</v>
      </c>
      <c r="AI224" s="3" t="s">
        <v>1544</v>
      </c>
      <c r="AJ224" s="4" t="s">
        <v>1547</v>
      </c>
      <c r="AK224" s="4"/>
      <c r="AL224" s="3"/>
    </row>
    <row r="225" spans="1:38" x14ac:dyDescent="0.35">
      <c r="A225" s="3" t="s">
        <v>1550</v>
      </c>
      <c r="B225" s="4" t="s">
        <v>1555</v>
      </c>
      <c r="C225" s="4">
        <f>VLOOKUP(A225, [1]Planilha1!$A$3:$B$1015,2,FALSE)</f>
        <v>13577</v>
      </c>
      <c r="D225" s="4">
        <f t="shared" si="3"/>
        <v>3.7713888888888887</v>
      </c>
      <c r="E225" s="4" t="s">
        <v>1125</v>
      </c>
      <c r="F225" s="3" t="s">
        <v>1553</v>
      </c>
      <c r="G225" s="3" t="s">
        <v>1551</v>
      </c>
      <c r="H225" s="3" t="s">
        <v>44</v>
      </c>
      <c r="I225" s="3" t="s">
        <v>33</v>
      </c>
      <c r="J225" s="3" t="s">
        <v>41</v>
      </c>
      <c r="L225" s="1">
        <v>46048.536793981482</v>
      </c>
      <c r="M225" s="1">
        <v>46048.536793981482</v>
      </c>
      <c r="N225" s="1">
        <v>46048.608784722222</v>
      </c>
      <c r="O225" s="3" t="s">
        <v>43</v>
      </c>
      <c r="P225" s="3" t="s">
        <v>1555</v>
      </c>
      <c r="Q225" s="3" t="s">
        <v>42</v>
      </c>
      <c r="R225" s="3" t="s">
        <v>1554</v>
      </c>
      <c r="S225" s="3" t="s">
        <v>37</v>
      </c>
      <c r="T225" s="3" t="s">
        <v>36</v>
      </c>
      <c r="U225" s="4" t="b">
        <v>1</v>
      </c>
      <c r="V225" s="3" t="s">
        <v>28</v>
      </c>
      <c r="W225" s="1"/>
      <c r="Y225" s="3" t="s">
        <v>29</v>
      </c>
      <c r="Z225" s="3" t="s">
        <v>29</v>
      </c>
      <c r="AA225" s="3"/>
      <c r="AB225" s="3"/>
      <c r="AC225" s="4" t="s">
        <v>30</v>
      </c>
      <c r="AD225" s="3"/>
      <c r="AE225" s="3" t="s">
        <v>1555</v>
      </c>
      <c r="AF225" s="4" t="s">
        <v>30</v>
      </c>
      <c r="AH225" s="4">
        <v>2</v>
      </c>
      <c r="AI225" s="3" t="s">
        <v>1552</v>
      </c>
      <c r="AJ225" s="4" t="s">
        <v>5846</v>
      </c>
      <c r="AK225" s="4"/>
      <c r="AL225" s="3"/>
    </row>
    <row r="226" spans="1:38" x14ac:dyDescent="0.35">
      <c r="A226" s="3" t="s">
        <v>1560</v>
      </c>
      <c r="B226" s="4" t="s">
        <v>1569</v>
      </c>
      <c r="C226" s="4">
        <f>VLOOKUP(A226, [1]Planilha1!$A$3:$B$1015,2,FALSE)</f>
        <v>0</v>
      </c>
      <c r="D226" s="4">
        <f t="shared" si="3"/>
        <v>0</v>
      </c>
      <c r="E226" s="4" t="s">
        <v>1125</v>
      </c>
      <c r="F226" s="3" t="s">
        <v>1566</v>
      </c>
      <c r="G226" s="3" t="s">
        <v>1561</v>
      </c>
      <c r="H226" s="3" t="s">
        <v>1565</v>
      </c>
      <c r="I226" s="3" t="s">
        <v>33</v>
      </c>
      <c r="J226" s="3" t="s">
        <v>60</v>
      </c>
      <c r="K226" s="3" t="s">
        <v>1563</v>
      </c>
      <c r="L226" s="1">
        <v>46048.508611111109</v>
      </c>
      <c r="M226" s="1">
        <v>46048.557627314818</v>
      </c>
      <c r="N226" s="1">
        <v>46051.583333333336</v>
      </c>
      <c r="O226" s="3" t="s">
        <v>1564</v>
      </c>
      <c r="P226" s="3" t="s">
        <v>1569</v>
      </c>
      <c r="Q226" s="3" t="s">
        <v>35</v>
      </c>
      <c r="R226" s="3" t="s">
        <v>1568</v>
      </c>
      <c r="S226" s="3" t="s">
        <v>144</v>
      </c>
      <c r="T226" s="3" t="s">
        <v>143</v>
      </c>
      <c r="U226" s="4" t="b">
        <v>1</v>
      </c>
      <c r="V226" s="3" t="s">
        <v>31</v>
      </c>
      <c r="W226" s="1"/>
      <c r="Y226" s="3" t="s">
        <v>32</v>
      </c>
      <c r="Z226" s="3" t="s">
        <v>32</v>
      </c>
      <c r="AA226" s="3"/>
      <c r="AB226" s="3"/>
      <c r="AC226" s="4" t="s">
        <v>30</v>
      </c>
      <c r="AD226" s="3"/>
      <c r="AE226" s="3" t="s">
        <v>1569</v>
      </c>
      <c r="AF226" s="4" t="s">
        <v>30</v>
      </c>
      <c r="AH226" s="4">
        <v>0</v>
      </c>
      <c r="AI226" s="3" t="s">
        <v>1562</v>
      </c>
      <c r="AJ226" s="4" t="s">
        <v>1567</v>
      </c>
      <c r="AK226" s="4"/>
      <c r="AL226" s="3"/>
    </row>
    <row r="227" spans="1:38" x14ac:dyDescent="0.35">
      <c r="A227" s="3" t="s">
        <v>1570</v>
      </c>
      <c r="B227" s="4" t="s">
        <v>1577</v>
      </c>
      <c r="C227" s="4">
        <f>VLOOKUP(A227, [1]Planilha1!$A$3:$B$1015,2,FALSE)</f>
        <v>3598</v>
      </c>
      <c r="D227" s="4">
        <f t="shared" si="3"/>
        <v>0.99944444444444447</v>
      </c>
      <c r="E227" s="4" t="s">
        <v>1125</v>
      </c>
      <c r="F227" s="3" t="s">
        <v>1574</v>
      </c>
      <c r="G227" s="3" t="s">
        <v>1571</v>
      </c>
      <c r="H227" s="3" t="s">
        <v>44</v>
      </c>
      <c r="I227" s="3" t="s">
        <v>33</v>
      </c>
      <c r="J227" s="3" t="s">
        <v>41</v>
      </c>
      <c r="K227" s="3" t="s">
        <v>1573</v>
      </c>
      <c r="L227" s="1">
        <v>46048.500115740739</v>
      </c>
      <c r="M227" s="1">
        <v>46048.517129629632</v>
      </c>
      <c r="N227" s="1">
        <v>46048.61273148148</v>
      </c>
      <c r="O227" s="3" t="s">
        <v>43</v>
      </c>
      <c r="P227" s="3" t="s">
        <v>1577</v>
      </c>
      <c r="Q227" s="3" t="s">
        <v>42</v>
      </c>
      <c r="R227" s="3" t="s">
        <v>1576</v>
      </c>
      <c r="S227" s="3" t="s">
        <v>98</v>
      </c>
      <c r="T227" s="3" t="s">
        <v>97</v>
      </c>
      <c r="U227" s="4" t="b">
        <v>1</v>
      </c>
      <c r="V227" s="3" t="s">
        <v>31</v>
      </c>
      <c r="W227" s="1"/>
      <c r="Y227" s="3" t="s">
        <v>32</v>
      </c>
      <c r="Z227" s="3" t="s">
        <v>32</v>
      </c>
      <c r="AA227" s="3"/>
      <c r="AB227" s="3"/>
      <c r="AC227" s="4" t="s">
        <v>30</v>
      </c>
      <c r="AD227" s="3"/>
      <c r="AE227" s="3" t="s">
        <v>1577</v>
      </c>
      <c r="AF227" s="4" t="s">
        <v>30</v>
      </c>
      <c r="AH227" s="4">
        <v>1</v>
      </c>
      <c r="AI227" s="3" t="s">
        <v>1572</v>
      </c>
      <c r="AJ227" s="4" t="s">
        <v>1575</v>
      </c>
      <c r="AK227" s="4"/>
      <c r="AL227" s="3"/>
    </row>
    <row r="228" spans="1:38" x14ac:dyDescent="0.35">
      <c r="A228" s="3" t="s">
        <v>1578</v>
      </c>
      <c r="B228" s="4" t="s">
        <v>1582</v>
      </c>
      <c r="C228" s="4">
        <f>VLOOKUP(A228, [1]Planilha1!$A$3:$B$1015,2,FALSE)</f>
        <v>11638</v>
      </c>
      <c r="D228" s="4">
        <f t="shared" si="3"/>
        <v>3.2327777777777778</v>
      </c>
      <c r="E228" s="4" t="s">
        <v>1125</v>
      </c>
      <c r="F228" s="3" t="s">
        <v>1580</v>
      </c>
      <c r="G228" s="3" t="s">
        <v>74</v>
      </c>
      <c r="H228" s="3" t="s">
        <v>44</v>
      </c>
      <c r="I228" s="3" t="s">
        <v>33</v>
      </c>
      <c r="J228" s="3" t="s">
        <v>41</v>
      </c>
      <c r="L228" s="1">
        <v>46048.499895833331</v>
      </c>
      <c r="M228" s="1">
        <v>46048.501932870371</v>
      </c>
      <c r="N228" s="1">
        <v>46048.569282407407</v>
      </c>
      <c r="O228" s="3" t="s">
        <v>43</v>
      </c>
      <c r="P228" s="3" t="s">
        <v>1582</v>
      </c>
      <c r="Q228" s="3" t="s">
        <v>42</v>
      </c>
      <c r="R228" s="3" t="s">
        <v>1581</v>
      </c>
      <c r="S228" s="3" t="s">
        <v>80</v>
      </c>
      <c r="T228" s="3" t="s">
        <v>79</v>
      </c>
      <c r="U228" s="4" t="b">
        <v>1</v>
      </c>
      <c r="V228" s="3" t="s">
        <v>31</v>
      </c>
      <c r="W228" s="1"/>
      <c r="Y228" s="3" t="s">
        <v>32</v>
      </c>
      <c r="Z228" s="3" t="s">
        <v>32</v>
      </c>
      <c r="AA228" s="3"/>
      <c r="AB228" s="3"/>
      <c r="AC228" s="4" t="s">
        <v>30</v>
      </c>
      <c r="AD228" s="3"/>
      <c r="AE228" s="3" t="s">
        <v>1582</v>
      </c>
      <c r="AF228" s="4" t="s">
        <v>30</v>
      </c>
      <c r="AH228" s="4">
        <v>1</v>
      </c>
      <c r="AI228" s="3" t="s">
        <v>1579</v>
      </c>
      <c r="AJ228" s="4"/>
      <c r="AK228" s="4"/>
      <c r="AL228" s="3"/>
    </row>
    <row r="229" spans="1:38" x14ac:dyDescent="0.35">
      <c r="A229" s="3" t="s">
        <v>1583</v>
      </c>
      <c r="B229" s="4" t="s">
        <v>1588</v>
      </c>
      <c r="C229" s="4">
        <f>VLOOKUP(A229, [1]Planilha1!$A$3:$B$1015,2,FALSE)</f>
        <v>0</v>
      </c>
      <c r="D229" s="4">
        <f t="shared" si="3"/>
        <v>0</v>
      </c>
      <c r="E229" s="4" t="s">
        <v>1125</v>
      </c>
      <c r="F229" s="3" t="s">
        <v>1585</v>
      </c>
      <c r="G229" s="3" t="s">
        <v>126</v>
      </c>
      <c r="H229" s="3" t="s">
        <v>126</v>
      </c>
      <c r="I229" s="3" t="s">
        <v>33</v>
      </c>
      <c r="J229" s="3" t="s">
        <v>60</v>
      </c>
      <c r="L229" s="1">
        <v>46048.488912037035</v>
      </c>
      <c r="M229" s="1">
        <v>46048.491875</v>
      </c>
      <c r="N229" s="1">
        <v>46051.5</v>
      </c>
      <c r="O229" s="3" t="s">
        <v>125</v>
      </c>
      <c r="P229" s="3" t="s">
        <v>1588</v>
      </c>
      <c r="Q229" s="3" t="s">
        <v>42</v>
      </c>
      <c r="R229" s="3" t="s">
        <v>1587</v>
      </c>
      <c r="S229" s="3" t="s">
        <v>120</v>
      </c>
      <c r="T229" s="3" t="s">
        <v>119</v>
      </c>
      <c r="U229" s="4" t="b">
        <v>1</v>
      </c>
      <c r="V229" s="3" t="s">
        <v>31</v>
      </c>
      <c r="W229" s="1"/>
      <c r="Y229" s="3" t="s">
        <v>32</v>
      </c>
      <c r="Z229" s="3" t="s">
        <v>32</v>
      </c>
      <c r="AA229" s="3"/>
      <c r="AB229" s="3"/>
      <c r="AC229" s="4" t="s">
        <v>30</v>
      </c>
      <c r="AD229" s="3"/>
      <c r="AE229" s="3" t="s">
        <v>1588</v>
      </c>
      <c r="AF229" s="4" t="s">
        <v>30</v>
      </c>
      <c r="AH229" s="4">
        <v>0</v>
      </c>
      <c r="AI229" s="3" t="s">
        <v>1584</v>
      </c>
      <c r="AJ229" s="4" t="s">
        <v>1586</v>
      </c>
      <c r="AK229" s="4"/>
      <c r="AL229" s="3"/>
    </row>
    <row r="230" spans="1:38" x14ac:dyDescent="0.35">
      <c r="A230" s="3" t="s">
        <v>1589</v>
      </c>
      <c r="B230" s="4" t="s">
        <v>1595</v>
      </c>
      <c r="C230" s="4">
        <f>VLOOKUP(A230, [1]Planilha1!$A$3:$B$1015,2,FALSE)</f>
        <v>96306</v>
      </c>
      <c r="D230" s="4">
        <f t="shared" si="3"/>
        <v>26.751666666666665</v>
      </c>
      <c r="E230" s="4" t="s">
        <v>1125</v>
      </c>
      <c r="F230" s="3" t="s">
        <v>1592</v>
      </c>
      <c r="G230" s="3" t="s">
        <v>1590</v>
      </c>
      <c r="H230" s="3" t="s">
        <v>722</v>
      </c>
      <c r="I230" s="3" t="s">
        <v>33</v>
      </c>
      <c r="J230" s="3" t="s">
        <v>607</v>
      </c>
      <c r="L230" s="1">
        <v>46048.487592592595</v>
      </c>
      <c r="M230" s="1">
        <v>46048.487592592595</v>
      </c>
      <c r="N230" s="1">
        <v>46052.458344907405</v>
      </c>
      <c r="O230" s="3" t="s">
        <v>745</v>
      </c>
      <c r="P230" s="3" t="s">
        <v>1595</v>
      </c>
      <c r="Q230" s="3" t="s">
        <v>35</v>
      </c>
      <c r="R230" s="3" t="s">
        <v>1594</v>
      </c>
      <c r="S230" s="3" t="s">
        <v>37</v>
      </c>
      <c r="T230" s="3" t="s">
        <v>36</v>
      </c>
      <c r="U230" s="4" t="b">
        <v>1</v>
      </c>
      <c r="V230" s="3" t="s">
        <v>28</v>
      </c>
      <c r="W230" s="1"/>
      <c r="Y230" s="3" t="s">
        <v>29</v>
      </c>
      <c r="Z230" s="3" t="s">
        <v>29</v>
      </c>
      <c r="AA230" s="3"/>
      <c r="AB230" s="3"/>
      <c r="AC230" s="4" t="s">
        <v>30</v>
      </c>
      <c r="AD230" s="3"/>
      <c r="AE230" s="3" t="s">
        <v>1595</v>
      </c>
      <c r="AF230" s="4" t="s">
        <v>30</v>
      </c>
      <c r="AH230" s="4">
        <v>1</v>
      </c>
      <c r="AI230" s="3" t="s">
        <v>1591</v>
      </c>
      <c r="AJ230" s="4" t="s">
        <v>1593</v>
      </c>
      <c r="AK230" s="4"/>
      <c r="AL230" s="3"/>
    </row>
    <row r="231" spans="1:38" x14ac:dyDescent="0.35">
      <c r="A231" s="3" t="s">
        <v>1596</v>
      </c>
      <c r="B231" s="4"/>
      <c r="C231" s="4">
        <f>VLOOKUP(A231, [1]Planilha1!$A$3:$B$1015,2,FALSE)</f>
        <v>15058</v>
      </c>
      <c r="D231" s="4">
        <f t="shared" si="3"/>
        <v>4.1827777777777779</v>
      </c>
      <c r="E231" s="4" t="s">
        <v>1125</v>
      </c>
      <c r="F231" s="3" t="s">
        <v>1598</v>
      </c>
      <c r="G231" s="3" t="s">
        <v>1231</v>
      </c>
      <c r="H231" s="3" t="s">
        <v>44</v>
      </c>
      <c r="I231" s="3" t="s">
        <v>33</v>
      </c>
      <c r="J231" s="3" t="s">
        <v>41</v>
      </c>
      <c r="L231" s="1">
        <v>46048.483159722222</v>
      </c>
      <c r="M231" s="1">
        <v>46048.485034722224</v>
      </c>
      <c r="N231" s="1">
        <v>46048.572175925925</v>
      </c>
      <c r="O231" s="3" t="s">
        <v>43</v>
      </c>
      <c r="Q231" s="3" t="s">
        <v>42</v>
      </c>
      <c r="R231" s="3" t="s">
        <v>1600</v>
      </c>
      <c r="S231" s="3" t="s">
        <v>1234</v>
      </c>
      <c r="T231" s="3" t="s">
        <v>1233</v>
      </c>
      <c r="U231" s="4" t="b">
        <v>1</v>
      </c>
      <c r="V231" s="3" t="s">
        <v>31</v>
      </c>
      <c r="W231" s="1"/>
      <c r="Y231" s="3" t="s">
        <v>32</v>
      </c>
      <c r="Z231" s="3" t="s">
        <v>32</v>
      </c>
      <c r="AA231" s="3"/>
      <c r="AB231" s="3"/>
      <c r="AC231" s="4" t="s">
        <v>30</v>
      </c>
      <c r="AD231" s="3"/>
      <c r="AE231" s="3"/>
      <c r="AF231" s="4" t="s">
        <v>30</v>
      </c>
      <c r="AH231" s="4">
        <v>1</v>
      </c>
      <c r="AI231" s="3" t="s">
        <v>1597</v>
      </c>
      <c r="AJ231" s="4" t="s">
        <v>1599</v>
      </c>
      <c r="AK231" s="4"/>
      <c r="AL231" s="3"/>
    </row>
    <row r="232" spans="1:38" x14ac:dyDescent="0.35">
      <c r="A232" s="3" t="s">
        <v>1601</v>
      </c>
      <c r="B232" s="4" t="s">
        <v>1607</v>
      </c>
      <c r="C232" s="4">
        <f>VLOOKUP(A232, [1]Planilha1!$A$3:$B$1015,2,FALSE)</f>
        <v>26325</v>
      </c>
      <c r="D232" s="4">
        <f t="shared" si="3"/>
        <v>7.3125</v>
      </c>
      <c r="E232" s="4" t="s">
        <v>1125</v>
      </c>
      <c r="F232" s="3" t="s">
        <v>1604</v>
      </c>
      <c r="G232" s="3" t="s">
        <v>1602</v>
      </c>
      <c r="H232" s="3" t="s">
        <v>622</v>
      </c>
      <c r="I232" s="3" t="s">
        <v>33</v>
      </c>
      <c r="J232" s="3" t="s">
        <v>41</v>
      </c>
      <c r="L232" s="1">
        <v>46048.466481481482</v>
      </c>
      <c r="M232" s="1">
        <v>46048.466481481482</v>
      </c>
      <c r="N232" s="1">
        <v>46048.568043981482</v>
      </c>
      <c r="O232" s="3" t="s">
        <v>621</v>
      </c>
      <c r="P232" s="3" t="s">
        <v>1607</v>
      </c>
      <c r="Q232" s="3" t="s">
        <v>42</v>
      </c>
      <c r="R232" s="3" t="s">
        <v>1606</v>
      </c>
      <c r="S232" s="3" t="s">
        <v>37</v>
      </c>
      <c r="T232" s="3" t="s">
        <v>36</v>
      </c>
      <c r="U232" s="4" t="b">
        <v>1</v>
      </c>
      <c r="V232" s="3" t="s">
        <v>28</v>
      </c>
      <c r="W232" s="1"/>
      <c r="Y232" s="3" t="s">
        <v>29</v>
      </c>
      <c r="Z232" s="3" t="s">
        <v>29</v>
      </c>
      <c r="AA232" s="3"/>
      <c r="AB232" s="3"/>
      <c r="AC232" s="4" t="s">
        <v>30</v>
      </c>
      <c r="AD232" s="3"/>
      <c r="AE232" s="3" t="s">
        <v>1607</v>
      </c>
      <c r="AF232" s="4" t="s">
        <v>30</v>
      </c>
      <c r="AH232" s="4">
        <v>0</v>
      </c>
      <c r="AI232" s="3" t="s">
        <v>1603</v>
      </c>
      <c r="AJ232" s="4" t="s">
        <v>1605</v>
      </c>
      <c r="AK232" s="4"/>
      <c r="AL232" s="3"/>
    </row>
    <row r="233" spans="1:38" x14ac:dyDescent="0.35">
      <c r="A233" s="3" t="s">
        <v>1608</v>
      </c>
      <c r="B233" s="4" t="s">
        <v>1607</v>
      </c>
      <c r="C233" s="4">
        <f>VLOOKUP(A233, [1]Planilha1!$A$3:$B$1015,2,FALSE)</f>
        <v>17529</v>
      </c>
      <c r="D233" s="4">
        <f t="shared" si="3"/>
        <v>4.8691666666666666</v>
      </c>
      <c r="E233" s="4" t="s">
        <v>1125</v>
      </c>
      <c r="F233" s="3" t="s">
        <v>1604</v>
      </c>
      <c r="G233" s="3" t="s">
        <v>1602</v>
      </c>
      <c r="H233" s="3" t="s">
        <v>622</v>
      </c>
      <c r="I233" s="3" t="s">
        <v>33</v>
      </c>
      <c r="J233" s="3" t="s">
        <v>41</v>
      </c>
      <c r="L233" s="1">
        <v>46048.464189814818</v>
      </c>
      <c r="M233" s="1">
        <v>46048.464189814818</v>
      </c>
      <c r="N233" s="1">
        <v>46048.531817129631</v>
      </c>
      <c r="O233" s="3" t="s">
        <v>621</v>
      </c>
      <c r="P233" s="3" t="s">
        <v>1607</v>
      </c>
      <c r="Q233" s="3" t="s">
        <v>42</v>
      </c>
      <c r="R233" s="3" t="s">
        <v>1606</v>
      </c>
      <c r="S233" s="3" t="s">
        <v>37</v>
      </c>
      <c r="T233" s="3" t="s">
        <v>36</v>
      </c>
      <c r="U233" s="4" t="b">
        <v>1</v>
      </c>
      <c r="V233" s="3" t="s">
        <v>28</v>
      </c>
      <c r="W233" s="1"/>
      <c r="Y233" s="3" t="s">
        <v>29</v>
      </c>
      <c r="Z233" s="3" t="s">
        <v>29</v>
      </c>
      <c r="AA233" s="3"/>
      <c r="AB233" s="3"/>
      <c r="AC233" s="4" t="s">
        <v>30</v>
      </c>
      <c r="AD233" s="3"/>
      <c r="AE233" s="3" t="s">
        <v>1607</v>
      </c>
      <c r="AF233" s="4" t="s">
        <v>30</v>
      </c>
      <c r="AH233" s="4">
        <v>0</v>
      </c>
      <c r="AI233" s="3" t="s">
        <v>1609</v>
      </c>
      <c r="AJ233" s="4" t="s">
        <v>1605</v>
      </c>
      <c r="AK233" s="4"/>
      <c r="AL233" s="3"/>
    </row>
    <row r="234" spans="1:38" x14ac:dyDescent="0.35">
      <c r="A234" s="3" t="s">
        <v>1610</v>
      </c>
      <c r="B234" s="4" t="s">
        <v>1616</v>
      </c>
      <c r="C234" s="4">
        <f>VLOOKUP(A234, [1]Planilha1!$A$3:$B$1015,2,FALSE)</f>
        <v>1982</v>
      </c>
      <c r="D234" s="4">
        <f t="shared" si="3"/>
        <v>0.55055555555555558</v>
      </c>
      <c r="E234" s="4" t="s">
        <v>1125</v>
      </c>
      <c r="F234" s="3" t="s">
        <v>1613</v>
      </c>
      <c r="G234" s="3" t="s">
        <v>44</v>
      </c>
      <c r="H234" s="3" t="s">
        <v>44</v>
      </c>
      <c r="I234" s="3" t="s">
        <v>33</v>
      </c>
      <c r="J234" s="3" t="s">
        <v>41</v>
      </c>
      <c r="K234" s="3" t="s">
        <v>1612</v>
      </c>
      <c r="L234" s="1">
        <v>46048.445370370369</v>
      </c>
      <c r="M234" s="1">
        <v>46048.447951388887</v>
      </c>
      <c r="N234" s="1">
        <v>46048.459421296298</v>
      </c>
      <c r="O234" s="3" t="s">
        <v>43</v>
      </c>
      <c r="P234" s="3" t="s">
        <v>1616</v>
      </c>
      <c r="Q234" s="3" t="s">
        <v>42</v>
      </c>
      <c r="R234" s="3" t="s">
        <v>1615</v>
      </c>
      <c r="S234" s="3" t="s">
        <v>96</v>
      </c>
      <c r="T234" s="3" t="s">
        <v>95</v>
      </c>
      <c r="U234" s="4" t="b">
        <v>1</v>
      </c>
      <c r="V234" s="3" t="s">
        <v>31</v>
      </c>
      <c r="W234" s="1"/>
      <c r="Y234" s="3" t="s">
        <v>32</v>
      </c>
      <c r="Z234" s="3" t="s">
        <v>32</v>
      </c>
      <c r="AA234" s="3"/>
      <c r="AB234" s="3"/>
      <c r="AC234" s="4" t="s">
        <v>30</v>
      </c>
      <c r="AD234" s="3"/>
      <c r="AE234" s="3" t="s">
        <v>1616</v>
      </c>
      <c r="AF234" s="4" t="s">
        <v>30</v>
      </c>
      <c r="AH234" s="4">
        <v>1</v>
      </c>
      <c r="AI234" s="3" t="s">
        <v>1611</v>
      </c>
      <c r="AJ234" s="4" t="s">
        <v>1614</v>
      </c>
      <c r="AK234" s="4"/>
      <c r="AL234" s="3"/>
    </row>
    <row r="235" spans="1:38" x14ac:dyDescent="0.35">
      <c r="A235" s="3" t="s">
        <v>1617</v>
      </c>
      <c r="B235" s="4" t="s">
        <v>1623</v>
      </c>
      <c r="C235" s="4">
        <f>VLOOKUP(A235, [1]Planilha1!$A$3:$B$1015,2,FALSE)</f>
        <v>0</v>
      </c>
      <c r="D235" s="4">
        <f t="shared" si="3"/>
        <v>0</v>
      </c>
      <c r="E235" s="4" t="s">
        <v>1125</v>
      </c>
      <c r="F235" s="3" t="s">
        <v>1620</v>
      </c>
      <c r="G235" s="3" t="s">
        <v>134</v>
      </c>
      <c r="H235" s="3" t="s">
        <v>138</v>
      </c>
      <c r="I235" s="3" t="s">
        <v>33</v>
      </c>
      <c r="J235" s="3" t="s">
        <v>60</v>
      </c>
      <c r="K235" s="3" t="s">
        <v>1619</v>
      </c>
      <c r="L235" s="1">
        <v>46048.439826388887</v>
      </c>
      <c r="M235" s="1">
        <v>46048.457187499997</v>
      </c>
      <c r="N235" s="1">
        <v>46051.458333333336</v>
      </c>
      <c r="O235" s="3" t="s">
        <v>137</v>
      </c>
      <c r="P235" s="3" t="s">
        <v>1623</v>
      </c>
      <c r="Q235" s="3" t="s">
        <v>35</v>
      </c>
      <c r="R235" s="3" t="s">
        <v>1622</v>
      </c>
      <c r="S235" s="3" t="s">
        <v>144</v>
      </c>
      <c r="T235" s="3" t="s">
        <v>143</v>
      </c>
      <c r="U235" s="4" t="b">
        <v>1</v>
      </c>
      <c r="V235" s="3" t="s">
        <v>31</v>
      </c>
      <c r="W235" s="1"/>
      <c r="Y235" s="3" t="s">
        <v>32</v>
      </c>
      <c r="Z235" s="3" t="s">
        <v>32</v>
      </c>
      <c r="AA235" s="3"/>
      <c r="AB235" s="3"/>
      <c r="AC235" s="4" t="s">
        <v>30</v>
      </c>
      <c r="AD235" s="3"/>
      <c r="AE235" s="3" t="s">
        <v>1623</v>
      </c>
      <c r="AF235" s="4" t="s">
        <v>30</v>
      </c>
      <c r="AH235" s="4">
        <v>0</v>
      </c>
      <c r="AI235" s="3" t="s">
        <v>1618</v>
      </c>
      <c r="AJ235" s="4" t="s">
        <v>1621</v>
      </c>
      <c r="AK235" s="4"/>
      <c r="AL235" s="3"/>
    </row>
    <row r="236" spans="1:38" x14ac:dyDescent="0.35">
      <c r="A236" s="3" t="s">
        <v>1624</v>
      </c>
      <c r="B236" s="4" t="s">
        <v>263</v>
      </c>
      <c r="C236" s="4">
        <f>VLOOKUP(A236, [1]Planilha1!$A$3:$B$1015,2,FALSE)</f>
        <v>0</v>
      </c>
      <c r="D236" s="4">
        <f t="shared" si="3"/>
        <v>0</v>
      </c>
      <c r="E236" s="4" t="s">
        <v>1125</v>
      </c>
      <c r="F236" s="3" t="s">
        <v>260</v>
      </c>
      <c r="G236" s="3" t="s">
        <v>1625</v>
      </c>
      <c r="H236" s="3" t="s">
        <v>457</v>
      </c>
      <c r="I236" s="3" t="s">
        <v>33</v>
      </c>
      <c r="J236" s="3" t="s">
        <v>60</v>
      </c>
      <c r="K236" s="3" t="s">
        <v>1627</v>
      </c>
      <c r="L236" s="1">
        <v>46048.43074074074</v>
      </c>
      <c r="M236" s="1">
        <v>46048.446597222224</v>
      </c>
      <c r="N236" s="1">
        <v>46051.458333333336</v>
      </c>
      <c r="O236" s="3" t="s">
        <v>460</v>
      </c>
      <c r="P236" s="3" t="s">
        <v>263</v>
      </c>
      <c r="Q236" s="3" t="s">
        <v>35</v>
      </c>
      <c r="R236" s="3" t="s">
        <v>262</v>
      </c>
      <c r="S236" s="3" t="s">
        <v>98</v>
      </c>
      <c r="T236" s="3" t="s">
        <v>97</v>
      </c>
      <c r="U236" s="4" t="b">
        <v>1</v>
      </c>
      <c r="V236" s="3" t="s">
        <v>31</v>
      </c>
      <c r="W236" s="1"/>
      <c r="Y236" s="3" t="s">
        <v>32</v>
      </c>
      <c r="Z236" s="3" t="s">
        <v>32</v>
      </c>
      <c r="AA236" s="3"/>
      <c r="AB236" s="3"/>
      <c r="AC236" s="4" t="s">
        <v>30</v>
      </c>
      <c r="AD236" s="3"/>
      <c r="AE236" s="3" t="s">
        <v>263</v>
      </c>
      <c r="AF236" s="4" t="s">
        <v>30</v>
      </c>
      <c r="AH236" s="4">
        <v>0</v>
      </c>
      <c r="AI236" s="3" t="s">
        <v>1626</v>
      </c>
      <c r="AJ236" s="4" t="s">
        <v>261</v>
      </c>
      <c r="AK236" s="4"/>
      <c r="AL236" s="3"/>
    </row>
    <row r="237" spans="1:38" x14ac:dyDescent="0.35">
      <c r="A237" s="3" t="s">
        <v>1632</v>
      </c>
      <c r="B237" s="4" t="s">
        <v>1638</v>
      </c>
      <c r="C237" s="4">
        <f>VLOOKUP(A237, [1]Planilha1!$A$3:$B$1015,2,FALSE)</f>
        <v>7716</v>
      </c>
      <c r="D237" s="4">
        <f t="shared" si="3"/>
        <v>2.1433333333333335</v>
      </c>
      <c r="E237" s="4" t="s">
        <v>1125</v>
      </c>
      <c r="F237" s="3" t="s">
        <v>1635</v>
      </c>
      <c r="G237" s="3" t="s">
        <v>1633</v>
      </c>
      <c r="H237" s="3" t="s">
        <v>622</v>
      </c>
      <c r="I237" s="3" t="s">
        <v>33</v>
      </c>
      <c r="J237" s="3" t="s">
        <v>41</v>
      </c>
      <c r="L237" s="1">
        <v>46048.418240740742</v>
      </c>
      <c r="M237" s="1">
        <v>46048.418240740742</v>
      </c>
      <c r="N237" s="1">
        <v>46048.448009259257</v>
      </c>
      <c r="O237" s="3" t="s">
        <v>621</v>
      </c>
      <c r="P237" s="3" t="s">
        <v>1638</v>
      </c>
      <c r="Q237" s="3" t="s">
        <v>42</v>
      </c>
      <c r="R237" s="3" t="s">
        <v>1637</v>
      </c>
      <c r="S237" s="3" t="s">
        <v>37</v>
      </c>
      <c r="T237" s="3" t="s">
        <v>36</v>
      </c>
      <c r="U237" s="4" t="b">
        <v>1</v>
      </c>
      <c r="V237" s="3" t="s">
        <v>28</v>
      </c>
      <c r="W237" s="1"/>
      <c r="Y237" s="3" t="s">
        <v>29</v>
      </c>
      <c r="Z237" s="3" t="s">
        <v>29</v>
      </c>
      <c r="AA237" s="3"/>
      <c r="AB237" s="3"/>
      <c r="AC237" s="4" t="s">
        <v>30</v>
      </c>
      <c r="AD237" s="3"/>
      <c r="AE237" s="3" t="s">
        <v>1638</v>
      </c>
      <c r="AF237" s="4" t="s">
        <v>30</v>
      </c>
      <c r="AH237" s="4">
        <v>0</v>
      </c>
      <c r="AI237" s="3" t="s">
        <v>1634</v>
      </c>
      <c r="AJ237" s="4" t="s">
        <v>1636</v>
      </c>
      <c r="AK237" s="4"/>
      <c r="AL237" s="3"/>
    </row>
    <row r="238" spans="1:38" x14ac:dyDescent="0.35">
      <c r="A238" s="3" t="s">
        <v>1639</v>
      </c>
      <c r="B238" s="4" t="s">
        <v>1645</v>
      </c>
      <c r="C238" s="4">
        <f>VLOOKUP(A238, [1]Planilha1!$A$3:$B$1015,2,FALSE)</f>
        <v>24190</v>
      </c>
      <c r="D238" s="4">
        <f t="shared" si="3"/>
        <v>6.7194444444444441</v>
      </c>
      <c r="E238" s="4" t="s">
        <v>1125</v>
      </c>
      <c r="F238" s="3" t="s">
        <v>1642</v>
      </c>
      <c r="G238" s="3" t="s">
        <v>1640</v>
      </c>
      <c r="H238" s="3" t="s">
        <v>428</v>
      </c>
      <c r="I238" s="3" t="s">
        <v>33</v>
      </c>
      <c r="J238" s="3" t="s">
        <v>41</v>
      </c>
      <c r="L238" s="1">
        <v>46048.412060185183</v>
      </c>
      <c r="M238" s="1">
        <v>46048.412060185183</v>
      </c>
      <c r="N238" s="1">
        <v>46048.552048611113</v>
      </c>
      <c r="O238" s="3" t="s">
        <v>427</v>
      </c>
      <c r="P238" s="3" t="s">
        <v>1645</v>
      </c>
      <c r="Q238" s="3" t="s">
        <v>42</v>
      </c>
      <c r="R238" s="3" t="s">
        <v>1644</v>
      </c>
      <c r="S238" s="3" t="s">
        <v>37</v>
      </c>
      <c r="T238" s="3" t="s">
        <v>36</v>
      </c>
      <c r="U238" s="4" t="b">
        <v>1</v>
      </c>
      <c r="V238" s="3" t="s">
        <v>28</v>
      </c>
      <c r="W238" s="1"/>
      <c r="Y238" s="3" t="s">
        <v>29</v>
      </c>
      <c r="Z238" s="3" t="s">
        <v>29</v>
      </c>
      <c r="AA238" s="3"/>
      <c r="AB238" s="3"/>
      <c r="AC238" s="4" t="s">
        <v>30</v>
      </c>
      <c r="AD238" s="3"/>
      <c r="AE238" s="3" t="s">
        <v>1645</v>
      </c>
      <c r="AF238" s="4" t="s">
        <v>30</v>
      </c>
      <c r="AH238" s="4">
        <v>1</v>
      </c>
      <c r="AI238" s="3" t="s">
        <v>1641</v>
      </c>
      <c r="AJ238" s="4" t="s">
        <v>1643</v>
      </c>
      <c r="AK238" s="4"/>
      <c r="AL238" s="3"/>
    </row>
    <row r="239" spans="1:38" x14ac:dyDescent="0.35">
      <c r="A239" s="3" t="s">
        <v>1646</v>
      </c>
      <c r="B239" s="4" t="s">
        <v>1652</v>
      </c>
      <c r="C239" s="4">
        <f>VLOOKUP(A239, [1]Planilha1!$A$3:$B$1015,2,FALSE)</f>
        <v>1744</v>
      </c>
      <c r="D239" s="4">
        <f t="shared" si="3"/>
        <v>0.48444444444444446</v>
      </c>
      <c r="E239" s="4" t="s">
        <v>1125</v>
      </c>
      <c r="F239" s="3" t="s">
        <v>1649</v>
      </c>
      <c r="G239" s="3" t="s">
        <v>1647</v>
      </c>
      <c r="H239" s="3" t="s">
        <v>428</v>
      </c>
      <c r="I239" s="3" t="s">
        <v>33</v>
      </c>
      <c r="J239" s="3" t="s">
        <v>41</v>
      </c>
      <c r="L239" s="1">
        <v>46048.405081018522</v>
      </c>
      <c r="M239" s="1">
        <v>46048.405081018522</v>
      </c>
      <c r="N239" s="1">
        <v>46048.415173611109</v>
      </c>
      <c r="O239" s="3" t="s">
        <v>427</v>
      </c>
      <c r="P239" s="3" t="s">
        <v>1652</v>
      </c>
      <c r="Q239" s="3" t="s">
        <v>42</v>
      </c>
      <c r="R239" s="3" t="s">
        <v>1651</v>
      </c>
      <c r="S239" s="3" t="s">
        <v>37</v>
      </c>
      <c r="T239" s="3" t="s">
        <v>36</v>
      </c>
      <c r="U239" s="4" t="b">
        <v>1</v>
      </c>
      <c r="V239" s="3" t="s">
        <v>28</v>
      </c>
      <c r="W239" s="1"/>
      <c r="Y239" s="3" t="s">
        <v>29</v>
      </c>
      <c r="Z239" s="3" t="s">
        <v>29</v>
      </c>
      <c r="AA239" s="3"/>
      <c r="AB239" s="3"/>
      <c r="AC239" s="4" t="s">
        <v>30</v>
      </c>
      <c r="AD239" s="3"/>
      <c r="AE239" s="3" t="s">
        <v>1652</v>
      </c>
      <c r="AF239" s="4" t="s">
        <v>30</v>
      </c>
      <c r="AH239" s="4">
        <v>0</v>
      </c>
      <c r="AI239" s="3" t="s">
        <v>1648</v>
      </c>
      <c r="AJ239" s="4" t="s">
        <v>1650</v>
      </c>
      <c r="AK239" s="4"/>
      <c r="AL239" s="3"/>
    </row>
    <row r="240" spans="1:38" x14ac:dyDescent="0.35">
      <c r="A240" s="3" t="s">
        <v>1653</v>
      </c>
      <c r="B240" s="4" t="s">
        <v>1659</v>
      </c>
      <c r="C240" s="4">
        <f>VLOOKUP(A240, [1]Planilha1!$A$3:$B$1015,2,FALSE)</f>
        <v>3118</v>
      </c>
      <c r="D240" s="4">
        <f t="shared" si="3"/>
        <v>0.86611111111111116</v>
      </c>
      <c r="E240" s="4" t="s">
        <v>1125</v>
      </c>
      <c r="F240" s="3" t="s">
        <v>1656</v>
      </c>
      <c r="G240" s="3" t="s">
        <v>214</v>
      </c>
      <c r="H240" s="3" t="s">
        <v>44</v>
      </c>
      <c r="I240" s="3" t="s">
        <v>33</v>
      </c>
      <c r="J240" s="3" t="s">
        <v>41</v>
      </c>
      <c r="K240" s="3" t="s">
        <v>1655</v>
      </c>
      <c r="L240" s="1">
        <v>46048.389837962961</v>
      </c>
      <c r="M240" s="1">
        <v>46048.416990740741</v>
      </c>
      <c r="N240" s="1">
        <v>46048.435034722221</v>
      </c>
      <c r="O240" s="3" t="s">
        <v>43</v>
      </c>
      <c r="P240" s="3" t="s">
        <v>1659</v>
      </c>
      <c r="Q240" s="3" t="s">
        <v>42</v>
      </c>
      <c r="R240" s="3" t="s">
        <v>1658</v>
      </c>
      <c r="S240" s="3" t="s">
        <v>144</v>
      </c>
      <c r="T240" s="3" t="s">
        <v>143</v>
      </c>
      <c r="U240" s="4" t="b">
        <v>1</v>
      </c>
      <c r="V240" s="3" t="s">
        <v>31</v>
      </c>
      <c r="W240" s="1"/>
      <c r="Y240" s="3" t="s">
        <v>32</v>
      </c>
      <c r="Z240" s="3" t="s">
        <v>32</v>
      </c>
      <c r="AA240" s="3"/>
      <c r="AB240" s="3"/>
      <c r="AC240" s="4" t="s">
        <v>30</v>
      </c>
      <c r="AD240" s="3"/>
      <c r="AE240" s="3" t="s">
        <v>1659</v>
      </c>
      <c r="AF240" s="4" t="s">
        <v>30</v>
      </c>
      <c r="AH240" s="4">
        <v>1</v>
      </c>
      <c r="AI240" s="3" t="s">
        <v>1654</v>
      </c>
      <c r="AJ240" s="4" t="s">
        <v>1657</v>
      </c>
      <c r="AK240" s="4"/>
      <c r="AL240" s="3"/>
    </row>
    <row r="241" spans="1:38" x14ac:dyDescent="0.35">
      <c r="A241" s="3" t="s">
        <v>1660</v>
      </c>
      <c r="B241" s="4" t="s">
        <v>1665</v>
      </c>
      <c r="C241" s="4">
        <f>VLOOKUP(A241, [1]Planilha1!$A$3:$B$1015,2,FALSE)</f>
        <v>2628</v>
      </c>
      <c r="D241" s="4">
        <f t="shared" si="3"/>
        <v>0.73</v>
      </c>
      <c r="E241" s="4" t="s">
        <v>1125</v>
      </c>
      <c r="F241" s="3" t="s">
        <v>1662</v>
      </c>
      <c r="G241" s="3" t="s">
        <v>44</v>
      </c>
      <c r="H241" s="3" t="s">
        <v>44</v>
      </c>
      <c r="I241" s="3" t="s">
        <v>33</v>
      </c>
      <c r="J241" s="3" t="s">
        <v>41</v>
      </c>
      <c r="K241" s="3" t="s">
        <v>818</v>
      </c>
      <c r="L241" s="1">
        <v>46048.385057870371</v>
      </c>
      <c r="M241" s="1">
        <v>46048.388287037036</v>
      </c>
      <c r="N241" s="1">
        <v>46051.416666666664</v>
      </c>
      <c r="O241" s="3" t="s">
        <v>43</v>
      </c>
      <c r="P241" s="3" t="s">
        <v>1665</v>
      </c>
      <c r="Q241" s="3" t="s">
        <v>35</v>
      </c>
      <c r="R241" s="3" t="s">
        <v>1664</v>
      </c>
      <c r="S241" s="3" t="s">
        <v>96</v>
      </c>
      <c r="T241" s="3" t="s">
        <v>95</v>
      </c>
      <c r="U241" s="4" t="b">
        <v>1</v>
      </c>
      <c r="V241" s="3" t="s">
        <v>31</v>
      </c>
      <c r="W241" s="1"/>
      <c r="Y241" s="3" t="s">
        <v>32</v>
      </c>
      <c r="Z241" s="3" t="s">
        <v>32</v>
      </c>
      <c r="AA241" s="3"/>
      <c r="AB241" s="3"/>
      <c r="AC241" s="4" t="s">
        <v>30</v>
      </c>
      <c r="AD241" s="3"/>
      <c r="AE241" s="3" t="s">
        <v>1665</v>
      </c>
      <c r="AF241" s="4" t="s">
        <v>30</v>
      </c>
      <c r="AH241" s="4">
        <v>1</v>
      </c>
      <c r="AI241" s="3" t="s">
        <v>1661</v>
      </c>
      <c r="AJ241" s="4" t="s">
        <v>1663</v>
      </c>
      <c r="AK241" s="4"/>
      <c r="AL241" s="3"/>
    </row>
    <row r="242" spans="1:38" x14ac:dyDescent="0.35">
      <c r="A242" s="3" t="s">
        <v>1666</v>
      </c>
      <c r="B242" s="4" t="s">
        <v>1672</v>
      </c>
      <c r="C242" s="4">
        <f>VLOOKUP(A242, [1]Planilha1!$A$3:$B$1015,2,FALSE)</f>
        <v>2850</v>
      </c>
      <c r="D242" s="4">
        <f t="shared" si="3"/>
        <v>0.79166666666666663</v>
      </c>
      <c r="E242" s="4" t="s">
        <v>1125</v>
      </c>
      <c r="F242" s="3" t="s">
        <v>1669</v>
      </c>
      <c r="G242" s="3" t="s">
        <v>44</v>
      </c>
      <c r="H242" s="3" t="s">
        <v>44</v>
      </c>
      <c r="I242" s="3" t="s">
        <v>33</v>
      </c>
      <c r="J242" s="3" t="s">
        <v>41</v>
      </c>
      <c r="K242" s="3" t="s">
        <v>1668</v>
      </c>
      <c r="L242" s="1">
        <v>46048.382002314815</v>
      </c>
      <c r="M242" s="1">
        <v>46048.388368055559</v>
      </c>
      <c r="N242" s="1">
        <v>46051.416666666664</v>
      </c>
      <c r="O242" s="3" t="s">
        <v>43</v>
      </c>
      <c r="P242" s="3" t="s">
        <v>1672</v>
      </c>
      <c r="Q242" s="3" t="s">
        <v>35</v>
      </c>
      <c r="R242" s="3" t="s">
        <v>1671</v>
      </c>
      <c r="S242" s="3" t="s">
        <v>96</v>
      </c>
      <c r="T242" s="3" t="s">
        <v>95</v>
      </c>
      <c r="U242" s="4" t="b">
        <v>1</v>
      </c>
      <c r="V242" s="3" t="s">
        <v>31</v>
      </c>
      <c r="W242" s="1"/>
      <c r="Y242" s="3" t="s">
        <v>32</v>
      </c>
      <c r="Z242" s="3" t="s">
        <v>32</v>
      </c>
      <c r="AA242" s="3"/>
      <c r="AB242" s="3"/>
      <c r="AC242" s="4" t="s">
        <v>30</v>
      </c>
      <c r="AD242" s="3"/>
      <c r="AE242" s="3" t="s">
        <v>1672</v>
      </c>
      <c r="AF242" s="4" t="s">
        <v>30</v>
      </c>
      <c r="AH242" s="4">
        <v>1</v>
      </c>
      <c r="AI242" s="3" t="s">
        <v>1667</v>
      </c>
      <c r="AJ242" s="4" t="s">
        <v>1670</v>
      </c>
      <c r="AK242" s="4"/>
      <c r="AL242" s="3"/>
    </row>
    <row r="243" spans="1:38" x14ac:dyDescent="0.35">
      <c r="A243" s="3" t="s">
        <v>1673</v>
      </c>
      <c r="B243" s="4" t="s">
        <v>1677</v>
      </c>
      <c r="C243" s="4">
        <f>VLOOKUP(A243, [1]Planilha1!$A$3:$B$1015,2,FALSE)</f>
        <v>31462</v>
      </c>
      <c r="D243" s="4">
        <f t="shared" si="3"/>
        <v>8.7394444444444446</v>
      </c>
      <c r="E243" s="4" t="s">
        <v>1125</v>
      </c>
      <c r="F243" s="3" t="s">
        <v>1676</v>
      </c>
      <c r="G243" s="3" t="s">
        <v>1674</v>
      </c>
      <c r="H243" s="3" t="s">
        <v>428</v>
      </c>
      <c r="I243" s="3" t="s">
        <v>33</v>
      </c>
      <c r="J243" s="3" t="s">
        <v>41</v>
      </c>
      <c r="L243" s="1">
        <v>46048.377280092594</v>
      </c>
      <c r="M243" s="1">
        <v>46048.399027777778</v>
      </c>
      <c r="N243" s="1">
        <v>46048.581099537034</v>
      </c>
      <c r="O243" s="3" t="s">
        <v>427</v>
      </c>
      <c r="P243" s="3" t="s">
        <v>1677</v>
      </c>
      <c r="Q243" s="3" t="s">
        <v>42</v>
      </c>
      <c r="R243" s="3" t="s">
        <v>849</v>
      </c>
      <c r="S243" s="3" t="s">
        <v>1248</v>
      </c>
      <c r="T243" s="3" t="s">
        <v>1247</v>
      </c>
      <c r="U243" s="4" t="b">
        <v>1</v>
      </c>
      <c r="V243" s="3" t="s">
        <v>31</v>
      </c>
      <c r="W243" s="1"/>
      <c r="Y243" s="3" t="s">
        <v>32</v>
      </c>
      <c r="Z243" s="3" t="s">
        <v>32</v>
      </c>
      <c r="AA243" s="3"/>
      <c r="AB243" s="3"/>
      <c r="AC243" s="4" t="s">
        <v>30</v>
      </c>
      <c r="AD243" s="3"/>
      <c r="AE243" s="3" t="s">
        <v>1677</v>
      </c>
      <c r="AF243" s="4" t="s">
        <v>30</v>
      </c>
      <c r="AH243" s="4">
        <v>2</v>
      </c>
      <c r="AI243" s="3" t="s">
        <v>1675</v>
      </c>
      <c r="AJ243" s="4" t="s">
        <v>5847</v>
      </c>
      <c r="AK243" s="4"/>
      <c r="AL243" s="3"/>
    </row>
    <row r="244" spans="1:38" x14ac:dyDescent="0.35">
      <c r="A244" s="3" t="s">
        <v>1678</v>
      </c>
      <c r="B244" s="4" t="s">
        <v>1684</v>
      </c>
      <c r="C244" s="4">
        <f>VLOOKUP(A244, [1]Planilha1!$A$3:$B$1015,2,FALSE)</f>
        <v>27905</v>
      </c>
      <c r="D244" s="4">
        <f t="shared" si="3"/>
        <v>7.7513888888888891</v>
      </c>
      <c r="E244" s="4" t="s">
        <v>1125</v>
      </c>
      <c r="F244" s="3" t="s">
        <v>1682</v>
      </c>
      <c r="G244" s="3" t="s">
        <v>1679</v>
      </c>
      <c r="H244" s="3" t="s">
        <v>171</v>
      </c>
      <c r="I244" s="3" t="s">
        <v>33</v>
      </c>
      <c r="J244" s="3" t="s">
        <v>41</v>
      </c>
      <c r="K244" s="3" t="s">
        <v>1681</v>
      </c>
      <c r="L244" s="1">
        <v>46048.374756944446</v>
      </c>
      <c r="M244" s="1">
        <v>46048.374756944446</v>
      </c>
      <c r="N244" s="1">
        <v>46048.536365740743</v>
      </c>
      <c r="O244" s="3" t="s">
        <v>170</v>
      </c>
      <c r="P244" s="3" t="s">
        <v>1684</v>
      </c>
      <c r="Q244" s="3" t="s">
        <v>42</v>
      </c>
      <c r="R244" s="3" t="s">
        <v>1683</v>
      </c>
      <c r="S244" s="3" t="s">
        <v>37</v>
      </c>
      <c r="T244" s="3" t="s">
        <v>36</v>
      </c>
      <c r="U244" s="4" t="b">
        <v>1</v>
      </c>
      <c r="V244" s="3" t="s">
        <v>28</v>
      </c>
      <c r="W244" s="1"/>
      <c r="Y244" s="3" t="s">
        <v>29</v>
      </c>
      <c r="Z244" s="3" t="s">
        <v>29</v>
      </c>
      <c r="AA244" s="3"/>
      <c r="AB244" s="3"/>
      <c r="AC244" s="4" t="s">
        <v>30</v>
      </c>
      <c r="AD244" s="3"/>
      <c r="AE244" s="3" t="s">
        <v>1684</v>
      </c>
      <c r="AF244" s="4" t="s">
        <v>30</v>
      </c>
      <c r="AH244" s="4">
        <v>1</v>
      </c>
      <c r="AI244" s="3" t="s">
        <v>1680</v>
      </c>
      <c r="AJ244" s="4" t="s">
        <v>5848</v>
      </c>
      <c r="AK244" s="4"/>
      <c r="AL244" s="3"/>
    </row>
    <row r="245" spans="1:38" x14ac:dyDescent="0.35">
      <c r="A245" s="3" t="s">
        <v>1689</v>
      </c>
      <c r="B245" s="4" t="s">
        <v>1695</v>
      </c>
      <c r="C245" s="4">
        <f>VLOOKUP(A245, [1]Planilha1!$A$3:$B$1015,2,FALSE)</f>
        <v>0</v>
      </c>
      <c r="D245" s="4">
        <f t="shared" si="3"/>
        <v>0</v>
      </c>
      <c r="E245" s="4" t="s">
        <v>1125</v>
      </c>
      <c r="F245" s="3" t="s">
        <v>1692</v>
      </c>
      <c r="G245" s="3" t="s">
        <v>239</v>
      </c>
      <c r="H245" s="3" t="s">
        <v>243</v>
      </c>
      <c r="I245" s="3" t="s">
        <v>33</v>
      </c>
      <c r="J245" s="3" t="s">
        <v>60</v>
      </c>
      <c r="K245" s="3" t="s">
        <v>1691</v>
      </c>
      <c r="L245" s="1">
        <v>46048.36482638889</v>
      </c>
      <c r="M245" s="1">
        <v>46048.378831018519</v>
      </c>
      <c r="N245" s="1">
        <v>46051.416666666664</v>
      </c>
      <c r="O245" s="3" t="s">
        <v>242</v>
      </c>
      <c r="P245" s="3" t="s">
        <v>1695</v>
      </c>
      <c r="Q245" s="3" t="s">
        <v>35</v>
      </c>
      <c r="R245" s="3" t="s">
        <v>1694</v>
      </c>
      <c r="S245" s="3" t="s">
        <v>144</v>
      </c>
      <c r="T245" s="3" t="s">
        <v>143</v>
      </c>
      <c r="U245" s="4" t="b">
        <v>1</v>
      </c>
      <c r="V245" s="3" t="s">
        <v>31</v>
      </c>
      <c r="W245" s="1"/>
      <c r="Y245" s="3" t="s">
        <v>32</v>
      </c>
      <c r="Z245" s="3" t="s">
        <v>32</v>
      </c>
      <c r="AA245" s="3"/>
      <c r="AB245" s="3"/>
      <c r="AC245" s="4" t="s">
        <v>30</v>
      </c>
      <c r="AD245" s="3"/>
      <c r="AE245" s="3" t="s">
        <v>1695</v>
      </c>
      <c r="AF245" s="4" t="s">
        <v>30</v>
      </c>
      <c r="AH245" s="4">
        <v>0</v>
      </c>
      <c r="AI245" s="3" t="s">
        <v>1690</v>
      </c>
      <c r="AJ245" s="4" t="s">
        <v>1693</v>
      </c>
      <c r="AK245" s="4"/>
      <c r="AL245" s="3"/>
    </row>
    <row r="246" spans="1:38" x14ac:dyDescent="0.35">
      <c r="A246" s="3" t="s">
        <v>1696</v>
      </c>
      <c r="B246" s="4" t="s">
        <v>1703</v>
      </c>
      <c r="C246" s="4">
        <f>VLOOKUP(A246, [1]Planilha1!$A$3:$B$1015,2,FALSE)</f>
        <v>30900</v>
      </c>
      <c r="D246" s="4">
        <f t="shared" si="3"/>
        <v>8.5833333333333339</v>
      </c>
      <c r="E246" s="4" t="s">
        <v>1125</v>
      </c>
      <c r="F246" s="3" t="s">
        <v>1700</v>
      </c>
      <c r="G246" s="3" t="s">
        <v>1697</v>
      </c>
      <c r="H246" s="3" t="s">
        <v>171</v>
      </c>
      <c r="I246" s="3" t="s">
        <v>33</v>
      </c>
      <c r="J246" s="3" t="s">
        <v>41</v>
      </c>
      <c r="K246" s="3" t="s">
        <v>1699</v>
      </c>
      <c r="L246" s="1">
        <v>46045.731782407405</v>
      </c>
      <c r="M246" s="1">
        <v>46045.731782407405</v>
      </c>
      <c r="N246" s="1">
        <v>46048.434328703705</v>
      </c>
      <c r="O246" s="3" t="s">
        <v>170</v>
      </c>
      <c r="P246" s="3" t="s">
        <v>1703</v>
      </c>
      <c r="Q246" s="3" t="s">
        <v>42</v>
      </c>
      <c r="R246" s="3" t="s">
        <v>1702</v>
      </c>
      <c r="S246" s="3" t="s">
        <v>37</v>
      </c>
      <c r="T246" s="3" t="s">
        <v>36</v>
      </c>
      <c r="U246" s="4" t="b">
        <v>1</v>
      </c>
      <c r="V246" s="3" t="s">
        <v>28</v>
      </c>
      <c r="W246" s="1"/>
      <c r="Y246" s="3" t="s">
        <v>29</v>
      </c>
      <c r="Z246" s="3" t="s">
        <v>29</v>
      </c>
      <c r="AA246" s="3"/>
      <c r="AB246" s="3"/>
      <c r="AC246" s="4" t="s">
        <v>30</v>
      </c>
      <c r="AD246" s="3"/>
      <c r="AE246" s="3" t="s">
        <v>1703</v>
      </c>
      <c r="AF246" s="4" t="s">
        <v>30</v>
      </c>
      <c r="AH246" s="4">
        <v>1</v>
      </c>
      <c r="AI246" s="3" t="s">
        <v>1698</v>
      </c>
      <c r="AJ246" s="4" t="s">
        <v>1701</v>
      </c>
      <c r="AK246" s="4"/>
      <c r="AL246" s="3"/>
    </row>
    <row r="247" spans="1:38" x14ac:dyDescent="0.35">
      <c r="A247" s="3" t="s">
        <v>1708</v>
      </c>
      <c r="B247" s="4" t="s">
        <v>1714</v>
      </c>
      <c r="C247" s="4">
        <f>VLOOKUP(A247, [1]Planilha1!$A$3:$B$1015,2,FALSE)</f>
        <v>16870</v>
      </c>
      <c r="D247" s="4">
        <f t="shared" si="3"/>
        <v>4.6861111111111109</v>
      </c>
      <c r="E247" s="4" t="s">
        <v>1125</v>
      </c>
      <c r="F247" s="3" t="s">
        <v>1711</v>
      </c>
      <c r="G247" s="3" t="s">
        <v>1709</v>
      </c>
      <c r="H247" s="3" t="s">
        <v>171</v>
      </c>
      <c r="I247" s="3" t="s">
        <v>33</v>
      </c>
      <c r="J247" s="3" t="s">
        <v>41</v>
      </c>
      <c r="L247" s="1">
        <v>46045.702847222223</v>
      </c>
      <c r="M247" s="1">
        <v>46045.702847222223</v>
      </c>
      <c r="N247" s="1">
        <v>46048.350949074076</v>
      </c>
      <c r="O247" s="3" t="s">
        <v>170</v>
      </c>
      <c r="P247" s="3" t="s">
        <v>1714</v>
      </c>
      <c r="Q247" s="3" t="s">
        <v>42</v>
      </c>
      <c r="R247" s="3" t="s">
        <v>1713</v>
      </c>
      <c r="S247" s="3" t="s">
        <v>37</v>
      </c>
      <c r="T247" s="3" t="s">
        <v>36</v>
      </c>
      <c r="U247" s="4" t="b">
        <v>1</v>
      </c>
      <c r="V247" s="3" t="s">
        <v>28</v>
      </c>
      <c r="W247" s="1"/>
      <c r="Y247" s="3" t="s">
        <v>29</v>
      </c>
      <c r="Z247" s="3" t="s">
        <v>29</v>
      </c>
      <c r="AA247" s="3"/>
      <c r="AB247" s="3"/>
      <c r="AC247" s="4" t="s">
        <v>30</v>
      </c>
      <c r="AD247" s="3"/>
      <c r="AE247" s="3" t="s">
        <v>1714</v>
      </c>
      <c r="AF247" s="4" t="s">
        <v>30</v>
      </c>
      <c r="AH247" s="4">
        <v>1</v>
      </c>
      <c r="AI247" s="3" t="s">
        <v>1710</v>
      </c>
      <c r="AJ247" s="4" t="s">
        <v>1712</v>
      </c>
      <c r="AK247" s="4"/>
      <c r="AL247" s="3"/>
    </row>
    <row r="248" spans="1:38" x14ac:dyDescent="0.35">
      <c r="A248" s="3" t="s">
        <v>1715</v>
      </c>
      <c r="B248" s="4" t="s">
        <v>1721</v>
      </c>
      <c r="C248" s="4">
        <f>VLOOKUP(A248, [1]Planilha1!$A$3:$B$1015,2,FALSE)</f>
        <v>13746</v>
      </c>
      <c r="D248" s="4">
        <f t="shared" si="3"/>
        <v>3.8183333333333334</v>
      </c>
      <c r="E248" s="4" t="s">
        <v>1125</v>
      </c>
      <c r="F248" s="3" t="s">
        <v>1718</v>
      </c>
      <c r="G248" s="3" t="s">
        <v>74</v>
      </c>
      <c r="H248" s="3" t="s">
        <v>44</v>
      </c>
      <c r="I248" s="3" t="s">
        <v>33</v>
      </c>
      <c r="J248" s="3" t="s">
        <v>41</v>
      </c>
      <c r="K248" s="3" t="s">
        <v>1717</v>
      </c>
      <c r="L248" s="1">
        <v>46045.700127314813</v>
      </c>
      <c r="M248" s="1">
        <v>46045.702384259261</v>
      </c>
      <c r="N248" s="1">
        <v>46051.416666666664</v>
      </c>
      <c r="O248" s="3" t="s">
        <v>43</v>
      </c>
      <c r="P248" s="3" t="s">
        <v>1721</v>
      </c>
      <c r="Q248" s="3" t="s">
        <v>35</v>
      </c>
      <c r="R248" s="3" t="s">
        <v>1720</v>
      </c>
      <c r="S248" s="3" t="s">
        <v>80</v>
      </c>
      <c r="T248" s="3" t="s">
        <v>79</v>
      </c>
      <c r="U248" s="4" t="b">
        <v>1</v>
      </c>
      <c r="V248" s="3" t="s">
        <v>31</v>
      </c>
      <c r="W248" s="1"/>
      <c r="Y248" s="3" t="s">
        <v>32</v>
      </c>
      <c r="Z248" s="3" t="s">
        <v>32</v>
      </c>
      <c r="AA248" s="3"/>
      <c r="AB248" s="3"/>
      <c r="AC248" s="4" t="s">
        <v>30</v>
      </c>
      <c r="AD248" s="3"/>
      <c r="AE248" s="3" t="s">
        <v>1721</v>
      </c>
      <c r="AF248" s="4" t="s">
        <v>30</v>
      </c>
      <c r="AH248" s="4">
        <v>3</v>
      </c>
      <c r="AI248" s="3" t="s">
        <v>1716</v>
      </c>
      <c r="AJ248" s="4" t="s">
        <v>1719</v>
      </c>
      <c r="AK248" s="4"/>
      <c r="AL248" s="3"/>
    </row>
    <row r="249" spans="1:38" x14ac:dyDescent="0.35">
      <c r="A249" s="3" t="s">
        <v>1722</v>
      </c>
      <c r="B249" s="4" t="s">
        <v>1729</v>
      </c>
      <c r="C249" s="4">
        <f>VLOOKUP(A249, [1]Planilha1!$A$3:$B$1015,2,FALSE)</f>
        <v>20356</v>
      </c>
      <c r="D249" s="4">
        <f t="shared" si="3"/>
        <v>5.6544444444444446</v>
      </c>
      <c r="E249" s="4" t="s">
        <v>1125</v>
      </c>
      <c r="F249" s="3" t="s">
        <v>1726</v>
      </c>
      <c r="G249" s="3" t="s">
        <v>1723</v>
      </c>
      <c r="H249" s="3" t="s">
        <v>224</v>
      </c>
      <c r="I249" s="3" t="s">
        <v>33</v>
      </c>
      <c r="J249" s="3" t="s">
        <v>41</v>
      </c>
      <c r="K249" s="3" t="s">
        <v>1725</v>
      </c>
      <c r="L249" s="1">
        <v>46045.687002314815</v>
      </c>
      <c r="M249" s="1">
        <v>46045.687002314815</v>
      </c>
      <c r="N249" s="1">
        <v>46048.359606481485</v>
      </c>
      <c r="O249" s="3" t="s">
        <v>223</v>
      </c>
      <c r="P249" s="3" t="s">
        <v>1729</v>
      </c>
      <c r="Q249" s="3" t="s">
        <v>35</v>
      </c>
      <c r="R249" s="3" t="s">
        <v>1728</v>
      </c>
      <c r="S249" s="3" t="s">
        <v>37</v>
      </c>
      <c r="T249" s="3" t="s">
        <v>36</v>
      </c>
      <c r="U249" s="4" t="b">
        <v>1</v>
      </c>
      <c r="V249" s="3" t="s">
        <v>28</v>
      </c>
      <c r="W249" s="1"/>
      <c r="Y249" s="3" t="s">
        <v>29</v>
      </c>
      <c r="Z249" s="3" t="s">
        <v>29</v>
      </c>
      <c r="AA249" s="3"/>
      <c r="AB249" s="3"/>
      <c r="AC249" s="4" t="s">
        <v>30</v>
      </c>
      <c r="AD249" s="3"/>
      <c r="AE249" s="3" t="s">
        <v>1729</v>
      </c>
      <c r="AF249" s="4" t="s">
        <v>30</v>
      </c>
      <c r="AH249" s="4">
        <v>1</v>
      </c>
      <c r="AI249" s="3" t="s">
        <v>1724</v>
      </c>
      <c r="AJ249" s="4" t="s">
        <v>1727</v>
      </c>
      <c r="AK249" s="4"/>
      <c r="AL249" s="3"/>
    </row>
    <row r="250" spans="1:38" x14ac:dyDescent="0.35">
      <c r="A250" s="3" t="s">
        <v>1730</v>
      </c>
      <c r="B250" s="4" t="s">
        <v>1736</v>
      </c>
      <c r="C250" s="4">
        <f>VLOOKUP(A250, [1]Planilha1!$A$3:$B$1015,2,FALSE)</f>
        <v>20795</v>
      </c>
      <c r="D250" s="4">
        <f t="shared" si="3"/>
        <v>5.7763888888888886</v>
      </c>
      <c r="E250" s="4" t="s">
        <v>1125</v>
      </c>
      <c r="F250" s="3" t="s">
        <v>1733</v>
      </c>
      <c r="G250" s="3" t="s">
        <v>1731</v>
      </c>
      <c r="H250" s="3" t="s">
        <v>224</v>
      </c>
      <c r="I250" s="3" t="s">
        <v>33</v>
      </c>
      <c r="J250" s="3" t="s">
        <v>41</v>
      </c>
      <c r="L250" s="1">
        <v>46045.681631944448</v>
      </c>
      <c r="M250" s="1">
        <v>46045.681631944448</v>
      </c>
      <c r="N250" s="1">
        <v>46048.353946759256</v>
      </c>
      <c r="O250" s="3" t="s">
        <v>223</v>
      </c>
      <c r="P250" s="3" t="s">
        <v>1736</v>
      </c>
      <c r="Q250" s="3" t="s">
        <v>42</v>
      </c>
      <c r="R250" s="3" t="s">
        <v>1735</v>
      </c>
      <c r="S250" s="3" t="s">
        <v>37</v>
      </c>
      <c r="T250" s="3" t="s">
        <v>36</v>
      </c>
      <c r="U250" s="4" t="b">
        <v>1</v>
      </c>
      <c r="V250" s="3" t="s">
        <v>28</v>
      </c>
      <c r="W250" s="1"/>
      <c r="Y250" s="3" t="s">
        <v>29</v>
      </c>
      <c r="Z250" s="3" t="s">
        <v>29</v>
      </c>
      <c r="AA250" s="3"/>
      <c r="AB250" s="3"/>
      <c r="AC250" s="4" t="s">
        <v>30</v>
      </c>
      <c r="AD250" s="3"/>
      <c r="AE250" s="3" t="s">
        <v>1736</v>
      </c>
      <c r="AF250" s="4" t="s">
        <v>30</v>
      </c>
      <c r="AH250" s="4">
        <v>1</v>
      </c>
      <c r="AI250" s="3" t="s">
        <v>1732</v>
      </c>
      <c r="AJ250" s="4" t="s">
        <v>1734</v>
      </c>
      <c r="AK250" s="4"/>
      <c r="AL250" s="3"/>
    </row>
    <row r="251" spans="1:38" x14ac:dyDescent="0.35">
      <c r="A251" s="3" t="s">
        <v>1737</v>
      </c>
      <c r="B251" s="4" t="s">
        <v>1743</v>
      </c>
      <c r="C251" s="4">
        <f>VLOOKUP(A251, [1]Planilha1!$A$3:$B$1015,2,FALSE)</f>
        <v>0</v>
      </c>
      <c r="D251" s="4">
        <f t="shared" si="3"/>
        <v>0</v>
      </c>
      <c r="E251" s="4" t="s">
        <v>1125</v>
      </c>
      <c r="F251" s="3" t="s">
        <v>1741</v>
      </c>
      <c r="G251" s="3" t="s">
        <v>1738</v>
      </c>
      <c r="H251" s="3" t="s">
        <v>44</v>
      </c>
      <c r="I251" s="3" t="s">
        <v>33</v>
      </c>
      <c r="J251" s="3" t="s">
        <v>60</v>
      </c>
      <c r="K251" s="3" t="s">
        <v>1740</v>
      </c>
      <c r="L251" s="1">
        <v>46045.677777777775</v>
      </c>
      <c r="M251" s="1">
        <v>46045.700150462966</v>
      </c>
      <c r="N251" s="1">
        <v>46048.708333333336</v>
      </c>
      <c r="O251" s="3" t="s">
        <v>43</v>
      </c>
      <c r="P251" s="3" t="s">
        <v>1743</v>
      </c>
      <c r="Q251" s="3" t="s">
        <v>42</v>
      </c>
      <c r="R251" s="3" t="s">
        <v>1742</v>
      </c>
      <c r="S251" s="3" t="s">
        <v>120</v>
      </c>
      <c r="T251" s="3" t="s">
        <v>119</v>
      </c>
      <c r="U251" s="4" t="b">
        <v>1</v>
      </c>
      <c r="V251" s="3" t="s">
        <v>31</v>
      </c>
      <c r="W251" s="1"/>
      <c r="Y251" s="3" t="s">
        <v>32</v>
      </c>
      <c r="Z251" s="3" t="s">
        <v>32</v>
      </c>
      <c r="AA251" s="3"/>
      <c r="AB251" s="3"/>
      <c r="AC251" s="4" t="s">
        <v>30</v>
      </c>
      <c r="AD251" s="3"/>
      <c r="AE251" s="3" t="s">
        <v>1743</v>
      </c>
      <c r="AF251" s="4" t="s">
        <v>30</v>
      </c>
      <c r="AH251" s="4">
        <v>0</v>
      </c>
      <c r="AI251" s="3" t="s">
        <v>1739</v>
      </c>
      <c r="AJ251" s="4" t="s">
        <v>1742</v>
      </c>
      <c r="AK251" s="4"/>
      <c r="AL251" s="3"/>
    </row>
    <row r="252" spans="1:38" x14ac:dyDescent="0.35">
      <c r="A252" s="3" t="s">
        <v>1748</v>
      </c>
      <c r="B252" s="4" t="s">
        <v>1747</v>
      </c>
      <c r="C252" s="4">
        <f>VLOOKUP(A252, [1]Planilha1!$A$3:$B$1015,2,FALSE)</f>
        <v>1228</v>
      </c>
      <c r="D252" s="4">
        <f t="shared" si="3"/>
        <v>0.34111111111111109</v>
      </c>
      <c r="E252" s="4" t="s">
        <v>1125</v>
      </c>
      <c r="F252" s="3" t="s">
        <v>1744</v>
      </c>
      <c r="G252" s="3" t="s">
        <v>1749</v>
      </c>
      <c r="H252" s="3" t="s">
        <v>171</v>
      </c>
      <c r="I252" s="3" t="s">
        <v>33</v>
      </c>
      <c r="J252" s="3" t="s">
        <v>60</v>
      </c>
      <c r="K252" s="3" t="s">
        <v>1751</v>
      </c>
      <c r="L252" s="1">
        <v>46045.657025462962</v>
      </c>
      <c r="M252" s="1">
        <v>46045.657025462962</v>
      </c>
      <c r="N252" s="1">
        <v>46048.666666666664</v>
      </c>
      <c r="O252" s="3" t="s">
        <v>170</v>
      </c>
      <c r="P252" s="3" t="s">
        <v>1747</v>
      </c>
      <c r="Q252" s="3" t="s">
        <v>35</v>
      </c>
      <c r="R252" s="3" t="s">
        <v>1746</v>
      </c>
      <c r="S252" s="3" t="s">
        <v>37</v>
      </c>
      <c r="T252" s="3" t="s">
        <v>36</v>
      </c>
      <c r="U252" s="4" t="b">
        <v>1</v>
      </c>
      <c r="V252" s="3" t="s">
        <v>28</v>
      </c>
      <c r="W252" s="1"/>
      <c r="Y252" s="3" t="s">
        <v>29</v>
      </c>
      <c r="Z252" s="3" t="s">
        <v>29</v>
      </c>
      <c r="AA252" s="3"/>
      <c r="AB252" s="3"/>
      <c r="AC252" s="4" t="s">
        <v>30</v>
      </c>
      <c r="AD252" s="3"/>
      <c r="AE252" s="3" t="s">
        <v>1747</v>
      </c>
      <c r="AF252" s="4" t="s">
        <v>30</v>
      </c>
      <c r="AH252" s="4">
        <v>0</v>
      </c>
      <c r="AI252" s="3" t="s">
        <v>1750</v>
      </c>
      <c r="AJ252" s="4" t="s">
        <v>1745</v>
      </c>
      <c r="AK252" s="4"/>
      <c r="AL252" s="3"/>
    </row>
    <row r="253" spans="1:38" x14ac:dyDescent="0.35">
      <c r="A253" s="3" t="s">
        <v>1752</v>
      </c>
      <c r="B253" s="4" t="s">
        <v>58</v>
      </c>
      <c r="C253" s="4">
        <f>VLOOKUP(A253, [1]Planilha1!$A$3:$B$1015,2,FALSE)</f>
        <v>17722</v>
      </c>
      <c r="D253" s="4">
        <f t="shared" si="3"/>
        <v>4.9227777777777781</v>
      </c>
      <c r="E253" s="4" t="s">
        <v>1125</v>
      </c>
      <c r="F253" s="3" t="s">
        <v>54</v>
      </c>
      <c r="G253" s="3" t="s">
        <v>1753</v>
      </c>
      <c r="H253" s="3" t="s">
        <v>455</v>
      </c>
      <c r="I253" s="3" t="s">
        <v>33</v>
      </c>
      <c r="J253" s="3" t="s">
        <v>152</v>
      </c>
      <c r="L253" s="1">
        <v>46045.654247685183</v>
      </c>
      <c r="M253" s="1">
        <v>46045.658680555556</v>
      </c>
      <c r="N253" s="1">
        <v>46051.526134259257</v>
      </c>
      <c r="O253" s="3" t="s">
        <v>1755</v>
      </c>
      <c r="P253" s="3" t="s">
        <v>57</v>
      </c>
      <c r="Q253" s="3" t="s">
        <v>52</v>
      </c>
      <c r="R253" s="3" t="s">
        <v>56</v>
      </c>
      <c r="S253" s="3" t="s">
        <v>64</v>
      </c>
      <c r="T253" s="3" t="s">
        <v>63</v>
      </c>
      <c r="U253" s="4" t="b">
        <v>0</v>
      </c>
      <c r="V253" s="3" t="s">
        <v>28</v>
      </c>
      <c r="W253" s="1"/>
      <c r="Y253" s="3" t="s">
        <v>29</v>
      </c>
      <c r="Z253" s="3" t="s">
        <v>29</v>
      </c>
      <c r="AA253" s="3" t="s">
        <v>196</v>
      </c>
      <c r="AB253" s="3" t="s">
        <v>58</v>
      </c>
      <c r="AC253" s="4" t="s">
        <v>30</v>
      </c>
      <c r="AD253" s="3" t="s">
        <v>59</v>
      </c>
      <c r="AE253" s="3" t="s">
        <v>57</v>
      </c>
      <c r="AF253" s="4" t="s">
        <v>30</v>
      </c>
      <c r="AH253" s="4">
        <v>2</v>
      </c>
      <c r="AI253" s="3" t="s">
        <v>1754</v>
      </c>
      <c r="AJ253" s="4" t="s">
        <v>55</v>
      </c>
      <c r="AK253" s="4" t="s">
        <v>197</v>
      </c>
      <c r="AL253" s="3"/>
    </row>
    <row r="254" spans="1:38" x14ac:dyDescent="0.35">
      <c r="A254" s="3" t="s">
        <v>1756</v>
      </c>
      <c r="B254" s="4" t="s">
        <v>1762</v>
      </c>
      <c r="C254" s="4">
        <f>VLOOKUP(A254, [1]Planilha1!$A$3:$B$1015,2,FALSE)</f>
        <v>25979</v>
      </c>
      <c r="D254" s="4">
        <f t="shared" si="3"/>
        <v>7.216388888888889</v>
      </c>
      <c r="E254" s="4" t="s">
        <v>1125</v>
      </c>
      <c r="F254" s="3" t="s">
        <v>1760</v>
      </c>
      <c r="G254" s="3" t="s">
        <v>1757</v>
      </c>
      <c r="H254" s="3" t="s">
        <v>171</v>
      </c>
      <c r="I254" s="3" t="s">
        <v>33</v>
      </c>
      <c r="J254" s="3" t="s">
        <v>41</v>
      </c>
      <c r="K254" s="3" t="s">
        <v>1759</v>
      </c>
      <c r="L254" s="1">
        <v>46045.646689814814</v>
      </c>
      <c r="M254" s="1">
        <v>46045.646689814814</v>
      </c>
      <c r="N254" s="1">
        <v>46048.3440625</v>
      </c>
      <c r="O254" s="3" t="s">
        <v>170</v>
      </c>
      <c r="P254" s="3" t="s">
        <v>1762</v>
      </c>
      <c r="Q254" s="3" t="s">
        <v>42</v>
      </c>
      <c r="R254" s="3" t="s">
        <v>1761</v>
      </c>
      <c r="S254" s="3" t="s">
        <v>37</v>
      </c>
      <c r="T254" s="3" t="s">
        <v>36</v>
      </c>
      <c r="U254" s="4" t="b">
        <v>1</v>
      </c>
      <c r="V254" s="3" t="s">
        <v>28</v>
      </c>
      <c r="W254" s="1"/>
      <c r="Y254" s="3" t="s">
        <v>29</v>
      </c>
      <c r="Z254" s="3" t="s">
        <v>29</v>
      </c>
      <c r="AA254" s="3"/>
      <c r="AB254" s="3"/>
      <c r="AC254" s="4" t="s">
        <v>30</v>
      </c>
      <c r="AD254" s="3"/>
      <c r="AE254" s="3" t="s">
        <v>1762</v>
      </c>
      <c r="AF254" s="4" t="s">
        <v>30</v>
      </c>
      <c r="AH254" s="4">
        <v>1</v>
      </c>
      <c r="AI254" s="3" t="s">
        <v>1758</v>
      </c>
      <c r="AJ254" s="4" t="s">
        <v>5849</v>
      </c>
      <c r="AK254" s="4"/>
      <c r="AL254" s="3"/>
    </row>
    <row r="255" spans="1:38" x14ac:dyDescent="0.35">
      <c r="A255" s="3" t="s">
        <v>1763</v>
      </c>
      <c r="B255" s="4" t="s">
        <v>1769</v>
      </c>
      <c r="C255" s="4">
        <f>VLOOKUP(A255, [1]Planilha1!$A$3:$B$1015,2,FALSE)</f>
        <v>26874</v>
      </c>
      <c r="D255" s="4">
        <f t="shared" si="3"/>
        <v>7.4649999999999999</v>
      </c>
      <c r="E255" s="4" t="s">
        <v>1125</v>
      </c>
      <c r="F255" s="3" t="s">
        <v>1766</v>
      </c>
      <c r="G255" s="3" t="s">
        <v>1764</v>
      </c>
      <c r="H255" s="3" t="s">
        <v>224</v>
      </c>
      <c r="I255" s="3" t="s">
        <v>33</v>
      </c>
      <c r="J255" s="3" t="s">
        <v>41</v>
      </c>
      <c r="L255" s="1">
        <v>46045.643726851849</v>
      </c>
      <c r="M255" s="1">
        <v>46045.643726851849</v>
      </c>
      <c r="N255" s="1">
        <v>46048.348495370374</v>
      </c>
      <c r="O255" s="3" t="s">
        <v>223</v>
      </c>
      <c r="P255" s="3" t="s">
        <v>1769</v>
      </c>
      <c r="Q255" s="3" t="s">
        <v>35</v>
      </c>
      <c r="R255" s="3" t="s">
        <v>1768</v>
      </c>
      <c r="S255" s="3" t="s">
        <v>37</v>
      </c>
      <c r="T255" s="3" t="s">
        <v>36</v>
      </c>
      <c r="U255" s="4" t="b">
        <v>1</v>
      </c>
      <c r="V255" s="3" t="s">
        <v>28</v>
      </c>
      <c r="W255" s="1"/>
      <c r="Y255" s="3" t="s">
        <v>29</v>
      </c>
      <c r="Z255" s="3" t="s">
        <v>29</v>
      </c>
      <c r="AA255" s="3"/>
      <c r="AB255" s="3"/>
      <c r="AC255" s="4" t="s">
        <v>30</v>
      </c>
      <c r="AD255" s="3"/>
      <c r="AE255" s="3" t="s">
        <v>1769</v>
      </c>
      <c r="AF255" s="4" t="s">
        <v>30</v>
      </c>
      <c r="AH255" s="4">
        <v>1</v>
      </c>
      <c r="AI255" s="3" t="s">
        <v>1765</v>
      </c>
      <c r="AJ255" s="4" t="s">
        <v>1767</v>
      </c>
      <c r="AK255" s="4"/>
      <c r="AL255" s="3"/>
    </row>
    <row r="256" spans="1:38" x14ac:dyDescent="0.35">
      <c r="A256" s="3" t="s">
        <v>1770</v>
      </c>
      <c r="B256" s="4" t="s">
        <v>58</v>
      </c>
      <c r="C256" s="4">
        <f>VLOOKUP(A256, [1]Planilha1!$A$3:$B$1015,2,FALSE)</f>
        <v>11575</v>
      </c>
      <c r="D256" s="4">
        <f t="shared" si="3"/>
        <v>3.2152777777777777</v>
      </c>
      <c r="E256" s="4" t="s">
        <v>1125</v>
      </c>
      <c r="F256" s="3" t="s">
        <v>54</v>
      </c>
      <c r="G256" s="3" t="s">
        <v>1771</v>
      </c>
      <c r="H256" s="3" t="s">
        <v>455</v>
      </c>
      <c r="I256" s="3" t="s">
        <v>33</v>
      </c>
      <c r="J256" s="3" t="s">
        <v>152</v>
      </c>
      <c r="L256" s="1">
        <v>46045.642187500001</v>
      </c>
      <c r="M256" s="1">
        <v>46045.646006944444</v>
      </c>
      <c r="N256" s="1">
        <v>46048.605474537035</v>
      </c>
      <c r="O256" s="3" t="s">
        <v>1755</v>
      </c>
      <c r="P256" s="3" t="s">
        <v>57</v>
      </c>
      <c r="Q256" s="3" t="s">
        <v>52</v>
      </c>
      <c r="R256" s="3" t="s">
        <v>56</v>
      </c>
      <c r="S256" s="3" t="s">
        <v>64</v>
      </c>
      <c r="T256" s="3" t="s">
        <v>63</v>
      </c>
      <c r="U256" s="4" t="b">
        <v>0</v>
      </c>
      <c r="V256" s="3" t="s">
        <v>28</v>
      </c>
      <c r="W256" s="1"/>
      <c r="Y256" s="3" t="s">
        <v>29</v>
      </c>
      <c r="Z256" s="3" t="s">
        <v>29</v>
      </c>
      <c r="AA256" s="3" t="s">
        <v>196</v>
      </c>
      <c r="AB256" s="3" t="s">
        <v>58</v>
      </c>
      <c r="AC256" s="4" t="s">
        <v>30</v>
      </c>
      <c r="AD256" s="3" t="s">
        <v>59</v>
      </c>
      <c r="AE256" s="3" t="s">
        <v>57</v>
      </c>
      <c r="AF256" s="4" t="s">
        <v>30</v>
      </c>
      <c r="AH256" s="4">
        <v>2</v>
      </c>
      <c r="AI256" s="3" t="s">
        <v>1772</v>
      </c>
      <c r="AJ256" s="4" t="s">
        <v>55</v>
      </c>
      <c r="AK256" s="4" t="s">
        <v>197</v>
      </c>
      <c r="AL256" s="3"/>
    </row>
    <row r="257" spans="1:38" x14ac:dyDescent="0.35">
      <c r="A257" s="3" t="s">
        <v>1773</v>
      </c>
      <c r="B257" s="4" t="s">
        <v>1777</v>
      </c>
      <c r="C257" s="4">
        <f>VLOOKUP(A257, [1]Planilha1!$A$3:$B$1015,2,FALSE)</f>
        <v>23532</v>
      </c>
      <c r="D257" s="4">
        <f t="shared" si="3"/>
        <v>6.5366666666666671</v>
      </c>
      <c r="E257" s="4" t="s">
        <v>1125</v>
      </c>
      <c r="F257" s="3" t="s">
        <v>1775</v>
      </c>
      <c r="G257" s="3" t="s">
        <v>74</v>
      </c>
      <c r="H257" s="3" t="s">
        <v>44</v>
      </c>
      <c r="I257" s="3" t="s">
        <v>33</v>
      </c>
      <c r="J257" s="3" t="s">
        <v>41</v>
      </c>
      <c r="L257" s="1">
        <v>46045.641655092593</v>
      </c>
      <c r="M257" s="1">
        <v>46045.647696759261</v>
      </c>
      <c r="N257" s="1">
        <v>46048.408877314818</v>
      </c>
      <c r="O257" s="3" t="s">
        <v>43</v>
      </c>
      <c r="P257" s="3" t="s">
        <v>1777</v>
      </c>
      <c r="Q257" s="3" t="s">
        <v>42</v>
      </c>
      <c r="R257" s="3" t="s">
        <v>1776</v>
      </c>
      <c r="S257" s="3" t="s">
        <v>80</v>
      </c>
      <c r="T257" s="3" t="s">
        <v>79</v>
      </c>
      <c r="U257" s="4" t="b">
        <v>1</v>
      </c>
      <c r="V257" s="3" t="s">
        <v>31</v>
      </c>
      <c r="W257" s="1"/>
      <c r="Y257" s="3" t="s">
        <v>32</v>
      </c>
      <c r="Z257" s="3" t="s">
        <v>32</v>
      </c>
      <c r="AA257" s="3"/>
      <c r="AB257" s="3"/>
      <c r="AC257" s="4" t="s">
        <v>30</v>
      </c>
      <c r="AD257" s="3"/>
      <c r="AE257" s="3" t="s">
        <v>1777</v>
      </c>
      <c r="AF257" s="4" t="s">
        <v>30</v>
      </c>
      <c r="AH257" s="4">
        <v>3</v>
      </c>
      <c r="AI257" s="3" t="s">
        <v>1774</v>
      </c>
      <c r="AJ257" s="4"/>
      <c r="AK257" s="4"/>
      <c r="AL257" s="3"/>
    </row>
    <row r="258" spans="1:38" x14ac:dyDescent="0.35">
      <c r="A258" s="3" t="s">
        <v>1778</v>
      </c>
      <c r="B258" s="4" t="s">
        <v>1043</v>
      </c>
      <c r="C258" s="4">
        <f>VLOOKUP(A258, [1]Planilha1!$A$3:$B$1015,2,FALSE)</f>
        <v>0</v>
      </c>
      <c r="D258" s="4">
        <f t="shared" si="3"/>
        <v>0</v>
      </c>
      <c r="E258" s="4" t="s">
        <v>1125</v>
      </c>
      <c r="F258" s="3" t="s">
        <v>1040</v>
      </c>
      <c r="G258" s="3" t="s">
        <v>214</v>
      </c>
      <c r="H258" s="3" t="s">
        <v>44</v>
      </c>
      <c r="I258" s="3" t="s">
        <v>33</v>
      </c>
      <c r="J258" s="3" t="s">
        <v>60</v>
      </c>
      <c r="K258" s="3" t="s">
        <v>1780</v>
      </c>
      <c r="L258" s="1">
        <v>46045.636122685188</v>
      </c>
      <c r="M258" s="1">
        <v>46045.649351851855</v>
      </c>
      <c r="N258" s="1">
        <v>46048.666666666664</v>
      </c>
      <c r="O258" s="3" t="s">
        <v>43</v>
      </c>
      <c r="P258" s="3" t="s">
        <v>1043</v>
      </c>
      <c r="Q258" s="3" t="s">
        <v>35</v>
      </c>
      <c r="R258" s="3" t="s">
        <v>1042</v>
      </c>
      <c r="S258" s="3" t="s">
        <v>144</v>
      </c>
      <c r="T258" s="3" t="s">
        <v>143</v>
      </c>
      <c r="U258" s="4" t="b">
        <v>1</v>
      </c>
      <c r="V258" s="3" t="s">
        <v>31</v>
      </c>
      <c r="W258" s="1"/>
      <c r="Y258" s="3" t="s">
        <v>32</v>
      </c>
      <c r="Z258" s="3" t="s">
        <v>32</v>
      </c>
      <c r="AA258" s="3"/>
      <c r="AB258" s="3"/>
      <c r="AC258" s="4" t="s">
        <v>30</v>
      </c>
      <c r="AD258" s="3"/>
      <c r="AE258" s="3" t="s">
        <v>1043</v>
      </c>
      <c r="AF258" s="4" t="s">
        <v>30</v>
      </c>
      <c r="AH258" s="4">
        <v>0</v>
      </c>
      <c r="AI258" s="3" t="s">
        <v>1779</v>
      </c>
      <c r="AJ258" s="4" t="s">
        <v>1041</v>
      </c>
      <c r="AK258" s="4"/>
      <c r="AL258" s="3"/>
    </row>
    <row r="259" spans="1:38" x14ac:dyDescent="0.35">
      <c r="A259" s="3" t="s">
        <v>1781</v>
      </c>
      <c r="B259" s="4" t="s">
        <v>1786</v>
      </c>
      <c r="C259" s="4">
        <f>VLOOKUP(A259, [1]Planilha1!$A$3:$B$1015,2,FALSE)</f>
        <v>1886</v>
      </c>
      <c r="D259" s="4">
        <f t="shared" ref="D259:D322" si="4">C259/3600</f>
        <v>0.52388888888888885</v>
      </c>
      <c r="E259" s="4" t="s">
        <v>1125</v>
      </c>
      <c r="F259" s="3" t="s">
        <v>1783</v>
      </c>
      <c r="G259" s="3" t="s">
        <v>74</v>
      </c>
      <c r="H259" s="3" t="s">
        <v>44</v>
      </c>
      <c r="I259" s="3" t="s">
        <v>33</v>
      </c>
      <c r="J259" s="3" t="s">
        <v>41</v>
      </c>
      <c r="L259" s="1">
        <v>46045.633530092593</v>
      </c>
      <c r="M259" s="1">
        <v>46045.641643518517</v>
      </c>
      <c r="N259" s="1">
        <v>46045.652557870373</v>
      </c>
      <c r="O259" s="3" t="s">
        <v>43</v>
      </c>
      <c r="P259" s="3" t="s">
        <v>1786</v>
      </c>
      <c r="Q259" s="3" t="s">
        <v>42</v>
      </c>
      <c r="R259" s="3" t="s">
        <v>1785</v>
      </c>
      <c r="S259" s="3" t="s">
        <v>80</v>
      </c>
      <c r="T259" s="3" t="s">
        <v>79</v>
      </c>
      <c r="U259" s="4" t="b">
        <v>1</v>
      </c>
      <c r="V259" s="3" t="s">
        <v>31</v>
      </c>
      <c r="W259" s="1"/>
      <c r="Y259" s="3" t="s">
        <v>32</v>
      </c>
      <c r="Z259" s="3" t="s">
        <v>32</v>
      </c>
      <c r="AA259" s="3"/>
      <c r="AB259" s="3"/>
      <c r="AC259" s="4" t="s">
        <v>30</v>
      </c>
      <c r="AD259" s="3"/>
      <c r="AE259" s="3" t="s">
        <v>1786</v>
      </c>
      <c r="AF259" s="4" t="s">
        <v>30</v>
      </c>
      <c r="AH259" s="4">
        <v>1</v>
      </c>
      <c r="AI259" s="3" t="s">
        <v>1782</v>
      </c>
      <c r="AJ259" s="4" t="s">
        <v>1784</v>
      </c>
      <c r="AK259" s="4"/>
      <c r="AL259" s="3"/>
    </row>
    <row r="260" spans="1:38" x14ac:dyDescent="0.35">
      <c r="A260" s="3" t="s">
        <v>1787</v>
      </c>
      <c r="B260" s="4" t="s">
        <v>1793</v>
      </c>
      <c r="C260" s="4">
        <f>VLOOKUP(A260, [1]Planilha1!$A$3:$B$1015,2,FALSE)</f>
        <v>0</v>
      </c>
      <c r="D260" s="4">
        <f t="shared" si="4"/>
        <v>0</v>
      </c>
      <c r="E260" s="4" t="s">
        <v>1125</v>
      </c>
      <c r="F260" s="3" t="s">
        <v>1790</v>
      </c>
      <c r="G260" s="3" t="s">
        <v>134</v>
      </c>
      <c r="H260" s="3" t="s">
        <v>138</v>
      </c>
      <c r="I260" s="3" t="s">
        <v>33</v>
      </c>
      <c r="J260" s="3" t="s">
        <v>60</v>
      </c>
      <c r="K260" s="3" t="s">
        <v>1789</v>
      </c>
      <c r="L260" s="1">
        <v>46045.631018518521</v>
      </c>
      <c r="M260" s="1">
        <v>46045.675949074073</v>
      </c>
      <c r="N260" s="1">
        <v>46048.708333333336</v>
      </c>
      <c r="O260" s="3" t="s">
        <v>137</v>
      </c>
      <c r="P260" s="3" t="s">
        <v>1793</v>
      </c>
      <c r="Q260" s="3" t="s">
        <v>35</v>
      </c>
      <c r="R260" s="3" t="s">
        <v>1792</v>
      </c>
      <c r="S260" s="3" t="s">
        <v>144</v>
      </c>
      <c r="T260" s="3" t="s">
        <v>143</v>
      </c>
      <c r="U260" s="4" t="b">
        <v>1</v>
      </c>
      <c r="V260" s="3" t="s">
        <v>31</v>
      </c>
      <c r="W260" s="1"/>
      <c r="Y260" s="3" t="s">
        <v>32</v>
      </c>
      <c r="Z260" s="3" t="s">
        <v>32</v>
      </c>
      <c r="AA260" s="3"/>
      <c r="AB260" s="3"/>
      <c r="AC260" s="4" t="s">
        <v>30</v>
      </c>
      <c r="AD260" s="3"/>
      <c r="AE260" s="3" t="s">
        <v>1793</v>
      </c>
      <c r="AF260" s="4" t="s">
        <v>30</v>
      </c>
      <c r="AH260" s="4">
        <v>0</v>
      </c>
      <c r="AI260" s="3" t="s">
        <v>1788</v>
      </c>
      <c r="AJ260" s="4" t="s">
        <v>1791</v>
      </c>
      <c r="AK260" s="4"/>
      <c r="AL260" s="3"/>
    </row>
    <row r="261" spans="1:38" x14ac:dyDescent="0.35">
      <c r="A261" s="3" t="s">
        <v>1794</v>
      </c>
      <c r="B261" s="4" t="s">
        <v>1800</v>
      </c>
      <c r="C261" s="4">
        <f>VLOOKUP(A261, [1]Planilha1!$A$3:$B$1015,2,FALSE)</f>
        <v>0</v>
      </c>
      <c r="D261" s="4">
        <f t="shared" si="4"/>
        <v>0</v>
      </c>
      <c r="E261" s="4" t="s">
        <v>1125</v>
      </c>
      <c r="F261" s="3" t="s">
        <v>1797</v>
      </c>
      <c r="G261" s="3" t="s">
        <v>214</v>
      </c>
      <c r="H261" s="3" t="s">
        <v>44</v>
      </c>
      <c r="I261" s="3" t="s">
        <v>33</v>
      </c>
      <c r="J261" s="3" t="s">
        <v>60</v>
      </c>
      <c r="K261" s="3" t="s">
        <v>1796</v>
      </c>
      <c r="L261" s="1">
        <v>46045.623333333337</v>
      </c>
      <c r="M261" s="1">
        <v>46045.64099537037</v>
      </c>
      <c r="N261" s="1">
        <v>46048.666666666664</v>
      </c>
      <c r="O261" s="3" t="s">
        <v>43</v>
      </c>
      <c r="P261" s="3" t="s">
        <v>1800</v>
      </c>
      <c r="Q261" s="3" t="s">
        <v>35</v>
      </c>
      <c r="R261" s="3" t="s">
        <v>1799</v>
      </c>
      <c r="S261" s="3" t="s">
        <v>144</v>
      </c>
      <c r="T261" s="3" t="s">
        <v>143</v>
      </c>
      <c r="U261" s="4" t="b">
        <v>1</v>
      </c>
      <c r="V261" s="3" t="s">
        <v>31</v>
      </c>
      <c r="W261" s="1"/>
      <c r="Y261" s="3" t="s">
        <v>32</v>
      </c>
      <c r="Z261" s="3" t="s">
        <v>32</v>
      </c>
      <c r="AA261" s="3"/>
      <c r="AB261" s="3"/>
      <c r="AC261" s="4" t="s">
        <v>30</v>
      </c>
      <c r="AD261" s="3"/>
      <c r="AE261" s="3" t="s">
        <v>1800</v>
      </c>
      <c r="AF261" s="4" t="s">
        <v>30</v>
      </c>
      <c r="AH261" s="4">
        <v>0</v>
      </c>
      <c r="AI261" s="3" t="s">
        <v>1795</v>
      </c>
      <c r="AJ261" s="4" t="s">
        <v>1798</v>
      </c>
      <c r="AK261" s="4"/>
      <c r="AL261" s="3"/>
    </row>
    <row r="262" spans="1:38" x14ac:dyDescent="0.35">
      <c r="A262" s="3" t="s">
        <v>1801</v>
      </c>
      <c r="B262" s="4" t="s">
        <v>1807</v>
      </c>
      <c r="C262" s="4">
        <f>VLOOKUP(A262, [1]Planilha1!$A$3:$B$1015,2,FALSE)</f>
        <v>7384</v>
      </c>
      <c r="D262" s="4">
        <f t="shared" si="4"/>
        <v>2.0511111111111111</v>
      </c>
      <c r="E262" s="4" t="s">
        <v>1125</v>
      </c>
      <c r="F262" s="3" t="s">
        <v>1804</v>
      </c>
      <c r="G262" s="3" t="s">
        <v>1802</v>
      </c>
      <c r="H262" s="3" t="s">
        <v>44</v>
      </c>
      <c r="I262" s="3" t="s">
        <v>33</v>
      </c>
      <c r="J262" s="3" t="s">
        <v>41</v>
      </c>
      <c r="L262" s="1">
        <v>46045.608402777776</v>
      </c>
      <c r="M262" s="1">
        <v>46045.610798611109</v>
      </c>
      <c r="N262" s="1">
        <v>46045.65353009259</v>
      </c>
      <c r="O262" s="3" t="s">
        <v>43</v>
      </c>
      <c r="P262" s="3" t="s">
        <v>1807</v>
      </c>
      <c r="Q262" s="3" t="s">
        <v>42</v>
      </c>
      <c r="R262" s="3" t="s">
        <v>1806</v>
      </c>
      <c r="S262" s="3" t="s">
        <v>62</v>
      </c>
      <c r="T262" s="3" t="s">
        <v>61</v>
      </c>
      <c r="U262" s="4" t="b">
        <v>1</v>
      </c>
      <c r="V262" s="3" t="s">
        <v>31</v>
      </c>
      <c r="W262" s="1"/>
      <c r="Y262" s="3" t="s">
        <v>32</v>
      </c>
      <c r="Z262" s="3" t="s">
        <v>32</v>
      </c>
      <c r="AA262" s="3"/>
      <c r="AB262" s="3"/>
      <c r="AC262" s="4" t="s">
        <v>30</v>
      </c>
      <c r="AD262" s="3"/>
      <c r="AE262" s="3" t="s">
        <v>1807</v>
      </c>
      <c r="AF262" s="4" t="s">
        <v>30</v>
      </c>
      <c r="AH262" s="4">
        <v>1</v>
      </c>
      <c r="AI262" s="3" t="s">
        <v>1803</v>
      </c>
      <c r="AJ262" s="4" t="s">
        <v>1805</v>
      </c>
      <c r="AK262" s="4"/>
      <c r="AL262" s="3"/>
    </row>
    <row r="263" spans="1:38" x14ac:dyDescent="0.35">
      <c r="A263" s="3" t="s">
        <v>1808</v>
      </c>
      <c r="B263" s="4" t="s">
        <v>58</v>
      </c>
      <c r="C263" s="4">
        <f>VLOOKUP(A263, [1]Planilha1!$A$3:$B$1015,2,FALSE)</f>
        <v>655637</v>
      </c>
      <c r="D263" s="4">
        <f t="shared" si="4"/>
        <v>182.1213888888889</v>
      </c>
      <c r="E263" s="4" t="s">
        <v>1125</v>
      </c>
      <c r="F263" s="3" t="s">
        <v>54</v>
      </c>
      <c r="G263" s="3" t="s">
        <v>1809</v>
      </c>
      <c r="H263" s="3" t="s">
        <v>455</v>
      </c>
      <c r="I263" s="3" t="s">
        <v>486</v>
      </c>
      <c r="J263" s="3" t="s">
        <v>152</v>
      </c>
      <c r="L263" s="1">
        <v>46045.60832175926</v>
      </c>
      <c r="M263" s="1">
        <v>46045.60974537037</v>
      </c>
      <c r="N263" s="1"/>
      <c r="O263" s="3" t="s">
        <v>833</v>
      </c>
      <c r="P263" s="3" t="s">
        <v>57</v>
      </c>
      <c r="R263" s="3" t="s">
        <v>56</v>
      </c>
      <c r="S263" s="3" t="s">
        <v>64</v>
      </c>
      <c r="T263" s="3" t="s">
        <v>63</v>
      </c>
      <c r="U263" s="4" t="b">
        <v>0</v>
      </c>
      <c r="V263" s="3" t="s">
        <v>28</v>
      </c>
      <c r="W263" s="1"/>
      <c r="Y263" s="3" t="s">
        <v>29</v>
      </c>
      <c r="Z263" s="3" t="s">
        <v>29</v>
      </c>
      <c r="AA263" s="3" t="s">
        <v>196</v>
      </c>
      <c r="AB263" s="3" t="s">
        <v>58</v>
      </c>
      <c r="AC263" s="4" t="s">
        <v>30</v>
      </c>
      <c r="AD263" s="3" t="s">
        <v>59</v>
      </c>
      <c r="AE263" s="3" t="s">
        <v>57</v>
      </c>
      <c r="AF263" s="4" t="s">
        <v>30</v>
      </c>
      <c r="AH263" s="4">
        <v>4</v>
      </c>
      <c r="AI263" s="3" t="s">
        <v>1810</v>
      </c>
      <c r="AJ263" s="4" t="s">
        <v>55</v>
      </c>
      <c r="AK263" s="4" t="s">
        <v>197</v>
      </c>
      <c r="AL263" s="3"/>
    </row>
    <row r="264" spans="1:38" x14ac:dyDescent="0.35">
      <c r="A264" s="3" t="s">
        <v>1812</v>
      </c>
      <c r="B264" s="4" t="s">
        <v>58</v>
      </c>
      <c r="C264" s="4">
        <f>VLOOKUP(A264, [1]Planilha1!$A$3:$B$1015,2,FALSE)</f>
        <v>312936</v>
      </c>
      <c r="D264" s="4">
        <f t="shared" si="4"/>
        <v>86.926666666666662</v>
      </c>
      <c r="E264" s="4" t="s">
        <v>1125</v>
      </c>
      <c r="F264" s="3" t="s">
        <v>54</v>
      </c>
      <c r="G264" s="3" t="s">
        <v>1813</v>
      </c>
      <c r="H264" s="3" t="s">
        <v>455</v>
      </c>
      <c r="I264" s="3" t="s">
        <v>486</v>
      </c>
      <c r="J264" s="3" t="s">
        <v>2040</v>
      </c>
      <c r="L264" s="1">
        <v>46045.599340277775</v>
      </c>
      <c r="M264" s="1">
        <v>46045.604062500002</v>
      </c>
      <c r="N264" s="1"/>
      <c r="O264" s="3" t="s">
        <v>833</v>
      </c>
      <c r="P264" s="3" t="s">
        <v>57</v>
      </c>
      <c r="R264" s="3" t="s">
        <v>56</v>
      </c>
      <c r="S264" s="3" t="s">
        <v>64</v>
      </c>
      <c r="T264" s="3" t="s">
        <v>63</v>
      </c>
      <c r="U264" s="4" t="b">
        <v>0</v>
      </c>
      <c r="V264" s="3" t="s">
        <v>28</v>
      </c>
      <c r="W264" s="1"/>
      <c r="Y264" s="3" t="s">
        <v>29</v>
      </c>
      <c r="Z264" s="3" t="s">
        <v>29</v>
      </c>
      <c r="AA264" s="3" t="s">
        <v>196</v>
      </c>
      <c r="AB264" s="3" t="s">
        <v>58</v>
      </c>
      <c r="AC264" s="4" t="s">
        <v>30</v>
      </c>
      <c r="AD264" s="3" t="s">
        <v>59</v>
      </c>
      <c r="AE264" s="3" t="s">
        <v>57</v>
      </c>
      <c r="AF264" s="4" t="s">
        <v>30</v>
      </c>
      <c r="AH264" s="4">
        <v>3</v>
      </c>
      <c r="AI264" s="3" t="s">
        <v>1813</v>
      </c>
      <c r="AJ264" s="4" t="s">
        <v>55</v>
      </c>
      <c r="AK264" s="4" t="s">
        <v>197</v>
      </c>
      <c r="AL264" s="3"/>
    </row>
    <row r="265" spans="1:38" x14ac:dyDescent="0.35">
      <c r="A265" s="3" t="s">
        <v>1814</v>
      </c>
      <c r="B265" s="4" t="s">
        <v>1820</v>
      </c>
      <c r="C265" s="4">
        <f>VLOOKUP(A265, [1]Planilha1!$A$3:$B$1015,2,FALSE)</f>
        <v>0</v>
      </c>
      <c r="D265" s="4">
        <f t="shared" si="4"/>
        <v>0</v>
      </c>
      <c r="E265" s="4" t="s">
        <v>1125</v>
      </c>
      <c r="F265" s="3" t="s">
        <v>1817</v>
      </c>
      <c r="G265" s="3" t="s">
        <v>1815</v>
      </c>
      <c r="H265" s="3" t="s">
        <v>44</v>
      </c>
      <c r="I265" s="3" t="s">
        <v>33</v>
      </c>
      <c r="J265" s="3" t="s">
        <v>459</v>
      </c>
      <c r="L265" s="1">
        <v>46045.598599537036</v>
      </c>
      <c r="M265" s="1">
        <v>46045.610914351855</v>
      </c>
      <c r="N265" s="1">
        <v>46048.625011574077</v>
      </c>
      <c r="O265" s="3" t="s">
        <v>43</v>
      </c>
      <c r="P265" s="3" t="s">
        <v>1820</v>
      </c>
      <c r="Q265" s="3" t="s">
        <v>35</v>
      </c>
      <c r="R265" s="3" t="s">
        <v>1819</v>
      </c>
      <c r="S265" s="3" t="s">
        <v>80</v>
      </c>
      <c r="T265" s="3" t="s">
        <v>79</v>
      </c>
      <c r="U265" s="4" t="b">
        <v>1</v>
      </c>
      <c r="V265" s="3" t="s">
        <v>31</v>
      </c>
      <c r="W265" s="1"/>
      <c r="Y265" s="3" t="s">
        <v>32</v>
      </c>
      <c r="Z265" s="3" t="s">
        <v>32</v>
      </c>
      <c r="AA265" s="3"/>
      <c r="AB265" s="3"/>
      <c r="AC265" s="4" t="s">
        <v>30</v>
      </c>
      <c r="AD265" s="3"/>
      <c r="AE265" s="3" t="s">
        <v>1820</v>
      </c>
      <c r="AF265" s="4" t="s">
        <v>30</v>
      </c>
      <c r="AH265" s="4">
        <v>0</v>
      </c>
      <c r="AI265" s="3" t="s">
        <v>1816</v>
      </c>
      <c r="AJ265" s="4" t="s">
        <v>1818</v>
      </c>
      <c r="AK265" s="4"/>
      <c r="AL265" s="3"/>
    </row>
    <row r="266" spans="1:38" x14ac:dyDescent="0.35">
      <c r="A266" s="3" t="s">
        <v>1821</v>
      </c>
      <c r="B266" s="4" t="s">
        <v>1826</v>
      </c>
      <c r="C266" s="4">
        <f>VLOOKUP(A266, [1]Planilha1!$A$3:$B$1015,2,FALSE)</f>
        <v>0</v>
      </c>
      <c r="D266" s="4">
        <f t="shared" si="4"/>
        <v>0</v>
      </c>
      <c r="E266" s="4" t="s">
        <v>1125</v>
      </c>
      <c r="F266" s="3" t="s">
        <v>1823</v>
      </c>
      <c r="G266" s="3" t="s">
        <v>700</v>
      </c>
      <c r="H266" s="3" t="s">
        <v>44</v>
      </c>
      <c r="I266" s="3" t="s">
        <v>33</v>
      </c>
      <c r="J266" s="3" t="s">
        <v>60</v>
      </c>
      <c r="L266" s="1">
        <v>46045.589502314811</v>
      </c>
      <c r="M266" s="1">
        <v>46045.591874999998</v>
      </c>
      <c r="N266" s="1">
        <v>46048.625011574077</v>
      </c>
      <c r="O266" s="3" t="s">
        <v>43</v>
      </c>
      <c r="P266" s="3" t="s">
        <v>1826</v>
      </c>
      <c r="Q266" s="3" t="s">
        <v>35</v>
      </c>
      <c r="R266" s="3" t="s">
        <v>1825</v>
      </c>
      <c r="S266" s="3" t="s">
        <v>80</v>
      </c>
      <c r="T266" s="3" t="s">
        <v>79</v>
      </c>
      <c r="U266" s="4" t="b">
        <v>1</v>
      </c>
      <c r="V266" s="3" t="s">
        <v>31</v>
      </c>
      <c r="W266" s="1"/>
      <c r="Y266" s="3" t="s">
        <v>32</v>
      </c>
      <c r="Z266" s="3" t="s">
        <v>32</v>
      </c>
      <c r="AA266" s="3"/>
      <c r="AB266" s="3"/>
      <c r="AC266" s="4" t="s">
        <v>30</v>
      </c>
      <c r="AD266" s="3"/>
      <c r="AE266" s="3" t="s">
        <v>1826</v>
      </c>
      <c r="AF266" s="4" t="s">
        <v>30</v>
      </c>
      <c r="AH266" s="4">
        <v>0</v>
      </c>
      <c r="AI266" s="3" t="s">
        <v>1822</v>
      </c>
      <c r="AJ266" s="4" t="s">
        <v>1824</v>
      </c>
      <c r="AK266" s="4"/>
      <c r="AL266" s="3"/>
    </row>
    <row r="267" spans="1:38" x14ac:dyDescent="0.35">
      <c r="A267" s="3" t="s">
        <v>1827</v>
      </c>
      <c r="B267" s="4" t="s">
        <v>1832</v>
      </c>
      <c r="C267" s="4">
        <f>VLOOKUP(A267, [1]Planilha1!$A$3:$B$1015,2,FALSE)</f>
        <v>0</v>
      </c>
      <c r="D267" s="4">
        <f t="shared" si="4"/>
        <v>0</v>
      </c>
      <c r="E267" s="4" t="s">
        <v>1125</v>
      </c>
      <c r="F267" s="3" t="s">
        <v>1830</v>
      </c>
      <c r="G267" s="3" t="s">
        <v>134</v>
      </c>
      <c r="H267" s="3" t="s">
        <v>138</v>
      </c>
      <c r="I267" s="3" t="s">
        <v>33</v>
      </c>
      <c r="J267" s="3" t="s">
        <v>60</v>
      </c>
      <c r="K267" s="3" t="s">
        <v>1829</v>
      </c>
      <c r="L267" s="1">
        <v>46045.582488425927</v>
      </c>
      <c r="M267" s="1">
        <v>46045.602731481478</v>
      </c>
      <c r="N267" s="1">
        <v>46048.625011574077</v>
      </c>
      <c r="O267" s="3" t="s">
        <v>137</v>
      </c>
      <c r="P267" s="3" t="s">
        <v>1832</v>
      </c>
      <c r="Q267" s="3" t="s">
        <v>35</v>
      </c>
      <c r="R267" s="3" t="s">
        <v>1831</v>
      </c>
      <c r="S267" s="3" t="s">
        <v>144</v>
      </c>
      <c r="T267" s="3" t="s">
        <v>143</v>
      </c>
      <c r="U267" s="4" t="b">
        <v>1</v>
      </c>
      <c r="V267" s="3" t="s">
        <v>31</v>
      </c>
      <c r="W267" s="1"/>
      <c r="Y267" s="3" t="s">
        <v>32</v>
      </c>
      <c r="Z267" s="3" t="s">
        <v>32</v>
      </c>
      <c r="AA267" s="3"/>
      <c r="AB267" s="3"/>
      <c r="AC267" s="4" t="s">
        <v>30</v>
      </c>
      <c r="AD267" s="3"/>
      <c r="AE267" s="3" t="s">
        <v>1832</v>
      </c>
      <c r="AF267" s="4" t="s">
        <v>30</v>
      </c>
      <c r="AH267" s="4">
        <v>0</v>
      </c>
      <c r="AI267" s="3" t="s">
        <v>1828</v>
      </c>
      <c r="AJ267" s="4" t="s">
        <v>5850</v>
      </c>
      <c r="AK267" s="4"/>
      <c r="AL267" s="3"/>
    </row>
    <row r="268" spans="1:38" x14ac:dyDescent="0.35">
      <c r="A268" s="3" t="s">
        <v>1833</v>
      </c>
      <c r="B268" s="4" t="s">
        <v>1839</v>
      </c>
      <c r="C268" s="4">
        <f>VLOOKUP(A268, [1]Planilha1!$A$3:$B$1015,2,FALSE)</f>
        <v>0</v>
      </c>
      <c r="D268" s="4">
        <f t="shared" si="4"/>
        <v>0</v>
      </c>
      <c r="E268" s="4" t="s">
        <v>1125</v>
      </c>
      <c r="F268" s="3" t="s">
        <v>1836</v>
      </c>
      <c r="G268" s="3" t="s">
        <v>134</v>
      </c>
      <c r="H268" s="3" t="s">
        <v>138</v>
      </c>
      <c r="I268" s="3" t="s">
        <v>33</v>
      </c>
      <c r="J268" s="3" t="s">
        <v>60</v>
      </c>
      <c r="K268" s="3" t="s">
        <v>1835</v>
      </c>
      <c r="L268" s="1">
        <v>46045.569421296299</v>
      </c>
      <c r="M268" s="1">
        <v>46045.576678240737</v>
      </c>
      <c r="N268" s="1">
        <v>46048.583333333336</v>
      </c>
      <c r="O268" s="3" t="s">
        <v>137</v>
      </c>
      <c r="P268" s="3" t="s">
        <v>1839</v>
      </c>
      <c r="Q268" s="3" t="s">
        <v>35</v>
      </c>
      <c r="R268" s="3" t="s">
        <v>1838</v>
      </c>
      <c r="S268" s="3" t="s">
        <v>144</v>
      </c>
      <c r="T268" s="3" t="s">
        <v>143</v>
      </c>
      <c r="U268" s="4" t="b">
        <v>1</v>
      </c>
      <c r="V268" s="3" t="s">
        <v>31</v>
      </c>
      <c r="W268" s="1"/>
      <c r="Y268" s="3" t="s">
        <v>32</v>
      </c>
      <c r="Z268" s="3" t="s">
        <v>32</v>
      </c>
      <c r="AA268" s="3"/>
      <c r="AB268" s="3"/>
      <c r="AC268" s="4" t="s">
        <v>30</v>
      </c>
      <c r="AD268" s="3"/>
      <c r="AE268" s="3" t="s">
        <v>1839</v>
      </c>
      <c r="AF268" s="4" t="s">
        <v>30</v>
      </c>
      <c r="AH268" s="4">
        <v>0</v>
      </c>
      <c r="AI268" s="3" t="s">
        <v>1834</v>
      </c>
      <c r="AJ268" s="4" t="s">
        <v>1837</v>
      </c>
      <c r="AK268" s="4"/>
      <c r="AL268" s="3"/>
    </row>
    <row r="269" spans="1:38" x14ac:dyDescent="0.35">
      <c r="A269" s="3" t="s">
        <v>1840</v>
      </c>
      <c r="B269" s="4" t="s">
        <v>58</v>
      </c>
      <c r="C269" s="4">
        <f>VLOOKUP(A269, [1]Planilha1!$A$3:$B$1015,2,FALSE)</f>
        <v>620724</v>
      </c>
      <c r="D269" s="4">
        <f t="shared" si="4"/>
        <v>172.42333333333335</v>
      </c>
      <c r="E269" s="4" t="s">
        <v>1125</v>
      </c>
      <c r="F269" s="3" t="s">
        <v>54</v>
      </c>
      <c r="G269" s="3" t="s">
        <v>1841</v>
      </c>
      <c r="H269" s="3" t="s">
        <v>455</v>
      </c>
      <c r="I269" s="3" t="s">
        <v>1039</v>
      </c>
      <c r="J269" s="3" t="s">
        <v>152</v>
      </c>
      <c r="K269" s="3" t="s">
        <v>1842</v>
      </c>
      <c r="L269" s="1">
        <v>46045.56559027778</v>
      </c>
      <c r="M269" s="1">
        <v>46045.569062499999</v>
      </c>
      <c r="N269" s="1"/>
      <c r="O269" s="3" t="s">
        <v>833</v>
      </c>
      <c r="P269" s="3" t="s">
        <v>57</v>
      </c>
      <c r="R269" s="3" t="s">
        <v>56</v>
      </c>
      <c r="S269" s="3" t="s">
        <v>64</v>
      </c>
      <c r="T269" s="3" t="s">
        <v>63</v>
      </c>
      <c r="U269" s="4" t="b">
        <v>0</v>
      </c>
      <c r="V269" s="3" t="s">
        <v>28</v>
      </c>
      <c r="W269" s="1"/>
      <c r="Y269" s="3" t="s">
        <v>29</v>
      </c>
      <c r="Z269" s="3" t="s">
        <v>29</v>
      </c>
      <c r="AA269" s="3" t="s">
        <v>1843</v>
      </c>
      <c r="AB269" s="3" t="s">
        <v>58</v>
      </c>
      <c r="AC269" s="4" t="s">
        <v>30</v>
      </c>
      <c r="AD269" s="3" t="s">
        <v>59</v>
      </c>
      <c r="AE269" s="3" t="s">
        <v>57</v>
      </c>
      <c r="AF269" s="4" t="s">
        <v>30</v>
      </c>
      <c r="AH269" s="4">
        <v>0</v>
      </c>
      <c r="AI269" s="3" t="s">
        <v>5851</v>
      </c>
      <c r="AJ269" s="4" t="s">
        <v>55</v>
      </c>
      <c r="AK269" s="4" t="s">
        <v>1844</v>
      </c>
      <c r="AL269" s="3"/>
    </row>
    <row r="270" spans="1:38" x14ac:dyDescent="0.35">
      <c r="A270" s="3" t="s">
        <v>1845</v>
      </c>
      <c r="B270" s="4" t="s">
        <v>1850</v>
      </c>
      <c r="C270" s="4">
        <f>VLOOKUP(A270, [1]Planilha1!$A$3:$B$1015,2,FALSE)</f>
        <v>0</v>
      </c>
      <c r="D270" s="4">
        <f t="shared" si="4"/>
        <v>0</v>
      </c>
      <c r="E270" s="4" t="s">
        <v>1125</v>
      </c>
      <c r="F270" s="3" t="s">
        <v>1848</v>
      </c>
      <c r="G270" s="3" t="s">
        <v>134</v>
      </c>
      <c r="H270" s="3" t="s">
        <v>138</v>
      </c>
      <c r="I270" s="3" t="s">
        <v>33</v>
      </c>
      <c r="J270" s="3" t="s">
        <v>60</v>
      </c>
      <c r="K270" s="3" t="s">
        <v>1847</v>
      </c>
      <c r="L270" s="1">
        <v>46045.563298611109</v>
      </c>
      <c r="M270" s="1">
        <v>46045.586828703701</v>
      </c>
      <c r="N270" s="1">
        <v>46048.625011574077</v>
      </c>
      <c r="O270" s="3" t="s">
        <v>137</v>
      </c>
      <c r="P270" s="3" t="s">
        <v>1850</v>
      </c>
      <c r="Q270" s="3" t="s">
        <v>35</v>
      </c>
      <c r="R270" s="3" t="s">
        <v>1849</v>
      </c>
      <c r="S270" s="3" t="s">
        <v>144</v>
      </c>
      <c r="T270" s="3" t="s">
        <v>143</v>
      </c>
      <c r="U270" s="4" t="b">
        <v>1</v>
      </c>
      <c r="V270" s="3" t="s">
        <v>31</v>
      </c>
      <c r="W270" s="1"/>
      <c r="Y270" s="3" t="s">
        <v>32</v>
      </c>
      <c r="Z270" s="3" t="s">
        <v>32</v>
      </c>
      <c r="AA270" s="3"/>
      <c r="AB270" s="3"/>
      <c r="AC270" s="4" t="s">
        <v>30</v>
      </c>
      <c r="AD270" s="3"/>
      <c r="AE270" s="3" t="s">
        <v>1850</v>
      </c>
      <c r="AF270" s="4" t="s">
        <v>30</v>
      </c>
      <c r="AH270" s="4">
        <v>0</v>
      </c>
      <c r="AI270" s="3" t="s">
        <v>1846</v>
      </c>
      <c r="AJ270" s="4" t="s">
        <v>5852</v>
      </c>
      <c r="AK270" s="4"/>
      <c r="AL270" s="3"/>
    </row>
    <row r="271" spans="1:38" x14ac:dyDescent="0.35">
      <c r="A271" s="3" t="s">
        <v>1851</v>
      </c>
      <c r="B271" s="4" t="s">
        <v>58</v>
      </c>
      <c r="C271" s="4">
        <f>VLOOKUP(A271, [1]Planilha1!$A$3:$B$1015,2,FALSE)</f>
        <v>12974</v>
      </c>
      <c r="D271" s="4">
        <f t="shared" si="4"/>
        <v>3.6038888888888887</v>
      </c>
      <c r="E271" s="4" t="s">
        <v>1125</v>
      </c>
      <c r="F271" s="3" t="s">
        <v>54</v>
      </c>
      <c r="G271" s="3" t="s">
        <v>1852</v>
      </c>
      <c r="H271" s="3" t="s">
        <v>154</v>
      </c>
      <c r="I271" s="3" t="s">
        <v>33</v>
      </c>
      <c r="J271" s="3" t="s">
        <v>152</v>
      </c>
      <c r="L271" s="1">
        <v>46045.555081018516</v>
      </c>
      <c r="M271" s="1">
        <v>46045.556168981479</v>
      </c>
      <c r="N271" s="1">
        <v>46050.525543981479</v>
      </c>
      <c r="O271" s="3" t="s">
        <v>153</v>
      </c>
      <c r="P271" s="3" t="s">
        <v>57</v>
      </c>
      <c r="Q271" s="3" t="s">
        <v>52</v>
      </c>
      <c r="R271" s="3" t="s">
        <v>56</v>
      </c>
      <c r="S271" s="3" t="s">
        <v>64</v>
      </c>
      <c r="T271" s="3" t="s">
        <v>63</v>
      </c>
      <c r="U271" s="4" t="b">
        <v>0</v>
      </c>
      <c r="V271" s="3" t="s">
        <v>28</v>
      </c>
      <c r="W271" s="1"/>
      <c r="Y271" s="3" t="s">
        <v>29</v>
      </c>
      <c r="Z271" s="3" t="s">
        <v>29</v>
      </c>
      <c r="AA271" s="3" t="s">
        <v>155</v>
      </c>
      <c r="AB271" s="3" t="s">
        <v>58</v>
      </c>
      <c r="AC271" s="4" t="s">
        <v>30</v>
      </c>
      <c r="AD271" s="3" t="s">
        <v>59</v>
      </c>
      <c r="AE271" s="3" t="s">
        <v>57</v>
      </c>
      <c r="AF271" s="4" t="s">
        <v>30</v>
      </c>
      <c r="AH271" s="4">
        <v>3</v>
      </c>
      <c r="AI271" s="3" t="s">
        <v>1853</v>
      </c>
      <c r="AJ271" s="4" t="s">
        <v>55</v>
      </c>
      <c r="AK271" s="4" t="s">
        <v>156</v>
      </c>
      <c r="AL271" s="3"/>
    </row>
    <row r="272" spans="1:38" x14ac:dyDescent="0.35">
      <c r="A272" s="3" t="s">
        <v>1854</v>
      </c>
      <c r="B272" s="4" t="s">
        <v>1860</v>
      </c>
      <c r="C272" s="4">
        <f>VLOOKUP(A272, [1]Planilha1!$A$3:$B$1015,2,FALSE)</f>
        <v>0</v>
      </c>
      <c r="D272" s="4">
        <f t="shared" si="4"/>
        <v>0</v>
      </c>
      <c r="E272" s="4" t="s">
        <v>1125</v>
      </c>
      <c r="F272" s="3" t="s">
        <v>1857</v>
      </c>
      <c r="G272" s="3" t="s">
        <v>134</v>
      </c>
      <c r="H272" s="3" t="s">
        <v>138</v>
      </c>
      <c r="I272" s="3" t="s">
        <v>33</v>
      </c>
      <c r="J272" s="3" t="s">
        <v>60</v>
      </c>
      <c r="K272" s="3" t="s">
        <v>1856</v>
      </c>
      <c r="L272" s="1">
        <v>46045.554120370369</v>
      </c>
      <c r="M272" s="1">
        <v>46045.558692129627</v>
      </c>
      <c r="N272" s="1">
        <v>46048.583333333336</v>
      </c>
      <c r="O272" s="3" t="s">
        <v>137</v>
      </c>
      <c r="P272" s="3" t="s">
        <v>1860</v>
      </c>
      <c r="Q272" s="3" t="s">
        <v>35</v>
      </c>
      <c r="R272" s="3" t="s">
        <v>1859</v>
      </c>
      <c r="S272" s="3" t="s">
        <v>144</v>
      </c>
      <c r="T272" s="3" t="s">
        <v>143</v>
      </c>
      <c r="U272" s="4" t="b">
        <v>1</v>
      </c>
      <c r="V272" s="3" t="s">
        <v>31</v>
      </c>
      <c r="W272" s="1"/>
      <c r="Y272" s="3" t="s">
        <v>32</v>
      </c>
      <c r="Z272" s="3" t="s">
        <v>32</v>
      </c>
      <c r="AA272" s="3"/>
      <c r="AB272" s="3"/>
      <c r="AC272" s="4" t="s">
        <v>30</v>
      </c>
      <c r="AD272" s="3"/>
      <c r="AE272" s="3" t="s">
        <v>1860</v>
      </c>
      <c r="AF272" s="4" t="s">
        <v>30</v>
      </c>
      <c r="AH272" s="4">
        <v>0</v>
      </c>
      <c r="AI272" s="3" t="s">
        <v>1855</v>
      </c>
      <c r="AJ272" s="4" t="s">
        <v>1858</v>
      </c>
      <c r="AK272" s="4"/>
      <c r="AL272" s="3"/>
    </row>
    <row r="273" spans="1:38" x14ac:dyDescent="0.35">
      <c r="A273" s="3" t="s">
        <v>1861</v>
      </c>
      <c r="B273" s="4" t="s">
        <v>1866</v>
      </c>
      <c r="C273" s="4">
        <f>VLOOKUP(A273, [1]Planilha1!$A$3:$B$1015,2,FALSE)</f>
        <v>8948</v>
      </c>
      <c r="D273" s="4">
        <f t="shared" si="4"/>
        <v>2.4855555555555555</v>
      </c>
      <c r="E273" s="4" t="s">
        <v>1125</v>
      </c>
      <c r="F273" s="3" t="s">
        <v>1863</v>
      </c>
      <c r="G273" s="3" t="s">
        <v>816</v>
      </c>
      <c r="H273" s="3" t="s">
        <v>44</v>
      </c>
      <c r="I273" s="3" t="s">
        <v>33</v>
      </c>
      <c r="J273" s="3" t="s">
        <v>41</v>
      </c>
      <c r="L273" s="1">
        <v>46045.551215277781</v>
      </c>
      <c r="M273" s="1">
        <v>46045.552499999998</v>
      </c>
      <c r="N273" s="1">
        <v>46045.60428240741</v>
      </c>
      <c r="O273" s="3" t="s">
        <v>43</v>
      </c>
      <c r="P273" s="3" t="s">
        <v>1866</v>
      </c>
      <c r="Q273" s="3" t="s">
        <v>42</v>
      </c>
      <c r="R273" s="3" t="s">
        <v>1865</v>
      </c>
      <c r="S273" s="3" t="s">
        <v>62</v>
      </c>
      <c r="T273" s="3" t="s">
        <v>61</v>
      </c>
      <c r="U273" s="4" t="b">
        <v>1</v>
      </c>
      <c r="V273" s="3" t="s">
        <v>31</v>
      </c>
      <c r="W273" s="1"/>
      <c r="Y273" s="3" t="s">
        <v>32</v>
      </c>
      <c r="Z273" s="3" t="s">
        <v>32</v>
      </c>
      <c r="AA273" s="3"/>
      <c r="AB273" s="3"/>
      <c r="AC273" s="4" t="s">
        <v>30</v>
      </c>
      <c r="AD273" s="3"/>
      <c r="AE273" s="3" t="s">
        <v>1866</v>
      </c>
      <c r="AF273" s="4" t="s">
        <v>30</v>
      </c>
      <c r="AH273" s="4">
        <v>1</v>
      </c>
      <c r="AI273" s="3" t="s">
        <v>1862</v>
      </c>
      <c r="AJ273" s="4" t="s">
        <v>1864</v>
      </c>
      <c r="AK273" s="4"/>
      <c r="AL273" s="3"/>
    </row>
    <row r="274" spans="1:38" x14ac:dyDescent="0.35">
      <c r="A274" s="3" t="s">
        <v>1867</v>
      </c>
      <c r="B274" s="4" t="s">
        <v>94</v>
      </c>
      <c r="C274" s="4">
        <f>VLOOKUP(A274, [1]Planilha1!$A$3:$B$1015,2,FALSE)</f>
        <v>0</v>
      </c>
      <c r="D274" s="4">
        <f t="shared" si="4"/>
        <v>0</v>
      </c>
      <c r="E274" s="4" t="s">
        <v>1125</v>
      </c>
      <c r="F274" s="3" t="s">
        <v>92</v>
      </c>
      <c r="G274" s="3" t="s">
        <v>1868</v>
      </c>
      <c r="H274" s="3" t="s">
        <v>148</v>
      </c>
      <c r="I274" s="3" t="s">
        <v>33</v>
      </c>
      <c r="J274" s="3" t="s">
        <v>459</v>
      </c>
      <c r="L274" s="1">
        <v>46045.547997685186</v>
      </c>
      <c r="M274" s="1">
        <v>46045.54891203704</v>
      </c>
      <c r="N274" s="1">
        <v>46048.583333333336</v>
      </c>
      <c r="O274" s="3" t="s">
        <v>147</v>
      </c>
      <c r="P274" s="3" t="s">
        <v>94</v>
      </c>
      <c r="Q274" s="3" t="s">
        <v>35</v>
      </c>
      <c r="R274" s="3" t="s">
        <v>93</v>
      </c>
      <c r="S274" s="3" t="s">
        <v>82</v>
      </c>
      <c r="T274" s="3" t="s">
        <v>81</v>
      </c>
      <c r="U274" s="4" t="b">
        <v>1</v>
      </c>
      <c r="V274" s="3" t="s">
        <v>31</v>
      </c>
      <c r="W274" s="1"/>
      <c r="Y274" s="3" t="s">
        <v>32</v>
      </c>
      <c r="Z274" s="3" t="s">
        <v>32</v>
      </c>
      <c r="AA274" s="3"/>
      <c r="AB274" s="3"/>
      <c r="AC274" s="4" t="s">
        <v>30</v>
      </c>
      <c r="AD274" s="3"/>
      <c r="AE274" s="3" t="s">
        <v>94</v>
      </c>
      <c r="AF274" s="4" t="s">
        <v>30</v>
      </c>
      <c r="AH274" s="4">
        <v>0</v>
      </c>
      <c r="AI274" s="3" t="s">
        <v>1869</v>
      </c>
      <c r="AJ274" s="4"/>
      <c r="AK274" s="4"/>
      <c r="AL274" s="3"/>
    </row>
    <row r="275" spans="1:38" x14ac:dyDescent="0.35">
      <c r="A275" s="3" t="s">
        <v>1870</v>
      </c>
      <c r="B275" s="4" t="s">
        <v>58</v>
      </c>
      <c r="C275" s="4">
        <f>VLOOKUP(A275, [1]Planilha1!$A$3:$B$1015,2,FALSE)</f>
        <v>14858</v>
      </c>
      <c r="D275" s="4">
        <f t="shared" si="4"/>
        <v>4.1272222222222226</v>
      </c>
      <c r="E275" s="4" t="s">
        <v>1125</v>
      </c>
      <c r="F275" s="3" t="s">
        <v>54</v>
      </c>
      <c r="G275" s="3" t="s">
        <v>1871</v>
      </c>
      <c r="H275" s="3" t="s">
        <v>154</v>
      </c>
      <c r="I275" s="3" t="s">
        <v>33</v>
      </c>
      <c r="J275" s="3" t="s">
        <v>152</v>
      </c>
      <c r="L275" s="1">
        <v>46045.546967592592</v>
      </c>
      <c r="M275" s="1">
        <v>46045.54859953704</v>
      </c>
      <c r="N275" s="1">
        <v>46051.521805555552</v>
      </c>
      <c r="O275" s="3" t="s">
        <v>153</v>
      </c>
      <c r="P275" s="3" t="s">
        <v>57</v>
      </c>
      <c r="Q275" s="3" t="s">
        <v>52</v>
      </c>
      <c r="R275" s="3" t="s">
        <v>56</v>
      </c>
      <c r="S275" s="3" t="s">
        <v>64</v>
      </c>
      <c r="T275" s="3" t="s">
        <v>63</v>
      </c>
      <c r="U275" s="4" t="b">
        <v>0</v>
      </c>
      <c r="V275" s="3" t="s">
        <v>28</v>
      </c>
      <c r="W275" s="1"/>
      <c r="Y275" s="3" t="s">
        <v>29</v>
      </c>
      <c r="Z275" s="3" t="s">
        <v>29</v>
      </c>
      <c r="AA275" s="3" t="s">
        <v>155</v>
      </c>
      <c r="AB275" s="3" t="s">
        <v>58</v>
      </c>
      <c r="AC275" s="4" t="s">
        <v>30</v>
      </c>
      <c r="AD275" s="3" t="s">
        <v>59</v>
      </c>
      <c r="AE275" s="3" t="s">
        <v>57</v>
      </c>
      <c r="AF275" s="4" t="s">
        <v>30</v>
      </c>
      <c r="AH275" s="4">
        <v>2</v>
      </c>
      <c r="AI275" s="3" t="s">
        <v>1872</v>
      </c>
      <c r="AJ275" s="4" t="s">
        <v>55</v>
      </c>
      <c r="AK275" s="4" t="s">
        <v>156</v>
      </c>
      <c r="AL275" s="3"/>
    </row>
    <row r="276" spans="1:38" x14ac:dyDescent="0.35">
      <c r="A276" s="3" t="s">
        <v>1873</v>
      </c>
      <c r="B276" s="4" t="s">
        <v>1880</v>
      </c>
      <c r="C276" s="4">
        <f>VLOOKUP(A276, [1]Planilha1!$A$3:$B$1015,2,FALSE)</f>
        <v>0</v>
      </c>
      <c r="D276" s="4">
        <f t="shared" si="4"/>
        <v>0</v>
      </c>
      <c r="E276" s="4" t="s">
        <v>1125</v>
      </c>
      <c r="F276" s="3" t="s">
        <v>1877</v>
      </c>
      <c r="G276" s="3" t="s">
        <v>1874</v>
      </c>
      <c r="H276" s="3" t="s">
        <v>224</v>
      </c>
      <c r="I276" s="3" t="s">
        <v>33</v>
      </c>
      <c r="J276" s="3" t="s">
        <v>60</v>
      </c>
      <c r="K276" s="3" t="s">
        <v>1876</v>
      </c>
      <c r="L276" s="1">
        <v>46045.531076388892</v>
      </c>
      <c r="M276" s="1">
        <v>46045.553738425922</v>
      </c>
      <c r="N276" s="1">
        <v>46048.583333333336</v>
      </c>
      <c r="O276" s="3" t="s">
        <v>223</v>
      </c>
      <c r="P276" s="3" t="s">
        <v>1880</v>
      </c>
      <c r="Q276" s="3" t="s">
        <v>35</v>
      </c>
      <c r="R276" s="3" t="s">
        <v>1879</v>
      </c>
      <c r="S276" s="3" t="s">
        <v>144</v>
      </c>
      <c r="T276" s="3" t="s">
        <v>143</v>
      </c>
      <c r="U276" s="4" t="b">
        <v>1</v>
      </c>
      <c r="V276" s="3" t="s">
        <v>31</v>
      </c>
      <c r="W276" s="1"/>
      <c r="Y276" s="3" t="s">
        <v>32</v>
      </c>
      <c r="Z276" s="3" t="s">
        <v>32</v>
      </c>
      <c r="AA276" s="3"/>
      <c r="AB276" s="3"/>
      <c r="AC276" s="4" t="s">
        <v>30</v>
      </c>
      <c r="AD276" s="3"/>
      <c r="AE276" s="3" t="s">
        <v>1880</v>
      </c>
      <c r="AF276" s="4" t="s">
        <v>30</v>
      </c>
      <c r="AH276" s="4">
        <v>0</v>
      </c>
      <c r="AI276" s="3" t="s">
        <v>1875</v>
      </c>
      <c r="AJ276" s="4" t="s">
        <v>1878</v>
      </c>
      <c r="AK276" s="4"/>
      <c r="AL276" s="3"/>
    </row>
    <row r="277" spans="1:38" x14ac:dyDescent="0.35">
      <c r="A277" s="3" t="s">
        <v>1881</v>
      </c>
      <c r="B277" s="4" t="s">
        <v>94</v>
      </c>
      <c r="C277" s="4">
        <f>VLOOKUP(A277, [1]Planilha1!$A$3:$B$1015,2,FALSE)</f>
        <v>0</v>
      </c>
      <c r="D277" s="4">
        <f t="shared" si="4"/>
        <v>0</v>
      </c>
      <c r="E277" s="4" t="s">
        <v>1125</v>
      </c>
      <c r="F277" s="3" t="s">
        <v>92</v>
      </c>
      <c r="G277" s="3" t="s">
        <v>44</v>
      </c>
      <c r="H277" s="3" t="s">
        <v>44</v>
      </c>
      <c r="I277" s="3" t="s">
        <v>33</v>
      </c>
      <c r="J277" s="3" t="s">
        <v>60</v>
      </c>
      <c r="L277" s="1">
        <v>46045.527673611112</v>
      </c>
      <c r="M277" s="1">
        <v>46045.529594907406</v>
      </c>
      <c r="N277" s="1">
        <v>46048.541678240741</v>
      </c>
      <c r="O277" s="3" t="s">
        <v>43</v>
      </c>
      <c r="P277" s="3" t="s">
        <v>94</v>
      </c>
      <c r="Q277" s="3" t="s">
        <v>42</v>
      </c>
      <c r="R277" s="3" t="s">
        <v>93</v>
      </c>
      <c r="S277" s="3" t="s">
        <v>120</v>
      </c>
      <c r="T277" s="3" t="s">
        <v>119</v>
      </c>
      <c r="U277" s="4" t="b">
        <v>1</v>
      </c>
      <c r="V277" s="3" t="s">
        <v>31</v>
      </c>
      <c r="W277" s="1"/>
      <c r="Y277" s="3" t="s">
        <v>32</v>
      </c>
      <c r="Z277" s="3" t="s">
        <v>32</v>
      </c>
      <c r="AA277" s="3"/>
      <c r="AB277" s="3"/>
      <c r="AC277" s="4" t="s">
        <v>30</v>
      </c>
      <c r="AD277" s="3"/>
      <c r="AE277" s="3" t="s">
        <v>94</v>
      </c>
      <c r="AF277" s="4" t="s">
        <v>30</v>
      </c>
      <c r="AH277" s="4">
        <v>0</v>
      </c>
      <c r="AI277" s="3" t="s">
        <v>1882</v>
      </c>
      <c r="AJ277" s="4"/>
      <c r="AK277" s="4"/>
      <c r="AL277" s="3"/>
    </row>
    <row r="278" spans="1:38" x14ac:dyDescent="0.35">
      <c r="A278" s="3" t="s">
        <v>1883</v>
      </c>
      <c r="B278" s="4" t="s">
        <v>1888</v>
      </c>
      <c r="C278" s="4">
        <f>VLOOKUP(A278, [1]Planilha1!$A$3:$B$1015,2,FALSE)</f>
        <v>2588</v>
      </c>
      <c r="D278" s="4">
        <f t="shared" si="4"/>
        <v>0.71888888888888891</v>
      </c>
      <c r="E278" s="4" t="s">
        <v>1125</v>
      </c>
      <c r="F278" s="3" t="s">
        <v>1885</v>
      </c>
      <c r="G278" s="3" t="s">
        <v>74</v>
      </c>
      <c r="H278" s="3" t="s">
        <v>44</v>
      </c>
      <c r="I278" s="3" t="s">
        <v>33</v>
      </c>
      <c r="J278" s="3" t="s">
        <v>41</v>
      </c>
      <c r="L278" s="1">
        <v>46045.524722222224</v>
      </c>
      <c r="M278" s="1">
        <v>46045.52753472222</v>
      </c>
      <c r="N278" s="1">
        <v>46045.542511574073</v>
      </c>
      <c r="O278" s="3" t="s">
        <v>43</v>
      </c>
      <c r="P278" s="3" t="s">
        <v>1888</v>
      </c>
      <c r="Q278" s="3" t="s">
        <v>42</v>
      </c>
      <c r="R278" s="3" t="s">
        <v>1887</v>
      </c>
      <c r="S278" s="3" t="s">
        <v>80</v>
      </c>
      <c r="T278" s="3" t="s">
        <v>79</v>
      </c>
      <c r="U278" s="4" t="b">
        <v>1</v>
      </c>
      <c r="V278" s="3" t="s">
        <v>31</v>
      </c>
      <c r="W278" s="1"/>
      <c r="Y278" s="3" t="s">
        <v>32</v>
      </c>
      <c r="Z278" s="3" t="s">
        <v>32</v>
      </c>
      <c r="AA278" s="3"/>
      <c r="AB278" s="3"/>
      <c r="AC278" s="4" t="s">
        <v>30</v>
      </c>
      <c r="AD278" s="3"/>
      <c r="AE278" s="3" t="s">
        <v>1888</v>
      </c>
      <c r="AF278" s="4" t="s">
        <v>30</v>
      </c>
      <c r="AH278" s="4">
        <v>1</v>
      </c>
      <c r="AI278" s="3" t="s">
        <v>1884</v>
      </c>
      <c r="AJ278" s="4" t="s">
        <v>1886</v>
      </c>
      <c r="AK278" s="4"/>
      <c r="AL278" s="3"/>
    </row>
    <row r="279" spans="1:38" x14ac:dyDescent="0.35">
      <c r="A279" s="3" t="s">
        <v>1889</v>
      </c>
      <c r="B279" s="4" t="s">
        <v>1894</v>
      </c>
      <c r="C279" s="4">
        <f>VLOOKUP(A279, [1]Planilha1!$A$3:$B$1015,2,FALSE)</f>
        <v>6345</v>
      </c>
      <c r="D279" s="4">
        <f t="shared" si="4"/>
        <v>1.7625</v>
      </c>
      <c r="E279" s="4" t="s">
        <v>1125</v>
      </c>
      <c r="F279" s="3" t="s">
        <v>1892</v>
      </c>
      <c r="G279" s="3" t="s">
        <v>1890</v>
      </c>
      <c r="H279" s="3" t="s">
        <v>224</v>
      </c>
      <c r="I279" s="3" t="s">
        <v>33</v>
      </c>
      <c r="J279" s="3" t="s">
        <v>41</v>
      </c>
      <c r="L279" s="1">
        <v>46045.520624999997</v>
      </c>
      <c r="M279" s="1">
        <v>46045.520624999997</v>
      </c>
      <c r="N279" s="1">
        <v>46045.545104166667</v>
      </c>
      <c r="O279" s="3" t="s">
        <v>223</v>
      </c>
      <c r="P279" s="3" t="s">
        <v>1894</v>
      </c>
      <c r="Q279" s="3" t="s">
        <v>42</v>
      </c>
      <c r="R279" s="3" t="s">
        <v>1893</v>
      </c>
      <c r="S279" s="3" t="s">
        <v>37</v>
      </c>
      <c r="T279" s="3" t="s">
        <v>36</v>
      </c>
      <c r="U279" s="4" t="b">
        <v>1</v>
      </c>
      <c r="V279" s="3" t="s">
        <v>28</v>
      </c>
      <c r="W279" s="1"/>
      <c r="Y279" s="3" t="s">
        <v>29</v>
      </c>
      <c r="Z279" s="3" t="s">
        <v>29</v>
      </c>
      <c r="AA279" s="3"/>
      <c r="AB279" s="3"/>
      <c r="AC279" s="4" t="s">
        <v>30</v>
      </c>
      <c r="AD279" s="3"/>
      <c r="AE279" s="3" t="s">
        <v>1894</v>
      </c>
      <c r="AF279" s="4" t="s">
        <v>30</v>
      </c>
      <c r="AH279" s="4">
        <v>0</v>
      </c>
      <c r="AI279" s="3" t="s">
        <v>1891</v>
      </c>
      <c r="AJ279" s="4"/>
      <c r="AK279" s="4"/>
      <c r="AL279" s="3"/>
    </row>
    <row r="280" spans="1:38" x14ac:dyDescent="0.35">
      <c r="A280" s="3" t="s">
        <v>1895</v>
      </c>
      <c r="B280" s="4" t="s">
        <v>1901</v>
      </c>
      <c r="C280" s="4">
        <f>VLOOKUP(A280, [1]Planilha1!$A$3:$B$1015,2,FALSE)</f>
        <v>0</v>
      </c>
      <c r="D280" s="4">
        <f t="shared" si="4"/>
        <v>0</v>
      </c>
      <c r="E280" s="4" t="s">
        <v>1125</v>
      </c>
      <c r="F280" s="3" t="s">
        <v>1898</v>
      </c>
      <c r="G280" s="3" t="s">
        <v>134</v>
      </c>
      <c r="H280" s="3" t="s">
        <v>138</v>
      </c>
      <c r="I280" s="3" t="s">
        <v>33</v>
      </c>
      <c r="J280" s="3" t="s">
        <v>60</v>
      </c>
      <c r="K280" s="3" t="s">
        <v>1897</v>
      </c>
      <c r="L280" s="1">
        <v>46045.516701388886</v>
      </c>
      <c r="M280" s="1">
        <v>46045.524143518516</v>
      </c>
      <c r="N280" s="1">
        <v>46048.541678240741</v>
      </c>
      <c r="O280" s="3" t="s">
        <v>137</v>
      </c>
      <c r="P280" s="3" t="s">
        <v>1901</v>
      </c>
      <c r="Q280" s="3" t="s">
        <v>35</v>
      </c>
      <c r="R280" s="3" t="s">
        <v>1900</v>
      </c>
      <c r="S280" s="3" t="s">
        <v>144</v>
      </c>
      <c r="T280" s="3" t="s">
        <v>143</v>
      </c>
      <c r="U280" s="4" t="b">
        <v>1</v>
      </c>
      <c r="V280" s="3" t="s">
        <v>31</v>
      </c>
      <c r="W280" s="1"/>
      <c r="Y280" s="3" t="s">
        <v>32</v>
      </c>
      <c r="Z280" s="3" t="s">
        <v>32</v>
      </c>
      <c r="AA280" s="3"/>
      <c r="AB280" s="3"/>
      <c r="AC280" s="4" t="s">
        <v>30</v>
      </c>
      <c r="AD280" s="3"/>
      <c r="AE280" s="3" t="s">
        <v>1901</v>
      </c>
      <c r="AF280" s="4" t="s">
        <v>30</v>
      </c>
      <c r="AH280" s="4">
        <v>0</v>
      </c>
      <c r="AI280" s="3" t="s">
        <v>1896</v>
      </c>
      <c r="AJ280" s="4" t="s">
        <v>1899</v>
      </c>
      <c r="AK280" s="4"/>
      <c r="AL280" s="3"/>
    </row>
    <row r="281" spans="1:38" x14ac:dyDescent="0.35">
      <c r="A281" s="3" t="s">
        <v>1902</v>
      </c>
      <c r="B281" s="4" t="s">
        <v>1908</v>
      </c>
      <c r="C281" s="4">
        <f>VLOOKUP(A281, [1]Planilha1!$A$3:$B$1015,2,FALSE)</f>
        <v>0</v>
      </c>
      <c r="D281" s="4">
        <f t="shared" si="4"/>
        <v>0</v>
      </c>
      <c r="E281" s="4" t="s">
        <v>1125</v>
      </c>
      <c r="F281" s="3" t="s">
        <v>1905</v>
      </c>
      <c r="G281" s="3" t="s">
        <v>214</v>
      </c>
      <c r="H281" s="3" t="s">
        <v>44</v>
      </c>
      <c r="I281" s="3" t="s">
        <v>33</v>
      </c>
      <c r="J281" s="3" t="s">
        <v>60</v>
      </c>
      <c r="K281" s="3" t="s">
        <v>1904</v>
      </c>
      <c r="L281" s="1">
        <v>46045.510879629626</v>
      </c>
      <c r="M281" s="1">
        <v>46045.526331018518</v>
      </c>
      <c r="N281" s="1">
        <v>46048.541678240741</v>
      </c>
      <c r="O281" s="3" t="s">
        <v>43</v>
      </c>
      <c r="P281" s="3" t="s">
        <v>1908</v>
      </c>
      <c r="Q281" s="3" t="s">
        <v>35</v>
      </c>
      <c r="R281" s="3" t="s">
        <v>1907</v>
      </c>
      <c r="S281" s="3" t="s">
        <v>144</v>
      </c>
      <c r="T281" s="3" t="s">
        <v>143</v>
      </c>
      <c r="U281" s="4" t="b">
        <v>1</v>
      </c>
      <c r="V281" s="3" t="s">
        <v>31</v>
      </c>
      <c r="W281" s="1"/>
      <c r="Y281" s="3" t="s">
        <v>32</v>
      </c>
      <c r="Z281" s="3" t="s">
        <v>32</v>
      </c>
      <c r="AA281" s="3"/>
      <c r="AB281" s="3"/>
      <c r="AC281" s="4" t="s">
        <v>30</v>
      </c>
      <c r="AD281" s="3"/>
      <c r="AE281" s="3" t="s">
        <v>1908</v>
      </c>
      <c r="AF281" s="4" t="s">
        <v>30</v>
      </c>
      <c r="AH281" s="4">
        <v>0</v>
      </c>
      <c r="AI281" s="3" t="s">
        <v>1903</v>
      </c>
      <c r="AJ281" s="4" t="s">
        <v>1906</v>
      </c>
      <c r="AK281" s="4"/>
      <c r="AL281" s="3"/>
    </row>
    <row r="282" spans="1:38" x14ac:dyDescent="0.35">
      <c r="A282" s="3" t="s">
        <v>1909</v>
      </c>
      <c r="B282" s="4" t="s">
        <v>1485</v>
      </c>
      <c r="C282" s="4">
        <f>VLOOKUP(A282, [1]Planilha1!$A$3:$B$1015,2,FALSE)</f>
        <v>20218</v>
      </c>
      <c r="D282" s="4">
        <f t="shared" si="4"/>
        <v>5.6161111111111115</v>
      </c>
      <c r="E282" s="4" t="s">
        <v>1125</v>
      </c>
      <c r="F282" s="3" t="s">
        <v>1482</v>
      </c>
      <c r="G282" s="3" t="s">
        <v>134</v>
      </c>
      <c r="H282" s="3" t="s">
        <v>138</v>
      </c>
      <c r="I282" s="3" t="s">
        <v>33</v>
      </c>
      <c r="J282" s="3" t="s">
        <v>60</v>
      </c>
      <c r="K282" s="3" t="s">
        <v>1481</v>
      </c>
      <c r="L282" s="1">
        <v>46045.510648148149</v>
      </c>
      <c r="M282" s="1">
        <v>46045.510648148149</v>
      </c>
      <c r="N282" s="1">
        <v>46048.666666666664</v>
      </c>
      <c r="O282" s="3" t="s">
        <v>137</v>
      </c>
      <c r="P282" s="3" t="s">
        <v>1485</v>
      </c>
      <c r="Q282" s="3" t="s">
        <v>35</v>
      </c>
      <c r="R282" s="3" t="s">
        <v>1484</v>
      </c>
      <c r="S282" s="3" t="s">
        <v>37</v>
      </c>
      <c r="T282" s="3" t="s">
        <v>36</v>
      </c>
      <c r="U282" s="4" t="b">
        <v>1</v>
      </c>
      <c r="V282" s="3" t="s">
        <v>28</v>
      </c>
      <c r="W282" s="1"/>
      <c r="Y282" s="3" t="s">
        <v>29</v>
      </c>
      <c r="Z282" s="3" t="s">
        <v>29</v>
      </c>
      <c r="AA282" s="3"/>
      <c r="AB282" s="3"/>
      <c r="AC282" s="4" t="s">
        <v>30</v>
      </c>
      <c r="AD282" s="3"/>
      <c r="AE282" s="3" t="s">
        <v>1485</v>
      </c>
      <c r="AF282" s="4" t="s">
        <v>30</v>
      </c>
      <c r="AH282" s="4">
        <v>0</v>
      </c>
      <c r="AI282" s="3" t="s">
        <v>1910</v>
      </c>
      <c r="AJ282" s="4" t="s">
        <v>1483</v>
      </c>
      <c r="AK282" s="4"/>
      <c r="AL282" s="3"/>
    </row>
    <row r="283" spans="1:38" x14ac:dyDescent="0.35">
      <c r="A283" s="3" t="s">
        <v>1911</v>
      </c>
      <c r="B283" s="4" t="s">
        <v>1167</v>
      </c>
      <c r="C283" s="4">
        <f>VLOOKUP(A283, [1]Planilha1!$A$3:$B$1015,2,FALSE)</f>
        <v>102860</v>
      </c>
      <c r="D283" s="4">
        <f t="shared" si="4"/>
        <v>28.572222222222223</v>
      </c>
      <c r="E283" s="4" t="s">
        <v>1125</v>
      </c>
      <c r="F283" s="3" t="s">
        <v>1914</v>
      </c>
      <c r="G283" s="3" t="s">
        <v>1912</v>
      </c>
      <c r="H283" s="3" t="s">
        <v>622</v>
      </c>
      <c r="I283" s="3" t="s">
        <v>33</v>
      </c>
      <c r="J283" s="3" t="s">
        <v>250</v>
      </c>
      <c r="K283" s="3" t="s">
        <v>818</v>
      </c>
      <c r="L283" s="1">
        <v>46045.507430555554</v>
      </c>
      <c r="M283" s="1">
        <v>46045.523495370369</v>
      </c>
      <c r="N283" s="1">
        <v>46058.666666666664</v>
      </c>
      <c r="O283" s="3" t="s">
        <v>621</v>
      </c>
      <c r="P283" s="3" t="s">
        <v>1167</v>
      </c>
      <c r="Q283" s="3" t="s">
        <v>35</v>
      </c>
      <c r="R283" s="3" t="s">
        <v>1166</v>
      </c>
      <c r="S283" s="3" t="s">
        <v>80</v>
      </c>
      <c r="T283" s="3" t="s">
        <v>79</v>
      </c>
      <c r="U283" s="4" t="b">
        <v>1</v>
      </c>
      <c r="V283" s="3" t="s">
        <v>31</v>
      </c>
      <c r="W283" s="1"/>
      <c r="Y283" s="3" t="s">
        <v>32</v>
      </c>
      <c r="Z283" s="3" t="s">
        <v>32</v>
      </c>
      <c r="AA283" s="3"/>
      <c r="AB283" s="3"/>
      <c r="AC283" s="4" t="s">
        <v>30</v>
      </c>
      <c r="AD283" s="3"/>
      <c r="AE283" s="3" t="s">
        <v>1167</v>
      </c>
      <c r="AF283" s="4" t="s">
        <v>30</v>
      </c>
      <c r="AH283" s="4">
        <v>11</v>
      </c>
      <c r="AI283" s="3" t="s">
        <v>1913</v>
      </c>
      <c r="AJ283" s="4" t="s">
        <v>5853</v>
      </c>
      <c r="AK283" s="4"/>
      <c r="AL283" s="3"/>
    </row>
    <row r="284" spans="1:38" x14ac:dyDescent="0.35">
      <c r="A284" s="3" t="s">
        <v>1915</v>
      </c>
      <c r="B284" s="4" t="s">
        <v>94</v>
      </c>
      <c r="C284" s="4">
        <f>VLOOKUP(A284, [1]Planilha1!$A$3:$B$1015,2,FALSE)</f>
        <v>0</v>
      </c>
      <c r="D284" s="4">
        <f t="shared" si="4"/>
        <v>0</v>
      </c>
      <c r="E284" s="4" t="s">
        <v>1125</v>
      </c>
      <c r="F284" s="3" t="s">
        <v>92</v>
      </c>
      <c r="G284" s="3" t="s">
        <v>1916</v>
      </c>
      <c r="H284" s="3" t="s">
        <v>237</v>
      </c>
      <c r="I284" s="3" t="s">
        <v>33</v>
      </c>
      <c r="J284" s="3" t="s">
        <v>60</v>
      </c>
      <c r="L284" s="1">
        <v>46045.506493055553</v>
      </c>
      <c r="M284" s="1">
        <v>46045.510092592594</v>
      </c>
      <c r="N284" s="1">
        <v>46048.541678240741</v>
      </c>
      <c r="O284" s="3" t="s">
        <v>1370</v>
      </c>
      <c r="P284" s="3" t="s">
        <v>94</v>
      </c>
      <c r="Q284" s="3" t="s">
        <v>42</v>
      </c>
      <c r="R284" s="3" t="s">
        <v>93</v>
      </c>
      <c r="S284" s="3" t="s">
        <v>120</v>
      </c>
      <c r="T284" s="3" t="s">
        <v>119</v>
      </c>
      <c r="U284" s="4" t="b">
        <v>1</v>
      </c>
      <c r="V284" s="3" t="s">
        <v>31</v>
      </c>
      <c r="W284" s="1"/>
      <c r="Y284" s="3" t="s">
        <v>32</v>
      </c>
      <c r="Z284" s="3" t="s">
        <v>32</v>
      </c>
      <c r="AA284" s="3"/>
      <c r="AB284" s="3"/>
      <c r="AC284" s="4" t="s">
        <v>30</v>
      </c>
      <c r="AD284" s="3"/>
      <c r="AE284" s="3" t="s">
        <v>94</v>
      </c>
      <c r="AF284" s="4" t="s">
        <v>30</v>
      </c>
      <c r="AH284" s="4">
        <v>0</v>
      </c>
      <c r="AI284" s="3" t="s">
        <v>1917</v>
      </c>
      <c r="AJ284" s="4"/>
      <c r="AK284" s="4"/>
      <c r="AL284" s="3"/>
    </row>
    <row r="285" spans="1:38" x14ac:dyDescent="0.35">
      <c r="A285" s="3" t="s">
        <v>1918</v>
      </c>
      <c r="B285" s="4" t="s">
        <v>1924</v>
      </c>
      <c r="C285" s="4">
        <f>VLOOKUP(A285, [1]Planilha1!$A$3:$B$1015,2,FALSE)</f>
        <v>0</v>
      </c>
      <c r="D285" s="4">
        <f t="shared" si="4"/>
        <v>0</v>
      </c>
      <c r="E285" s="4" t="s">
        <v>1125</v>
      </c>
      <c r="F285" s="3" t="s">
        <v>1921</v>
      </c>
      <c r="G285" s="3" t="s">
        <v>1208</v>
      </c>
      <c r="H285" s="3" t="s">
        <v>428</v>
      </c>
      <c r="I285" s="3" t="s">
        <v>33</v>
      </c>
      <c r="J285" s="3" t="s">
        <v>60</v>
      </c>
      <c r="K285" s="3" t="s">
        <v>1920</v>
      </c>
      <c r="L285" s="1">
        <v>46045.505983796298</v>
      </c>
      <c r="M285" s="1">
        <v>46045.516053240739</v>
      </c>
      <c r="N285" s="1">
        <v>46048.541678240741</v>
      </c>
      <c r="O285" s="3" t="s">
        <v>427</v>
      </c>
      <c r="P285" s="3" t="s">
        <v>1924</v>
      </c>
      <c r="Q285" s="3" t="s">
        <v>35</v>
      </c>
      <c r="R285" s="3" t="s">
        <v>1923</v>
      </c>
      <c r="S285" s="3" t="s">
        <v>144</v>
      </c>
      <c r="T285" s="3" t="s">
        <v>143</v>
      </c>
      <c r="U285" s="4" t="b">
        <v>1</v>
      </c>
      <c r="V285" s="3" t="s">
        <v>31</v>
      </c>
      <c r="W285" s="1"/>
      <c r="Y285" s="3" t="s">
        <v>32</v>
      </c>
      <c r="Z285" s="3" t="s">
        <v>32</v>
      </c>
      <c r="AA285" s="3"/>
      <c r="AB285" s="3"/>
      <c r="AC285" s="4" t="s">
        <v>30</v>
      </c>
      <c r="AD285" s="3"/>
      <c r="AE285" s="3" t="s">
        <v>1924</v>
      </c>
      <c r="AF285" s="4" t="s">
        <v>30</v>
      </c>
      <c r="AH285" s="4">
        <v>0</v>
      </c>
      <c r="AI285" s="3" t="s">
        <v>1919</v>
      </c>
      <c r="AJ285" s="4" t="s">
        <v>1922</v>
      </c>
      <c r="AK285" s="4"/>
      <c r="AL285" s="3"/>
    </row>
    <row r="286" spans="1:38" x14ac:dyDescent="0.35">
      <c r="A286" s="3" t="s">
        <v>1925</v>
      </c>
      <c r="B286" s="4" t="s">
        <v>1931</v>
      </c>
      <c r="C286" s="4">
        <f>VLOOKUP(A286, [1]Planilha1!$A$3:$B$1015,2,FALSE)</f>
        <v>50349</v>
      </c>
      <c r="D286" s="4">
        <f t="shared" si="4"/>
        <v>13.985833333333334</v>
      </c>
      <c r="E286" s="4" t="s">
        <v>1125</v>
      </c>
      <c r="F286" s="3" t="s">
        <v>1928</v>
      </c>
      <c r="G286" s="3" t="s">
        <v>1926</v>
      </c>
      <c r="H286" s="3" t="s">
        <v>428</v>
      </c>
      <c r="I286" s="3" t="s">
        <v>33</v>
      </c>
      <c r="J286" s="3" t="s">
        <v>41</v>
      </c>
      <c r="L286" s="1">
        <v>46045.503564814811</v>
      </c>
      <c r="M286" s="1">
        <v>46045.503564814811</v>
      </c>
      <c r="N286" s="1">
        <v>46048.339872685188</v>
      </c>
      <c r="O286" s="3" t="s">
        <v>427</v>
      </c>
      <c r="P286" s="3" t="s">
        <v>1931</v>
      </c>
      <c r="Q286" s="3" t="s">
        <v>35</v>
      </c>
      <c r="R286" s="3" t="s">
        <v>1930</v>
      </c>
      <c r="S286" s="3" t="s">
        <v>37</v>
      </c>
      <c r="T286" s="3" t="s">
        <v>36</v>
      </c>
      <c r="U286" s="4" t="b">
        <v>1</v>
      </c>
      <c r="V286" s="3" t="s">
        <v>28</v>
      </c>
      <c r="W286" s="1"/>
      <c r="Y286" s="3" t="s">
        <v>29</v>
      </c>
      <c r="Z286" s="3" t="s">
        <v>29</v>
      </c>
      <c r="AA286" s="3"/>
      <c r="AB286" s="3"/>
      <c r="AC286" s="4" t="s">
        <v>30</v>
      </c>
      <c r="AD286" s="3"/>
      <c r="AE286" s="3" t="s">
        <v>1931</v>
      </c>
      <c r="AF286" s="4" t="s">
        <v>30</v>
      </c>
      <c r="AH286" s="4">
        <v>1</v>
      </c>
      <c r="AI286" s="3" t="s">
        <v>1927</v>
      </c>
      <c r="AJ286" s="4" t="s">
        <v>1929</v>
      </c>
      <c r="AK286" s="4"/>
      <c r="AL286" s="3"/>
    </row>
    <row r="287" spans="1:38" x14ac:dyDescent="0.35">
      <c r="A287" s="3" t="s">
        <v>1932</v>
      </c>
      <c r="B287" s="4" t="s">
        <v>58</v>
      </c>
      <c r="C287" s="4">
        <f>VLOOKUP(A287, [1]Planilha1!$A$3:$B$1015,2,FALSE)</f>
        <v>23914</v>
      </c>
      <c r="D287" s="4">
        <f t="shared" si="4"/>
        <v>6.6427777777777779</v>
      </c>
      <c r="E287" s="4" t="s">
        <v>1125</v>
      </c>
      <c r="F287" s="3" t="s">
        <v>54</v>
      </c>
      <c r="G287" s="3" t="s">
        <v>1933</v>
      </c>
      <c r="H287" s="3" t="s">
        <v>154</v>
      </c>
      <c r="I287" s="3" t="s">
        <v>33</v>
      </c>
      <c r="J287" s="3" t="s">
        <v>152</v>
      </c>
      <c r="L287" s="1">
        <v>46045.498692129629</v>
      </c>
      <c r="M287" s="1">
        <v>46045.499756944446</v>
      </c>
      <c r="N287" s="1">
        <v>46050.529513888891</v>
      </c>
      <c r="O287" s="3" t="s">
        <v>153</v>
      </c>
      <c r="P287" s="3" t="s">
        <v>57</v>
      </c>
      <c r="Q287" s="3" t="s">
        <v>52</v>
      </c>
      <c r="R287" s="3" t="s">
        <v>56</v>
      </c>
      <c r="S287" s="3" t="s">
        <v>64</v>
      </c>
      <c r="T287" s="3" t="s">
        <v>63</v>
      </c>
      <c r="U287" s="4" t="b">
        <v>0</v>
      </c>
      <c r="V287" s="3" t="s">
        <v>28</v>
      </c>
      <c r="W287" s="1"/>
      <c r="Y287" s="3" t="s">
        <v>29</v>
      </c>
      <c r="Z287" s="3" t="s">
        <v>29</v>
      </c>
      <c r="AA287" s="3" t="s">
        <v>155</v>
      </c>
      <c r="AB287" s="3" t="s">
        <v>58</v>
      </c>
      <c r="AC287" s="4" t="s">
        <v>30</v>
      </c>
      <c r="AD287" s="3" t="s">
        <v>59</v>
      </c>
      <c r="AE287" s="3" t="s">
        <v>57</v>
      </c>
      <c r="AF287" s="4" t="s">
        <v>30</v>
      </c>
      <c r="AH287" s="4">
        <v>2</v>
      </c>
      <c r="AI287" s="3" t="s">
        <v>1934</v>
      </c>
      <c r="AJ287" s="4" t="s">
        <v>55</v>
      </c>
      <c r="AK287" s="4" t="s">
        <v>156</v>
      </c>
      <c r="AL287" s="3"/>
    </row>
    <row r="288" spans="1:38" x14ac:dyDescent="0.35">
      <c r="A288" s="3" t="s">
        <v>1935</v>
      </c>
      <c r="B288" s="4" t="s">
        <v>618</v>
      </c>
      <c r="C288" s="4">
        <f>VLOOKUP(A288, [1]Planilha1!$A$3:$B$1015,2,FALSE)</f>
        <v>25278</v>
      </c>
      <c r="D288" s="4">
        <f t="shared" si="4"/>
        <v>7.0216666666666665</v>
      </c>
      <c r="E288" s="4" t="s">
        <v>1125</v>
      </c>
      <c r="F288" s="3" t="s">
        <v>616</v>
      </c>
      <c r="G288" s="3" t="s">
        <v>1936</v>
      </c>
      <c r="H288" s="3" t="s">
        <v>44</v>
      </c>
      <c r="I288" s="3" t="s">
        <v>33</v>
      </c>
      <c r="J288" s="3" t="s">
        <v>41</v>
      </c>
      <c r="L288" s="1">
        <v>46045.496331018519</v>
      </c>
      <c r="M288" s="1">
        <v>46045.496331018519</v>
      </c>
      <c r="N288" s="1">
        <v>46045.623217592591</v>
      </c>
      <c r="O288" s="3" t="s">
        <v>43</v>
      </c>
      <c r="P288" s="3" t="s">
        <v>618</v>
      </c>
      <c r="Q288" s="3" t="s">
        <v>42</v>
      </c>
      <c r="R288" s="3" t="s">
        <v>617</v>
      </c>
      <c r="S288" s="3" t="s">
        <v>37</v>
      </c>
      <c r="T288" s="3" t="s">
        <v>36</v>
      </c>
      <c r="U288" s="4" t="b">
        <v>1</v>
      </c>
      <c r="V288" s="3" t="s">
        <v>28</v>
      </c>
      <c r="W288" s="1"/>
      <c r="Y288" s="3" t="s">
        <v>29</v>
      </c>
      <c r="Z288" s="3" t="s">
        <v>29</v>
      </c>
      <c r="AA288" s="3"/>
      <c r="AB288" s="3"/>
      <c r="AC288" s="4" t="s">
        <v>30</v>
      </c>
      <c r="AD288" s="3"/>
      <c r="AE288" s="3" t="s">
        <v>618</v>
      </c>
      <c r="AF288" s="4" t="s">
        <v>30</v>
      </c>
      <c r="AH288" s="4">
        <v>4</v>
      </c>
      <c r="AI288" s="3" t="s">
        <v>1937</v>
      </c>
      <c r="AJ288" s="4" t="s">
        <v>5820</v>
      </c>
      <c r="AK288" s="4"/>
      <c r="AL288" s="3"/>
    </row>
    <row r="289" spans="1:38" x14ac:dyDescent="0.35">
      <c r="A289" s="3" t="s">
        <v>1938</v>
      </c>
      <c r="B289" s="4" t="s">
        <v>58</v>
      </c>
      <c r="C289" s="4">
        <f>VLOOKUP(A289, [1]Planilha1!$A$3:$B$1015,2,FALSE)</f>
        <v>22346</v>
      </c>
      <c r="D289" s="4">
        <f t="shared" si="4"/>
        <v>6.2072222222222226</v>
      </c>
      <c r="E289" s="4" t="s">
        <v>1125</v>
      </c>
      <c r="F289" s="3" t="s">
        <v>54</v>
      </c>
      <c r="G289" s="3" t="s">
        <v>1939</v>
      </c>
      <c r="H289" s="3" t="s">
        <v>154</v>
      </c>
      <c r="I289" s="3" t="s">
        <v>33</v>
      </c>
      <c r="J289" s="3" t="s">
        <v>152</v>
      </c>
      <c r="L289" s="1">
        <v>46045.493344907409</v>
      </c>
      <c r="M289" s="1">
        <v>46045.49490740741</v>
      </c>
      <c r="N289" s="1">
        <v>46050.533680555556</v>
      </c>
      <c r="O289" s="3" t="s">
        <v>153</v>
      </c>
      <c r="P289" s="3" t="s">
        <v>57</v>
      </c>
      <c r="Q289" s="3" t="s">
        <v>52</v>
      </c>
      <c r="R289" s="3" t="s">
        <v>56</v>
      </c>
      <c r="S289" s="3" t="s">
        <v>64</v>
      </c>
      <c r="T289" s="3" t="s">
        <v>63</v>
      </c>
      <c r="U289" s="4" t="b">
        <v>0</v>
      </c>
      <c r="V289" s="3" t="s">
        <v>28</v>
      </c>
      <c r="W289" s="1"/>
      <c r="Y289" s="3" t="s">
        <v>29</v>
      </c>
      <c r="Z289" s="3" t="s">
        <v>29</v>
      </c>
      <c r="AA289" s="3" t="s">
        <v>155</v>
      </c>
      <c r="AB289" s="3" t="s">
        <v>58</v>
      </c>
      <c r="AC289" s="4" t="s">
        <v>30</v>
      </c>
      <c r="AD289" s="3" t="s">
        <v>59</v>
      </c>
      <c r="AE289" s="3" t="s">
        <v>57</v>
      </c>
      <c r="AF289" s="4" t="s">
        <v>30</v>
      </c>
      <c r="AH289" s="4">
        <v>2</v>
      </c>
      <c r="AI289" s="3" t="s">
        <v>1940</v>
      </c>
      <c r="AJ289" s="4" t="s">
        <v>55</v>
      </c>
      <c r="AK289" s="4" t="s">
        <v>156</v>
      </c>
      <c r="AL289" s="3"/>
    </row>
    <row r="290" spans="1:38" x14ac:dyDescent="0.35">
      <c r="A290" s="3" t="s">
        <v>1941</v>
      </c>
      <c r="B290" s="4" t="s">
        <v>1947</v>
      </c>
      <c r="C290" s="4">
        <f>VLOOKUP(A290, [1]Planilha1!$A$3:$B$1015,2,FALSE)</f>
        <v>18872</v>
      </c>
      <c r="D290" s="4">
        <f t="shared" si="4"/>
        <v>5.2422222222222219</v>
      </c>
      <c r="E290" s="4" t="s">
        <v>1125</v>
      </c>
      <c r="F290" s="3" t="s">
        <v>1944</v>
      </c>
      <c r="G290" s="3" t="s">
        <v>134</v>
      </c>
      <c r="H290" s="3" t="s">
        <v>138</v>
      </c>
      <c r="I290" s="3" t="s">
        <v>33</v>
      </c>
      <c r="J290" s="3" t="s">
        <v>60</v>
      </c>
      <c r="K290" s="3" t="s">
        <v>1943</v>
      </c>
      <c r="L290" s="1">
        <v>46045.492789351854</v>
      </c>
      <c r="M290" s="1">
        <v>46045.492789351854</v>
      </c>
      <c r="N290" s="1">
        <v>46048.625011574077</v>
      </c>
      <c r="O290" s="3" t="s">
        <v>137</v>
      </c>
      <c r="P290" s="3" t="s">
        <v>1947</v>
      </c>
      <c r="Q290" s="3" t="s">
        <v>35</v>
      </c>
      <c r="R290" s="3" t="s">
        <v>1946</v>
      </c>
      <c r="S290" s="3" t="s">
        <v>37</v>
      </c>
      <c r="T290" s="3" t="s">
        <v>36</v>
      </c>
      <c r="U290" s="4" t="b">
        <v>1</v>
      </c>
      <c r="V290" s="3" t="s">
        <v>28</v>
      </c>
      <c r="W290" s="1"/>
      <c r="Y290" s="3" t="s">
        <v>29</v>
      </c>
      <c r="Z290" s="3" t="s">
        <v>29</v>
      </c>
      <c r="AA290" s="3"/>
      <c r="AB290" s="3"/>
      <c r="AC290" s="4" t="s">
        <v>30</v>
      </c>
      <c r="AD290" s="3"/>
      <c r="AE290" s="3" t="s">
        <v>1947</v>
      </c>
      <c r="AF290" s="4" t="s">
        <v>30</v>
      </c>
      <c r="AH290" s="4">
        <v>0</v>
      </c>
      <c r="AI290" s="3" t="s">
        <v>1942</v>
      </c>
      <c r="AJ290" s="4" t="s">
        <v>1945</v>
      </c>
      <c r="AK290" s="4"/>
      <c r="AL290" s="3"/>
    </row>
    <row r="291" spans="1:38" x14ac:dyDescent="0.35">
      <c r="A291" s="3" t="s">
        <v>1948</v>
      </c>
      <c r="B291" s="4" t="s">
        <v>94</v>
      </c>
      <c r="C291" s="4">
        <f>VLOOKUP(A291, [1]Planilha1!$A$3:$B$1015,2,FALSE)</f>
        <v>0</v>
      </c>
      <c r="D291" s="4">
        <f t="shared" si="4"/>
        <v>0</v>
      </c>
      <c r="E291" s="4" t="s">
        <v>1125</v>
      </c>
      <c r="F291" s="3" t="s">
        <v>92</v>
      </c>
      <c r="G291" s="3" t="s">
        <v>433</v>
      </c>
      <c r="H291" s="3" t="s">
        <v>148</v>
      </c>
      <c r="I291" s="3" t="s">
        <v>33</v>
      </c>
      <c r="J291" s="3" t="s">
        <v>60</v>
      </c>
      <c r="L291" s="1">
        <v>46045.492256944446</v>
      </c>
      <c r="M291" s="1">
        <v>46045.493761574071</v>
      </c>
      <c r="N291" s="1">
        <v>46048.5</v>
      </c>
      <c r="O291" s="3" t="s">
        <v>147</v>
      </c>
      <c r="P291" s="3" t="s">
        <v>94</v>
      </c>
      <c r="Q291" s="3" t="s">
        <v>35</v>
      </c>
      <c r="R291" s="3" t="s">
        <v>93</v>
      </c>
      <c r="S291" s="3" t="s">
        <v>82</v>
      </c>
      <c r="T291" s="3" t="s">
        <v>81</v>
      </c>
      <c r="U291" s="4" t="b">
        <v>1</v>
      </c>
      <c r="V291" s="3" t="s">
        <v>31</v>
      </c>
      <c r="W291" s="1"/>
      <c r="Y291" s="3" t="s">
        <v>32</v>
      </c>
      <c r="Z291" s="3" t="s">
        <v>32</v>
      </c>
      <c r="AA291" s="3"/>
      <c r="AB291" s="3"/>
      <c r="AC291" s="4" t="s">
        <v>30</v>
      </c>
      <c r="AD291" s="3"/>
      <c r="AE291" s="3" t="s">
        <v>94</v>
      </c>
      <c r="AF291" s="4" t="s">
        <v>30</v>
      </c>
      <c r="AH291" s="4">
        <v>0</v>
      </c>
      <c r="AI291" s="3" t="s">
        <v>1949</v>
      </c>
      <c r="AJ291" s="4"/>
      <c r="AK291" s="4"/>
      <c r="AL291" s="3"/>
    </row>
    <row r="292" spans="1:38" x14ac:dyDescent="0.35">
      <c r="A292" s="3" t="s">
        <v>1954</v>
      </c>
      <c r="B292" s="4" t="s">
        <v>1960</v>
      </c>
      <c r="C292" s="4">
        <f>VLOOKUP(A292, [1]Planilha1!$A$3:$B$1015,2,FALSE)</f>
        <v>12642</v>
      </c>
      <c r="D292" s="4">
        <f t="shared" si="4"/>
        <v>3.5116666666666667</v>
      </c>
      <c r="E292" s="4" t="s">
        <v>1125</v>
      </c>
      <c r="F292" s="3" t="s">
        <v>1957</v>
      </c>
      <c r="G292" s="3" t="s">
        <v>1955</v>
      </c>
      <c r="H292" s="3" t="s">
        <v>138</v>
      </c>
      <c r="I292" s="3" t="s">
        <v>33</v>
      </c>
      <c r="J292" s="3" t="s">
        <v>41</v>
      </c>
      <c r="L292" s="1">
        <v>46045.442754629628</v>
      </c>
      <c r="M292" s="1">
        <v>46045.442754629628</v>
      </c>
      <c r="N292" s="1">
        <v>46045.491527777776</v>
      </c>
      <c r="O292" s="3" t="s">
        <v>137</v>
      </c>
      <c r="P292" s="3" t="s">
        <v>1960</v>
      </c>
      <c r="Q292" s="3" t="s">
        <v>42</v>
      </c>
      <c r="R292" s="3" t="s">
        <v>1959</v>
      </c>
      <c r="S292" s="3" t="s">
        <v>37</v>
      </c>
      <c r="T292" s="3" t="s">
        <v>36</v>
      </c>
      <c r="U292" s="4" t="b">
        <v>1</v>
      </c>
      <c r="V292" s="3" t="s">
        <v>28</v>
      </c>
      <c r="W292" s="1"/>
      <c r="Y292" s="3" t="s">
        <v>29</v>
      </c>
      <c r="Z292" s="3" t="s">
        <v>29</v>
      </c>
      <c r="AA292" s="3"/>
      <c r="AB292" s="3"/>
      <c r="AC292" s="4" t="s">
        <v>30</v>
      </c>
      <c r="AD292" s="3"/>
      <c r="AE292" s="3" t="s">
        <v>1960</v>
      </c>
      <c r="AF292" s="4" t="s">
        <v>30</v>
      </c>
      <c r="AH292" s="4">
        <v>0</v>
      </c>
      <c r="AI292" s="3" t="s">
        <v>1956</v>
      </c>
      <c r="AJ292" s="4" t="s">
        <v>1958</v>
      </c>
      <c r="AK292" s="4"/>
      <c r="AL292" s="3"/>
    </row>
    <row r="293" spans="1:38" x14ac:dyDescent="0.35">
      <c r="A293" s="3" t="s">
        <v>1965</v>
      </c>
      <c r="B293" s="4" t="s">
        <v>1970</v>
      </c>
      <c r="C293" s="4">
        <f>VLOOKUP(A293, [1]Planilha1!$A$3:$B$1015,2,FALSE)</f>
        <v>3132</v>
      </c>
      <c r="D293" s="4">
        <f t="shared" si="4"/>
        <v>0.87</v>
      </c>
      <c r="E293" s="4" t="s">
        <v>1125</v>
      </c>
      <c r="F293" s="3" t="s">
        <v>1968</v>
      </c>
      <c r="G293" s="3" t="s">
        <v>214</v>
      </c>
      <c r="H293" s="3" t="s">
        <v>44</v>
      </c>
      <c r="I293" s="3" t="s">
        <v>33</v>
      </c>
      <c r="J293" s="3" t="s">
        <v>41</v>
      </c>
      <c r="K293" s="3" t="s">
        <v>1967</v>
      </c>
      <c r="L293" s="1">
        <v>46045.440844907411</v>
      </c>
      <c r="M293" s="1">
        <v>46045.458657407406</v>
      </c>
      <c r="N293" s="1">
        <v>46045.476782407408</v>
      </c>
      <c r="O293" s="3" t="s">
        <v>43</v>
      </c>
      <c r="P293" s="3" t="s">
        <v>1970</v>
      </c>
      <c r="Q293" s="3" t="s">
        <v>42</v>
      </c>
      <c r="R293" s="3" t="s">
        <v>1969</v>
      </c>
      <c r="S293" s="3" t="s">
        <v>144</v>
      </c>
      <c r="T293" s="3" t="s">
        <v>143</v>
      </c>
      <c r="U293" s="4" t="b">
        <v>1</v>
      </c>
      <c r="V293" s="3" t="s">
        <v>71</v>
      </c>
      <c r="W293" s="1"/>
      <c r="Y293" s="3" t="s">
        <v>71</v>
      </c>
      <c r="Z293" s="3" t="s">
        <v>71</v>
      </c>
      <c r="AA293" s="3"/>
      <c r="AB293" s="3"/>
      <c r="AC293" s="4" t="s">
        <v>30</v>
      </c>
      <c r="AD293" s="3"/>
      <c r="AE293" s="3" t="s">
        <v>1970</v>
      </c>
      <c r="AF293" s="4" t="s">
        <v>30</v>
      </c>
      <c r="AH293" s="4">
        <v>1</v>
      </c>
      <c r="AI293" s="3" t="s">
        <v>1966</v>
      </c>
      <c r="AJ293" s="4" t="s">
        <v>5854</v>
      </c>
      <c r="AK293" s="4"/>
      <c r="AL293" s="3"/>
    </row>
    <row r="294" spans="1:38" x14ac:dyDescent="0.35">
      <c r="A294" s="3" t="s">
        <v>1974</v>
      </c>
      <c r="B294" s="4" t="s">
        <v>1980</v>
      </c>
      <c r="C294" s="4">
        <f>VLOOKUP(A294, [1]Planilha1!$A$3:$B$1015,2,FALSE)</f>
        <v>4603</v>
      </c>
      <c r="D294" s="4">
        <f t="shared" si="4"/>
        <v>1.2786111111111111</v>
      </c>
      <c r="E294" s="4" t="s">
        <v>1125</v>
      </c>
      <c r="F294" s="3" t="s">
        <v>1977</v>
      </c>
      <c r="G294" s="3" t="s">
        <v>1975</v>
      </c>
      <c r="H294" s="3" t="s">
        <v>428</v>
      </c>
      <c r="I294" s="3" t="s">
        <v>33</v>
      </c>
      <c r="J294" s="3" t="s">
        <v>41</v>
      </c>
      <c r="L294" s="1">
        <v>46045.436597222222</v>
      </c>
      <c r="M294" s="1">
        <v>46045.436597222222</v>
      </c>
      <c r="N294" s="1">
        <v>46045.483148148145</v>
      </c>
      <c r="O294" s="3" t="s">
        <v>427</v>
      </c>
      <c r="P294" s="3" t="s">
        <v>1980</v>
      </c>
      <c r="Q294" s="3" t="s">
        <v>42</v>
      </c>
      <c r="R294" s="3" t="s">
        <v>1979</v>
      </c>
      <c r="S294" s="3" t="s">
        <v>37</v>
      </c>
      <c r="T294" s="3" t="s">
        <v>36</v>
      </c>
      <c r="U294" s="4" t="b">
        <v>1</v>
      </c>
      <c r="V294" s="3" t="s">
        <v>28</v>
      </c>
      <c r="W294" s="1"/>
      <c r="Y294" s="3" t="s">
        <v>29</v>
      </c>
      <c r="Z294" s="3" t="s">
        <v>29</v>
      </c>
      <c r="AA294" s="3"/>
      <c r="AB294" s="3"/>
      <c r="AC294" s="4" t="s">
        <v>30</v>
      </c>
      <c r="AD294" s="3"/>
      <c r="AE294" s="3" t="s">
        <v>1980</v>
      </c>
      <c r="AF294" s="4" t="s">
        <v>30</v>
      </c>
      <c r="AH294" s="4">
        <v>1</v>
      </c>
      <c r="AI294" s="3" t="s">
        <v>1976</v>
      </c>
      <c r="AJ294" s="4" t="s">
        <v>1978</v>
      </c>
      <c r="AK294" s="4"/>
      <c r="AL294" s="3"/>
    </row>
    <row r="295" spans="1:38" x14ac:dyDescent="0.35">
      <c r="A295" s="3" t="s">
        <v>1981</v>
      </c>
      <c r="B295" s="4" t="s">
        <v>1987</v>
      </c>
      <c r="C295" s="4">
        <f>VLOOKUP(A295, [1]Planilha1!$A$3:$B$1015,2,FALSE)</f>
        <v>0</v>
      </c>
      <c r="D295" s="4">
        <f t="shared" si="4"/>
        <v>0</v>
      </c>
      <c r="E295" s="4" t="s">
        <v>1125</v>
      </c>
      <c r="F295" s="3" t="s">
        <v>1984</v>
      </c>
      <c r="G295" s="3" t="s">
        <v>134</v>
      </c>
      <c r="H295" s="3" t="s">
        <v>138</v>
      </c>
      <c r="I295" s="3" t="s">
        <v>33</v>
      </c>
      <c r="J295" s="3" t="s">
        <v>60</v>
      </c>
      <c r="K295" s="3" t="s">
        <v>1983</v>
      </c>
      <c r="L295" s="1">
        <v>46045.408333333333</v>
      </c>
      <c r="M295" s="1">
        <v>46045.414513888885</v>
      </c>
      <c r="N295" s="1">
        <v>46048.416678240741</v>
      </c>
      <c r="O295" s="3" t="s">
        <v>137</v>
      </c>
      <c r="P295" s="3" t="s">
        <v>1987</v>
      </c>
      <c r="Q295" s="3" t="s">
        <v>35</v>
      </c>
      <c r="R295" s="3" t="s">
        <v>1986</v>
      </c>
      <c r="S295" s="3" t="s">
        <v>144</v>
      </c>
      <c r="T295" s="3" t="s">
        <v>143</v>
      </c>
      <c r="U295" s="4" t="b">
        <v>1</v>
      </c>
      <c r="V295" s="3" t="s">
        <v>31</v>
      </c>
      <c r="W295" s="1"/>
      <c r="Y295" s="3" t="s">
        <v>32</v>
      </c>
      <c r="Z295" s="3" t="s">
        <v>32</v>
      </c>
      <c r="AA295" s="3"/>
      <c r="AB295" s="3"/>
      <c r="AC295" s="4" t="s">
        <v>30</v>
      </c>
      <c r="AD295" s="3"/>
      <c r="AE295" s="3" t="s">
        <v>1987</v>
      </c>
      <c r="AF295" s="4" t="s">
        <v>30</v>
      </c>
      <c r="AH295" s="4">
        <v>0</v>
      </c>
      <c r="AI295" s="3" t="s">
        <v>1982</v>
      </c>
      <c r="AJ295" s="4" t="s">
        <v>1985</v>
      </c>
      <c r="AK295" s="4"/>
      <c r="AL295" s="3"/>
    </row>
    <row r="296" spans="1:38" x14ac:dyDescent="0.35">
      <c r="A296" s="3" t="s">
        <v>1988</v>
      </c>
      <c r="B296" s="4" t="s">
        <v>1993</v>
      </c>
      <c r="C296" s="4">
        <f>VLOOKUP(A296, [1]Planilha1!$A$3:$B$1015,2,FALSE)</f>
        <v>0</v>
      </c>
      <c r="D296" s="4">
        <f t="shared" si="4"/>
        <v>0</v>
      </c>
      <c r="E296" s="4" t="s">
        <v>1125</v>
      </c>
      <c r="F296" s="3" t="s">
        <v>1991</v>
      </c>
      <c r="G296" s="3" t="s">
        <v>1208</v>
      </c>
      <c r="H296" s="3" t="s">
        <v>428</v>
      </c>
      <c r="I296" s="3" t="s">
        <v>33</v>
      </c>
      <c r="J296" s="3" t="s">
        <v>60</v>
      </c>
      <c r="K296" s="3" t="s">
        <v>1990</v>
      </c>
      <c r="L296" s="1">
        <v>46045.406782407408</v>
      </c>
      <c r="M296" s="1">
        <v>46045.440324074072</v>
      </c>
      <c r="N296" s="1">
        <v>46048.458333333336</v>
      </c>
      <c r="O296" s="3" t="s">
        <v>427</v>
      </c>
      <c r="P296" s="3" t="s">
        <v>1993</v>
      </c>
      <c r="Q296" s="3" t="s">
        <v>35</v>
      </c>
      <c r="R296" s="3" t="s">
        <v>1992</v>
      </c>
      <c r="S296" s="3" t="s">
        <v>144</v>
      </c>
      <c r="T296" s="3" t="s">
        <v>143</v>
      </c>
      <c r="U296" s="4" t="b">
        <v>1</v>
      </c>
      <c r="V296" s="3" t="s">
        <v>31</v>
      </c>
      <c r="W296" s="1"/>
      <c r="Y296" s="3" t="s">
        <v>32</v>
      </c>
      <c r="Z296" s="3" t="s">
        <v>32</v>
      </c>
      <c r="AA296" s="3"/>
      <c r="AB296" s="3"/>
      <c r="AC296" s="4" t="s">
        <v>30</v>
      </c>
      <c r="AD296" s="3"/>
      <c r="AE296" s="3" t="s">
        <v>1993</v>
      </c>
      <c r="AF296" s="4" t="s">
        <v>30</v>
      </c>
      <c r="AH296" s="4">
        <v>0</v>
      </c>
      <c r="AI296" s="3" t="s">
        <v>1989</v>
      </c>
      <c r="AJ296" s="4" t="s">
        <v>5855</v>
      </c>
      <c r="AK296" s="4"/>
      <c r="AL296" s="3"/>
    </row>
    <row r="297" spans="1:38" x14ac:dyDescent="0.35">
      <c r="A297" s="3" t="s">
        <v>1994</v>
      </c>
      <c r="B297" s="4"/>
      <c r="C297" s="4">
        <f>VLOOKUP(A297, [1]Planilha1!$A$3:$B$1015,2,FALSE)</f>
        <v>7484</v>
      </c>
      <c r="D297" s="4">
        <f t="shared" si="4"/>
        <v>2.0788888888888888</v>
      </c>
      <c r="E297" s="4" t="s">
        <v>1125</v>
      </c>
      <c r="F297" s="3" t="s">
        <v>1996</v>
      </c>
      <c r="G297" s="3" t="s">
        <v>1231</v>
      </c>
      <c r="H297" s="3" t="s">
        <v>44</v>
      </c>
      <c r="I297" s="3" t="s">
        <v>33</v>
      </c>
      <c r="J297" s="3" t="s">
        <v>41</v>
      </c>
      <c r="L297" s="1">
        <v>46045.405127314814</v>
      </c>
      <c r="M297" s="1">
        <v>46045.434178240743</v>
      </c>
      <c r="N297" s="1">
        <v>46045.477488425924</v>
      </c>
      <c r="O297" s="3" t="s">
        <v>43</v>
      </c>
      <c r="Q297" s="3" t="s">
        <v>42</v>
      </c>
      <c r="R297" s="3" t="s">
        <v>1998</v>
      </c>
      <c r="S297" s="3" t="s">
        <v>1234</v>
      </c>
      <c r="T297" s="3" t="s">
        <v>1233</v>
      </c>
      <c r="U297" s="4" t="b">
        <v>1</v>
      </c>
      <c r="V297" s="3" t="s">
        <v>31</v>
      </c>
      <c r="W297" s="1"/>
      <c r="Y297" s="3" t="s">
        <v>32</v>
      </c>
      <c r="Z297" s="3" t="s">
        <v>32</v>
      </c>
      <c r="AA297" s="3"/>
      <c r="AB297" s="3"/>
      <c r="AC297" s="4" t="s">
        <v>30</v>
      </c>
      <c r="AD297" s="3"/>
      <c r="AE297" s="3"/>
      <c r="AF297" s="4" t="s">
        <v>30</v>
      </c>
      <c r="AH297" s="4">
        <v>1</v>
      </c>
      <c r="AI297" s="3" t="s">
        <v>1995</v>
      </c>
      <c r="AJ297" s="4" t="s">
        <v>1997</v>
      </c>
      <c r="AK297" s="4"/>
      <c r="AL297" s="3"/>
    </row>
    <row r="298" spans="1:38" x14ac:dyDescent="0.35">
      <c r="A298" s="3" t="s">
        <v>1999</v>
      </c>
      <c r="B298" s="4" t="s">
        <v>1953</v>
      </c>
      <c r="C298" s="4">
        <f>VLOOKUP(A298, [1]Planilha1!$A$3:$B$1015,2,FALSE)</f>
        <v>13080</v>
      </c>
      <c r="D298" s="4">
        <f t="shared" si="4"/>
        <v>3.6333333333333333</v>
      </c>
      <c r="E298" s="4" t="s">
        <v>1125</v>
      </c>
      <c r="F298" s="3" t="s">
        <v>1950</v>
      </c>
      <c r="G298" s="3" t="s">
        <v>44</v>
      </c>
      <c r="H298" s="3" t="s">
        <v>44</v>
      </c>
      <c r="I298" s="3" t="s">
        <v>33</v>
      </c>
      <c r="J298" s="3" t="s">
        <v>41</v>
      </c>
      <c r="L298" s="1">
        <v>46045.39571759259</v>
      </c>
      <c r="M298" s="1">
        <v>46045.399733796294</v>
      </c>
      <c r="N298" s="1">
        <v>46045.475428240738</v>
      </c>
      <c r="O298" s="3" t="s">
        <v>43</v>
      </c>
      <c r="P298" s="3" t="s">
        <v>1953</v>
      </c>
      <c r="Q298" s="3" t="s">
        <v>42</v>
      </c>
      <c r="R298" s="3" t="s">
        <v>1952</v>
      </c>
      <c r="S298" s="3" t="s">
        <v>96</v>
      </c>
      <c r="T298" s="3" t="s">
        <v>95</v>
      </c>
      <c r="U298" s="4" t="b">
        <v>1</v>
      </c>
      <c r="V298" s="3" t="s">
        <v>31</v>
      </c>
      <c r="W298" s="1"/>
      <c r="Y298" s="3" t="s">
        <v>32</v>
      </c>
      <c r="Z298" s="3" t="s">
        <v>32</v>
      </c>
      <c r="AA298" s="3"/>
      <c r="AB298" s="3"/>
      <c r="AC298" s="4" t="s">
        <v>30</v>
      </c>
      <c r="AD298" s="3"/>
      <c r="AE298" s="3" t="s">
        <v>1953</v>
      </c>
      <c r="AF298" s="4" t="s">
        <v>30</v>
      </c>
      <c r="AH298" s="4">
        <v>1</v>
      </c>
      <c r="AI298" s="3" t="s">
        <v>2000</v>
      </c>
      <c r="AJ298" s="4" t="s">
        <v>1951</v>
      </c>
      <c r="AK298" s="4"/>
      <c r="AL298" s="3"/>
    </row>
    <row r="299" spans="1:38" x14ac:dyDescent="0.35">
      <c r="A299" s="3" t="s">
        <v>2001</v>
      </c>
      <c r="B299" s="4" t="s">
        <v>1850</v>
      </c>
      <c r="C299" s="4">
        <f>VLOOKUP(A299, [1]Planilha1!$A$3:$B$1015,2,FALSE)</f>
        <v>0</v>
      </c>
      <c r="D299" s="4">
        <f t="shared" si="4"/>
        <v>0</v>
      </c>
      <c r="E299" s="4" t="s">
        <v>1125</v>
      </c>
      <c r="F299" s="3" t="s">
        <v>1848</v>
      </c>
      <c r="G299" s="3" t="s">
        <v>134</v>
      </c>
      <c r="H299" s="3" t="s">
        <v>138</v>
      </c>
      <c r="I299" s="3" t="s">
        <v>33</v>
      </c>
      <c r="J299" s="3" t="s">
        <v>60</v>
      </c>
      <c r="K299" s="3" t="s">
        <v>1847</v>
      </c>
      <c r="L299" s="1">
        <v>46045.39162037037</v>
      </c>
      <c r="M299" s="1">
        <v>46045.415370370371</v>
      </c>
      <c r="N299" s="1">
        <v>46048.416678240741</v>
      </c>
      <c r="O299" s="3" t="s">
        <v>137</v>
      </c>
      <c r="P299" s="3" t="s">
        <v>1850</v>
      </c>
      <c r="Q299" s="3" t="s">
        <v>35</v>
      </c>
      <c r="R299" s="3" t="s">
        <v>1849</v>
      </c>
      <c r="S299" s="3" t="s">
        <v>144</v>
      </c>
      <c r="T299" s="3" t="s">
        <v>143</v>
      </c>
      <c r="U299" s="4" t="b">
        <v>1</v>
      </c>
      <c r="V299" s="3" t="s">
        <v>31</v>
      </c>
      <c r="W299" s="1"/>
      <c r="Y299" s="3" t="s">
        <v>32</v>
      </c>
      <c r="Z299" s="3" t="s">
        <v>32</v>
      </c>
      <c r="AA299" s="3"/>
      <c r="AB299" s="3"/>
      <c r="AC299" s="4" t="s">
        <v>30</v>
      </c>
      <c r="AD299" s="3"/>
      <c r="AE299" s="3" t="s">
        <v>1850</v>
      </c>
      <c r="AF299" s="4" t="s">
        <v>30</v>
      </c>
      <c r="AH299" s="4">
        <v>0</v>
      </c>
      <c r="AI299" s="3" t="s">
        <v>2002</v>
      </c>
      <c r="AJ299" s="4" t="s">
        <v>5852</v>
      </c>
      <c r="AK299" s="4"/>
      <c r="AL299" s="3"/>
    </row>
    <row r="300" spans="1:38" x14ac:dyDescent="0.35">
      <c r="A300" s="3" t="s">
        <v>2003</v>
      </c>
      <c r="B300" s="4" t="s">
        <v>58</v>
      </c>
      <c r="C300" s="4">
        <f>VLOOKUP(A300, [1]Planilha1!$A$3:$B$1015,2,FALSE)</f>
        <v>16634</v>
      </c>
      <c r="D300" s="4">
        <f t="shared" si="4"/>
        <v>4.6205555555555557</v>
      </c>
      <c r="E300" s="4" t="s">
        <v>1125</v>
      </c>
      <c r="F300" s="3" t="s">
        <v>54</v>
      </c>
      <c r="G300" s="3" t="s">
        <v>2004</v>
      </c>
      <c r="H300" s="3" t="s">
        <v>897</v>
      </c>
      <c r="I300" s="3" t="s">
        <v>33</v>
      </c>
      <c r="J300" s="3" t="s">
        <v>152</v>
      </c>
      <c r="L300" s="1">
        <v>46045.376886574071</v>
      </c>
      <c r="M300" s="1">
        <v>46045.380671296298</v>
      </c>
      <c r="N300" s="1">
        <v>46049.704837962963</v>
      </c>
      <c r="O300" s="3" t="s">
        <v>896</v>
      </c>
      <c r="P300" s="3" t="s">
        <v>57</v>
      </c>
      <c r="Q300" s="3" t="s">
        <v>52</v>
      </c>
      <c r="R300" s="3" t="s">
        <v>56</v>
      </c>
      <c r="S300" s="3" t="s">
        <v>64</v>
      </c>
      <c r="T300" s="3" t="s">
        <v>63</v>
      </c>
      <c r="U300" s="4" t="b">
        <v>0</v>
      </c>
      <c r="V300" s="3" t="s">
        <v>28</v>
      </c>
      <c r="W300" s="1"/>
      <c r="Y300" s="3" t="s">
        <v>29</v>
      </c>
      <c r="Z300" s="3" t="s">
        <v>29</v>
      </c>
      <c r="AA300" s="3" t="s">
        <v>996</v>
      </c>
      <c r="AB300" s="3" t="s">
        <v>58</v>
      </c>
      <c r="AC300" s="4" t="s">
        <v>30</v>
      </c>
      <c r="AD300" s="3" t="s">
        <v>59</v>
      </c>
      <c r="AE300" s="3" t="s">
        <v>57</v>
      </c>
      <c r="AF300" s="4" t="s">
        <v>30</v>
      </c>
      <c r="AH300" s="4">
        <v>4</v>
      </c>
      <c r="AI300" s="3" t="s">
        <v>2005</v>
      </c>
      <c r="AJ300" s="4" t="s">
        <v>55</v>
      </c>
      <c r="AK300" s="4" t="s">
        <v>997</v>
      </c>
      <c r="AL300" s="3"/>
    </row>
    <row r="301" spans="1:38" x14ac:dyDescent="0.35">
      <c r="A301" s="3" t="s">
        <v>2006</v>
      </c>
      <c r="B301" s="4" t="s">
        <v>520</v>
      </c>
      <c r="C301" s="4">
        <f>VLOOKUP(A301, [1]Planilha1!$A$3:$B$1015,2,FALSE)</f>
        <v>0</v>
      </c>
      <c r="D301" s="4">
        <f t="shared" si="4"/>
        <v>0</v>
      </c>
      <c r="E301" s="4" t="s">
        <v>1125</v>
      </c>
      <c r="F301" s="3" t="s">
        <v>517</v>
      </c>
      <c r="G301" s="3" t="s">
        <v>2007</v>
      </c>
      <c r="H301" s="3" t="s">
        <v>44</v>
      </c>
      <c r="I301" s="3" t="s">
        <v>33</v>
      </c>
      <c r="J301" s="3" t="s">
        <v>60</v>
      </c>
      <c r="K301" s="3" t="s">
        <v>2009</v>
      </c>
      <c r="L301" s="1">
        <v>46045.366597222222</v>
      </c>
      <c r="M301" s="1">
        <v>46045.416238425925</v>
      </c>
      <c r="N301" s="1">
        <v>46048.416678240741</v>
      </c>
      <c r="O301" s="3" t="s">
        <v>43</v>
      </c>
      <c r="P301" s="3" t="s">
        <v>520</v>
      </c>
      <c r="Q301" s="3" t="s">
        <v>35</v>
      </c>
      <c r="R301" s="3" t="s">
        <v>519</v>
      </c>
      <c r="S301" s="3" t="s">
        <v>144</v>
      </c>
      <c r="T301" s="3" t="s">
        <v>143</v>
      </c>
      <c r="U301" s="4" t="b">
        <v>1</v>
      </c>
      <c r="V301" s="3" t="s">
        <v>31</v>
      </c>
      <c r="W301" s="1"/>
      <c r="Y301" s="3" t="s">
        <v>32</v>
      </c>
      <c r="Z301" s="3" t="s">
        <v>32</v>
      </c>
      <c r="AA301" s="3"/>
      <c r="AB301" s="3"/>
      <c r="AC301" s="4" t="s">
        <v>30</v>
      </c>
      <c r="AD301" s="3"/>
      <c r="AE301" s="3" t="s">
        <v>520</v>
      </c>
      <c r="AF301" s="4" t="s">
        <v>30</v>
      </c>
      <c r="AH301" s="4">
        <v>0</v>
      </c>
      <c r="AI301" s="3" t="s">
        <v>2008</v>
      </c>
      <c r="AJ301" s="4" t="s">
        <v>518</v>
      </c>
      <c r="AK301" s="4"/>
      <c r="AL301" s="3"/>
    </row>
    <row r="302" spans="1:38" x14ac:dyDescent="0.35">
      <c r="A302" s="3" t="s">
        <v>2010</v>
      </c>
      <c r="B302" s="4" t="s">
        <v>2019</v>
      </c>
      <c r="C302" s="4">
        <f>VLOOKUP(A302, [1]Planilha1!$A$3:$B$1015,2,FALSE)</f>
        <v>0</v>
      </c>
      <c r="D302" s="4">
        <f t="shared" si="4"/>
        <v>0</v>
      </c>
      <c r="E302" s="4" t="s">
        <v>1125</v>
      </c>
      <c r="F302" s="3" t="s">
        <v>2016</v>
      </c>
      <c r="G302" s="3" t="s">
        <v>2011</v>
      </c>
      <c r="H302" s="3" t="s">
        <v>2015</v>
      </c>
      <c r="I302" s="3" t="s">
        <v>33</v>
      </c>
      <c r="J302" s="3" t="s">
        <v>60</v>
      </c>
      <c r="K302" s="3" t="s">
        <v>2013</v>
      </c>
      <c r="L302" s="1">
        <v>46045.351539351854</v>
      </c>
      <c r="M302" s="1">
        <v>46045.365266203706</v>
      </c>
      <c r="N302" s="1">
        <v>46048.375</v>
      </c>
      <c r="O302" s="3" t="s">
        <v>2014</v>
      </c>
      <c r="P302" s="3" t="s">
        <v>2019</v>
      </c>
      <c r="Q302" s="3" t="s">
        <v>35</v>
      </c>
      <c r="R302" s="3" t="s">
        <v>2018</v>
      </c>
      <c r="S302" s="3" t="s">
        <v>144</v>
      </c>
      <c r="T302" s="3" t="s">
        <v>143</v>
      </c>
      <c r="U302" s="4" t="b">
        <v>1</v>
      </c>
      <c r="V302" s="3" t="s">
        <v>31</v>
      </c>
      <c r="W302" s="1"/>
      <c r="Y302" s="3" t="s">
        <v>32</v>
      </c>
      <c r="Z302" s="3" t="s">
        <v>32</v>
      </c>
      <c r="AA302" s="3"/>
      <c r="AB302" s="3"/>
      <c r="AC302" s="4" t="s">
        <v>30</v>
      </c>
      <c r="AD302" s="3"/>
      <c r="AE302" s="3" t="s">
        <v>2019</v>
      </c>
      <c r="AF302" s="4" t="s">
        <v>30</v>
      </c>
      <c r="AH302" s="4">
        <v>0</v>
      </c>
      <c r="AI302" s="3" t="s">
        <v>2012</v>
      </c>
      <c r="AJ302" s="4" t="s">
        <v>2017</v>
      </c>
      <c r="AK302" s="4"/>
      <c r="AL302" s="3"/>
    </row>
    <row r="303" spans="1:38" x14ac:dyDescent="0.35">
      <c r="A303" s="3" t="s">
        <v>2020</v>
      </c>
      <c r="B303" s="4" t="s">
        <v>2026</v>
      </c>
      <c r="C303" s="4">
        <f>VLOOKUP(A303, [1]Planilha1!$A$3:$B$1015,2,FALSE)</f>
        <v>0</v>
      </c>
      <c r="D303" s="4">
        <f t="shared" si="4"/>
        <v>0</v>
      </c>
      <c r="E303" s="4" t="s">
        <v>1125</v>
      </c>
      <c r="F303" s="3" t="s">
        <v>2023</v>
      </c>
      <c r="G303" s="3" t="s">
        <v>214</v>
      </c>
      <c r="H303" s="3" t="s">
        <v>44</v>
      </c>
      <c r="I303" s="3" t="s">
        <v>33</v>
      </c>
      <c r="J303" s="3" t="s">
        <v>60</v>
      </c>
      <c r="K303" s="3" t="s">
        <v>2022</v>
      </c>
      <c r="L303" s="1">
        <v>46045.335173611114</v>
      </c>
      <c r="M303" s="1">
        <v>46045.366018518522</v>
      </c>
      <c r="N303" s="1">
        <v>46048.375</v>
      </c>
      <c r="O303" s="3" t="s">
        <v>43</v>
      </c>
      <c r="P303" s="3" t="s">
        <v>2026</v>
      </c>
      <c r="Q303" s="3" t="s">
        <v>35</v>
      </c>
      <c r="R303" s="3" t="s">
        <v>2025</v>
      </c>
      <c r="S303" s="3" t="s">
        <v>144</v>
      </c>
      <c r="T303" s="3" t="s">
        <v>143</v>
      </c>
      <c r="U303" s="4" t="b">
        <v>1</v>
      </c>
      <c r="V303" s="3" t="s">
        <v>31</v>
      </c>
      <c r="W303" s="1"/>
      <c r="Y303" s="3" t="s">
        <v>32</v>
      </c>
      <c r="Z303" s="3" t="s">
        <v>32</v>
      </c>
      <c r="AA303" s="3"/>
      <c r="AB303" s="3"/>
      <c r="AC303" s="4" t="s">
        <v>30</v>
      </c>
      <c r="AD303" s="3"/>
      <c r="AE303" s="3" t="s">
        <v>2026</v>
      </c>
      <c r="AF303" s="4" t="s">
        <v>30</v>
      </c>
      <c r="AH303" s="4">
        <v>0</v>
      </c>
      <c r="AI303" s="3" t="s">
        <v>2021</v>
      </c>
      <c r="AJ303" s="4" t="s">
        <v>2024</v>
      </c>
      <c r="AK303" s="4"/>
      <c r="AL303" s="3"/>
    </row>
    <row r="304" spans="1:38" x14ac:dyDescent="0.35">
      <c r="A304" s="3" t="s">
        <v>2027</v>
      </c>
      <c r="B304" s="4" t="s">
        <v>2033</v>
      </c>
      <c r="C304" s="4">
        <f>VLOOKUP(A304, [1]Planilha1!$A$3:$B$1015,2,FALSE)</f>
        <v>131259</v>
      </c>
      <c r="D304" s="4">
        <f t="shared" si="4"/>
        <v>36.460833333333333</v>
      </c>
      <c r="E304" s="4" t="s">
        <v>1125</v>
      </c>
      <c r="F304" s="3" t="s">
        <v>2030</v>
      </c>
      <c r="G304" s="3" t="s">
        <v>2028</v>
      </c>
      <c r="H304" s="3" t="s">
        <v>722</v>
      </c>
      <c r="I304" s="3" t="s">
        <v>33</v>
      </c>
      <c r="J304" s="3" t="s">
        <v>250</v>
      </c>
      <c r="L304" s="1">
        <v>46044.997719907406</v>
      </c>
      <c r="M304" s="1">
        <v>46044.997719907406</v>
      </c>
      <c r="N304" s="1">
        <v>46051.458333333336</v>
      </c>
      <c r="O304" s="3" t="s">
        <v>745</v>
      </c>
      <c r="P304" s="3" t="s">
        <v>2033</v>
      </c>
      <c r="Q304" s="3" t="s">
        <v>35</v>
      </c>
      <c r="R304" s="3" t="s">
        <v>2032</v>
      </c>
      <c r="S304" s="3" t="s">
        <v>37</v>
      </c>
      <c r="T304" s="3" t="s">
        <v>36</v>
      </c>
      <c r="U304" s="4" t="b">
        <v>1</v>
      </c>
      <c r="V304" s="3" t="s">
        <v>28</v>
      </c>
      <c r="W304" s="1"/>
      <c r="Y304" s="3" t="s">
        <v>29</v>
      </c>
      <c r="Z304" s="3" t="s">
        <v>29</v>
      </c>
      <c r="AA304" s="3"/>
      <c r="AB304" s="3"/>
      <c r="AC304" s="4" t="s">
        <v>30</v>
      </c>
      <c r="AD304" s="3"/>
      <c r="AE304" s="3" t="s">
        <v>2033</v>
      </c>
      <c r="AF304" s="4" t="s">
        <v>30</v>
      </c>
      <c r="AH304" s="4">
        <v>1</v>
      </c>
      <c r="AI304" s="3" t="s">
        <v>2029</v>
      </c>
      <c r="AJ304" s="4" t="s">
        <v>2031</v>
      </c>
      <c r="AK304" s="4"/>
      <c r="AL304" s="3"/>
    </row>
    <row r="305" spans="1:38" x14ac:dyDescent="0.35">
      <c r="A305" s="3" t="s">
        <v>2034</v>
      </c>
      <c r="B305" s="4" t="s">
        <v>2039</v>
      </c>
      <c r="C305" s="4">
        <f>VLOOKUP(A305, [1]Planilha1!$A$3:$B$1015,2,FALSE)</f>
        <v>4798</v>
      </c>
      <c r="D305" s="4">
        <f t="shared" si="4"/>
        <v>1.3327777777777778</v>
      </c>
      <c r="E305" s="4" t="s">
        <v>1125</v>
      </c>
      <c r="F305" s="3" t="s">
        <v>2037</v>
      </c>
      <c r="G305" s="3" t="s">
        <v>2035</v>
      </c>
      <c r="H305" s="3" t="s">
        <v>622</v>
      </c>
      <c r="I305" s="3" t="s">
        <v>33</v>
      </c>
      <c r="J305" s="3" t="s">
        <v>41</v>
      </c>
      <c r="L305" s="1">
        <v>46044.84039351852</v>
      </c>
      <c r="M305" s="1">
        <v>46044.84039351852</v>
      </c>
      <c r="N305" s="1">
        <v>46045.347199074073</v>
      </c>
      <c r="O305" s="3" t="s">
        <v>621</v>
      </c>
      <c r="P305" s="3" t="s">
        <v>2039</v>
      </c>
      <c r="Q305" s="3" t="s">
        <v>42</v>
      </c>
      <c r="R305" s="3" t="s">
        <v>2038</v>
      </c>
      <c r="S305" s="3" t="s">
        <v>37</v>
      </c>
      <c r="T305" s="3" t="s">
        <v>36</v>
      </c>
      <c r="U305" s="4" t="b">
        <v>1</v>
      </c>
      <c r="V305" s="3" t="s">
        <v>28</v>
      </c>
      <c r="W305" s="1"/>
      <c r="Y305" s="3" t="s">
        <v>29</v>
      </c>
      <c r="Z305" s="3" t="s">
        <v>29</v>
      </c>
      <c r="AA305" s="3"/>
      <c r="AB305" s="3"/>
      <c r="AC305" s="4" t="s">
        <v>30</v>
      </c>
      <c r="AD305" s="3"/>
      <c r="AE305" s="3" t="s">
        <v>2039</v>
      </c>
      <c r="AF305" s="4" t="s">
        <v>30</v>
      </c>
      <c r="AH305" s="4">
        <v>0</v>
      </c>
      <c r="AI305" s="3" t="s">
        <v>2036</v>
      </c>
      <c r="AJ305" s="4">
        <v>712338</v>
      </c>
      <c r="AK305" s="4"/>
      <c r="AL305" s="3"/>
    </row>
    <row r="306" spans="1:38" x14ac:dyDescent="0.35">
      <c r="A306" s="3" t="s">
        <v>1811</v>
      </c>
      <c r="B306" s="4" t="s">
        <v>2046</v>
      </c>
      <c r="C306" s="4">
        <f>VLOOKUP(A306, [1]Planilha1!$A$3:$B$1015,2,FALSE)</f>
        <v>145252</v>
      </c>
      <c r="D306" s="4">
        <f t="shared" si="4"/>
        <v>40.347777777777779</v>
      </c>
      <c r="E306" s="4" t="s">
        <v>1125</v>
      </c>
      <c r="F306" s="3" t="s">
        <v>2043</v>
      </c>
      <c r="G306" s="3" t="s">
        <v>2041</v>
      </c>
      <c r="H306" s="3" t="s">
        <v>44</v>
      </c>
      <c r="I306" s="3" t="s">
        <v>33</v>
      </c>
      <c r="J306" s="3" t="s">
        <v>607</v>
      </c>
      <c r="L306" s="1">
        <v>46044.738900462966</v>
      </c>
      <c r="M306" s="1">
        <v>46044.738900462966</v>
      </c>
      <c r="N306" s="1">
        <v>46051.5</v>
      </c>
      <c r="O306" s="3" t="s">
        <v>43</v>
      </c>
      <c r="P306" s="3" t="s">
        <v>2046</v>
      </c>
      <c r="Q306" s="3" t="s">
        <v>35</v>
      </c>
      <c r="R306" s="3" t="s">
        <v>2045</v>
      </c>
      <c r="S306" s="3" t="s">
        <v>37</v>
      </c>
      <c r="T306" s="3" t="s">
        <v>36</v>
      </c>
      <c r="U306" s="4" t="b">
        <v>1</v>
      </c>
      <c r="V306" s="3" t="s">
        <v>28</v>
      </c>
      <c r="W306" s="1"/>
      <c r="Y306" s="3" t="s">
        <v>29</v>
      </c>
      <c r="Z306" s="3" t="s">
        <v>29</v>
      </c>
      <c r="AA306" s="3"/>
      <c r="AB306" s="3"/>
      <c r="AC306" s="4" t="s">
        <v>30</v>
      </c>
      <c r="AD306" s="3"/>
      <c r="AE306" s="3" t="s">
        <v>2046</v>
      </c>
      <c r="AF306" s="4" t="s">
        <v>30</v>
      </c>
      <c r="AG306" s="3" t="s">
        <v>70</v>
      </c>
      <c r="AH306" s="4">
        <v>3</v>
      </c>
      <c r="AI306" s="3" t="s">
        <v>2042</v>
      </c>
      <c r="AJ306" s="4" t="s">
        <v>2044</v>
      </c>
      <c r="AK306" s="4"/>
      <c r="AL306" s="3"/>
    </row>
    <row r="307" spans="1:38" x14ac:dyDescent="0.35">
      <c r="A307" s="3" t="s">
        <v>2047</v>
      </c>
      <c r="B307" s="4" t="s">
        <v>58</v>
      </c>
      <c r="C307" s="4">
        <f>VLOOKUP(A307, [1]Planilha1!$A$3:$B$1015,2,FALSE)</f>
        <v>9906</v>
      </c>
      <c r="D307" s="4">
        <f t="shared" si="4"/>
        <v>2.7516666666666665</v>
      </c>
      <c r="E307" s="4" t="s">
        <v>1125</v>
      </c>
      <c r="F307" s="3" t="s">
        <v>54</v>
      </c>
      <c r="G307" s="3" t="s">
        <v>2048</v>
      </c>
      <c r="H307" s="3" t="s">
        <v>154</v>
      </c>
      <c r="I307" s="3" t="s">
        <v>33</v>
      </c>
      <c r="J307" s="3" t="s">
        <v>152</v>
      </c>
      <c r="L307" s="1">
        <v>46044.727476851855</v>
      </c>
      <c r="M307" s="1">
        <v>46044.730821759258</v>
      </c>
      <c r="N307" s="1">
        <v>46050.536851851852</v>
      </c>
      <c r="O307" s="3" t="s">
        <v>153</v>
      </c>
      <c r="P307" s="3" t="s">
        <v>57</v>
      </c>
      <c r="Q307" s="3" t="s">
        <v>52</v>
      </c>
      <c r="R307" s="3" t="s">
        <v>56</v>
      </c>
      <c r="S307" s="3" t="s">
        <v>1331</v>
      </c>
      <c r="T307" s="3" t="s">
        <v>1330</v>
      </c>
      <c r="U307" s="4" t="b">
        <v>0</v>
      </c>
      <c r="V307" s="3" t="s">
        <v>31</v>
      </c>
      <c r="W307" s="1"/>
      <c r="Y307" s="3" t="s">
        <v>32</v>
      </c>
      <c r="Z307" s="3" t="s">
        <v>32</v>
      </c>
      <c r="AA307" s="3" t="s">
        <v>155</v>
      </c>
      <c r="AB307" s="3" t="s">
        <v>58</v>
      </c>
      <c r="AC307" s="4" t="s">
        <v>30</v>
      </c>
      <c r="AD307" s="3" t="s">
        <v>59</v>
      </c>
      <c r="AE307" s="3" t="s">
        <v>57</v>
      </c>
      <c r="AF307" s="4" t="s">
        <v>30</v>
      </c>
      <c r="AH307" s="4">
        <v>2</v>
      </c>
      <c r="AI307" s="3" t="s">
        <v>2049</v>
      </c>
      <c r="AJ307" s="4" t="s">
        <v>55</v>
      </c>
      <c r="AK307" s="4" t="s">
        <v>156</v>
      </c>
      <c r="AL307" s="3"/>
    </row>
    <row r="308" spans="1:38" x14ac:dyDescent="0.35">
      <c r="A308" s="3" t="s">
        <v>2055</v>
      </c>
      <c r="B308" s="4" t="s">
        <v>2059</v>
      </c>
      <c r="C308" s="4">
        <f>VLOOKUP(A308, [1]Planilha1!$A$3:$B$1015,2,FALSE)</f>
        <v>6614</v>
      </c>
      <c r="D308" s="4">
        <f t="shared" si="4"/>
        <v>1.8372222222222223</v>
      </c>
      <c r="E308" s="4" t="s">
        <v>1125</v>
      </c>
      <c r="F308" s="3" t="s">
        <v>2057</v>
      </c>
      <c r="G308" s="3" t="s">
        <v>100</v>
      </c>
      <c r="H308" s="3" t="s">
        <v>44</v>
      </c>
      <c r="I308" s="3" t="s">
        <v>33</v>
      </c>
      <c r="J308" s="3" t="s">
        <v>41</v>
      </c>
      <c r="L308" s="1">
        <v>46044.705416666664</v>
      </c>
      <c r="M308" s="1">
        <v>46044.711724537039</v>
      </c>
      <c r="N308" s="1">
        <v>46045.333703703705</v>
      </c>
      <c r="O308" s="3" t="s">
        <v>43</v>
      </c>
      <c r="P308" s="3" t="s">
        <v>2059</v>
      </c>
      <c r="Q308" s="3" t="s">
        <v>42</v>
      </c>
      <c r="R308" s="3" t="s">
        <v>2058</v>
      </c>
      <c r="S308" s="3" t="s">
        <v>190</v>
      </c>
      <c r="T308" s="3" t="s">
        <v>189</v>
      </c>
      <c r="U308" s="4" t="b">
        <v>1</v>
      </c>
      <c r="V308" s="3" t="s">
        <v>31</v>
      </c>
      <c r="W308" s="1"/>
      <c r="Y308" s="3" t="s">
        <v>32</v>
      </c>
      <c r="Z308" s="3" t="s">
        <v>32</v>
      </c>
      <c r="AA308" s="3"/>
      <c r="AB308" s="3"/>
      <c r="AC308" s="4" t="s">
        <v>30</v>
      </c>
      <c r="AD308" s="3"/>
      <c r="AE308" s="3" t="s">
        <v>2059</v>
      </c>
      <c r="AF308" s="4" t="s">
        <v>30</v>
      </c>
      <c r="AH308" s="4">
        <v>1</v>
      </c>
      <c r="AI308" s="3" t="s">
        <v>2056</v>
      </c>
      <c r="AJ308" s="4"/>
      <c r="AK308" s="4"/>
      <c r="AL308" s="3"/>
    </row>
    <row r="309" spans="1:38" x14ac:dyDescent="0.35">
      <c r="A309" s="3" t="s">
        <v>2060</v>
      </c>
      <c r="B309" s="4" t="s">
        <v>2067</v>
      </c>
      <c r="C309" s="4">
        <f>VLOOKUP(A309, [1]Planilha1!$A$3:$B$1015,2,FALSE)</f>
        <v>0</v>
      </c>
      <c r="D309" s="4">
        <f t="shared" si="4"/>
        <v>0</v>
      </c>
      <c r="E309" s="4" t="s">
        <v>1125</v>
      </c>
      <c r="F309" s="3" t="s">
        <v>2064</v>
      </c>
      <c r="G309" s="3" t="s">
        <v>2061</v>
      </c>
      <c r="H309" s="3" t="s">
        <v>44</v>
      </c>
      <c r="I309" s="3" t="s">
        <v>33</v>
      </c>
      <c r="J309" s="3" t="s">
        <v>60</v>
      </c>
      <c r="K309" s="3" t="s">
        <v>2063</v>
      </c>
      <c r="L309" s="1">
        <v>46044.704039351855</v>
      </c>
      <c r="M309" s="1">
        <v>46044.719386574077</v>
      </c>
      <c r="N309" s="1">
        <v>46047.75</v>
      </c>
      <c r="O309" s="3" t="s">
        <v>43</v>
      </c>
      <c r="P309" s="3" t="s">
        <v>2067</v>
      </c>
      <c r="Q309" s="3" t="s">
        <v>42</v>
      </c>
      <c r="R309" s="3" t="s">
        <v>2066</v>
      </c>
      <c r="S309" s="3" t="s">
        <v>120</v>
      </c>
      <c r="T309" s="3" t="s">
        <v>119</v>
      </c>
      <c r="U309" s="4" t="b">
        <v>1</v>
      </c>
      <c r="V309" s="3" t="s">
        <v>31</v>
      </c>
      <c r="W309" s="1"/>
      <c r="Y309" s="3" t="s">
        <v>32</v>
      </c>
      <c r="Z309" s="3" t="s">
        <v>32</v>
      </c>
      <c r="AA309" s="3"/>
      <c r="AB309" s="3"/>
      <c r="AC309" s="4" t="s">
        <v>30</v>
      </c>
      <c r="AD309" s="3"/>
      <c r="AE309" s="3" t="s">
        <v>2067</v>
      </c>
      <c r="AF309" s="4" t="s">
        <v>30</v>
      </c>
      <c r="AH309" s="4">
        <v>0</v>
      </c>
      <c r="AI309" s="3" t="s">
        <v>2062</v>
      </c>
      <c r="AJ309" s="4" t="s">
        <v>2065</v>
      </c>
      <c r="AK309" s="4"/>
      <c r="AL309" s="3"/>
    </row>
    <row r="310" spans="1:38" x14ac:dyDescent="0.35">
      <c r="A310" s="3" t="s">
        <v>2070</v>
      </c>
      <c r="B310" s="4" t="s">
        <v>734</v>
      </c>
      <c r="C310" s="4">
        <f>VLOOKUP(A310, [1]Planilha1!$A$3:$B$1015,2,FALSE)</f>
        <v>0</v>
      </c>
      <c r="D310" s="4">
        <f t="shared" si="4"/>
        <v>0</v>
      </c>
      <c r="E310" s="4" t="s">
        <v>1125</v>
      </c>
      <c r="F310" s="3" t="s">
        <v>731</v>
      </c>
      <c r="G310" s="3" t="s">
        <v>2071</v>
      </c>
      <c r="H310" s="3" t="s">
        <v>44</v>
      </c>
      <c r="I310" s="3" t="s">
        <v>33</v>
      </c>
      <c r="J310" s="3" t="s">
        <v>60</v>
      </c>
      <c r="K310" s="3" t="s">
        <v>2073</v>
      </c>
      <c r="L310" s="1">
        <v>46044.693182870367</v>
      </c>
      <c r="M310" s="1">
        <v>46044.703275462962</v>
      </c>
      <c r="N310" s="1">
        <v>46047.708333333336</v>
      </c>
      <c r="O310" s="3" t="s">
        <v>43</v>
      </c>
      <c r="P310" s="3" t="s">
        <v>734</v>
      </c>
      <c r="Q310" s="3" t="s">
        <v>42</v>
      </c>
      <c r="R310" s="3" t="s">
        <v>733</v>
      </c>
      <c r="S310" s="3" t="s">
        <v>120</v>
      </c>
      <c r="T310" s="3" t="s">
        <v>119</v>
      </c>
      <c r="U310" s="4" t="b">
        <v>1</v>
      </c>
      <c r="V310" s="3" t="s">
        <v>31</v>
      </c>
      <c r="W310" s="1"/>
      <c r="Y310" s="3" t="s">
        <v>32</v>
      </c>
      <c r="Z310" s="3" t="s">
        <v>32</v>
      </c>
      <c r="AA310" s="3"/>
      <c r="AB310" s="3"/>
      <c r="AC310" s="4" t="s">
        <v>30</v>
      </c>
      <c r="AD310" s="3"/>
      <c r="AE310" s="3" t="s">
        <v>734</v>
      </c>
      <c r="AF310" s="4" t="s">
        <v>30</v>
      </c>
      <c r="AH310" s="4">
        <v>0</v>
      </c>
      <c r="AI310" s="3" t="s">
        <v>2072</v>
      </c>
      <c r="AJ310" s="4" t="s">
        <v>732</v>
      </c>
      <c r="AK310" s="4"/>
      <c r="AL310" s="3"/>
    </row>
    <row r="311" spans="1:38" x14ac:dyDescent="0.35">
      <c r="A311" s="3" t="s">
        <v>2074</v>
      </c>
      <c r="B311" s="4" t="s">
        <v>94</v>
      </c>
      <c r="C311" s="4">
        <f>VLOOKUP(A311, [1]Planilha1!$A$3:$B$1015,2,FALSE)</f>
        <v>3972</v>
      </c>
      <c r="D311" s="4">
        <f t="shared" si="4"/>
        <v>1.1033333333333333</v>
      </c>
      <c r="E311" s="4" t="s">
        <v>1125</v>
      </c>
      <c r="F311" s="3" t="s">
        <v>92</v>
      </c>
      <c r="G311" s="3" t="s">
        <v>2075</v>
      </c>
      <c r="H311" s="3" t="s">
        <v>44</v>
      </c>
      <c r="I311" s="3" t="s">
        <v>33</v>
      </c>
      <c r="J311" s="3" t="s">
        <v>41</v>
      </c>
      <c r="L311" s="1">
        <v>46044.687673611108</v>
      </c>
      <c r="M311" s="1">
        <v>46044.687673611108</v>
      </c>
      <c r="N311" s="1">
        <v>46044.702997685185</v>
      </c>
      <c r="O311" s="3" t="s">
        <v>43</v>
      </c>
      <c r="P311" s="3" t="s">
        <v>94</v>
      </c>
      <c r="Q311" s="3" t="s">
        <v>42</v>
      </c>
      <c r="R311" s="3" t="s">
        <v>93</v>
      </c>
      <c r="S311" s="3" t="s">
        <v>37</v>
      </c>
      <c r="T311" s="3" t="s">
        <v>36</v>
      </c>
      <c r="U311" s="4" t="b">
        <v>1</v>
      </c>
      <c r="V311" s="3" t="s">
        <v>28</v>
      </c>
      <c r="W311" s="1"/>
      <c r="Y311" s="3" t="s">
        <v>29</v>
      </c>
      <c r="Z311" s="3" t="s">
        <v>29</v>
      </c>
      <c r="AA311" s="3"/>
      <c r="AB311" s="3"/>
      <c r="AC311" s="4" t="s">
        <v>30</v>
      </c>
      <c r="AD311" s="3"/>
      <c r="AE311" s="3" t="s">
        <v>94</v>
      </c>
      <c r="AF311" s="4" t="s">
        <v>30</v>
      </c>
      <c r="AH311" s="4">
        <v>0</v>
      </c>
      <c r="AI311" s="3" t="s">
        <v>2076</v>
      </c>
      <c r="AJ311" s="4"/>
      <c r="AK311" s="4"/>
      <c r="AL311" s="3"/>
    </row>
    <row r="312" spans="1:38" x14ac:dyDescent="0.35">
      <c r="A312" s="3" t="s">
        <v>2077</v>
      </c>
      <c r="B312" s="4" t="s">
        <v>2083</v>
      </c>
      <c r="C312" s="4">
        <f>VLOOKUP(A312, [1]Planilha1!$A$3:$B$1015,2,FALSE)</f>
        <v>11800</v>
      </c>
      <c r="D312" s="4">
        <f t="shared" si="4"/>
        <v>3.2777777777777777</v>
      </c>
      <c r="E312" s="4" t="s">
        <v>1125</v>
      </c>
      <c r="F312" s="3" t="s">
        <v>2080</v>
      </c>
      <c r="G312" s="3" t="s">
        <v>2078</v>
      </c>
      <c r="H312" s="3" t="s">
        <v>44</v>
      </c>
      <c r="I312" s="3" t="s">
        <v>33</v>
      </c>
      <c r="J312" s="3" t="s">
        <v>41</v>
      </c>
      <c r="L312" s="1">
        <v>46044.686886574076</v>
      </c>
      <c r="M312" s="1">
        <v>46044.686886574076</v>
      </c>
      <c r="N312" s="1">
        <v>46045.333067129628</v>
      </c>
      <c r="O312" s="3" t="s">
        <v>43</v>
      </c>
      <c r="P312" s="3" t="s">
        <v>2083</v>
      </c>
      <c r="Q312" s="3" t="s">
        <v>42</v>
      </c>
      <c r="R312" s="3" t="s">
        <v>2082</v>
      </c>
      <c r="S312" s="3" t="s">
        <v>37</v>
      </c>
      <c r="T312" s="3" t="s">
        <v>36</v>
      </c>
      <c r="U312" s="4" t="b">
        <v>1</v>
      </c>
      <c r="V312" s="3" t="s">
        <v>28</v>
      </c>
      <c r="W312" s="1"/>
      <c r="Y312" s="3" t="s">
        <v>29</v>
      </c>
      <c r="Z312" s="3" t="s">
        <v>29</v>
      </c>
      <c r="AA312" s="3"/>
      <c r="AB312" s="3"/>
      <c r="AC312" s="4" t="s">
        <v>30</v>
      </c>
      <c r="AD312" s="3"/>
      <c r="AE312" s="3" t="s">
        <v>2083</v>
      </c>
      <c r="AF312" s="4" t="s">
        <v>30</v>
      </c>
      <c r="AH312" s="4">
        <v>2</v>
      </c>
      <c r="AI312" s="3" t="s">
        <v>2079</v>
      </c>
      <c r="AJ312" s="4" t="s">
        <v>2081</v>
      </c>
      <c r="AK312" s="4"/>
      <c r="AL312" s="3"/>
    </row>
    <row r="313" spans="1:38" x14ac:dyDescent="0.35">
      <c r="A313" s="3" t="s">
        <v>2088</v>
      </c>
      <c r="B313" s="4" t="s">
        <v>2094</v>
      </c>
      <c r="C313" s="4">
        <f>VLOOKUP(A313, [1]Planilha1!$A$3:$B$1015,2,FALSE)</f>
        <v>0</v>
      </c>
      <c r="D313" s="4">
        <f t="shared" si="4"/>
        <v>0</v>
      </c>
      <c r="E313" s="4" t="s">
        <v>1125</v>
      </c>
      <c r="F313" s="3" t="s">
        <v>2091</v>
      </c>
      <c r="G313" s="3" t="s">
        <v>214</v>
      </c>
      <c r="H313" s="3" t="s">
        <v>44</v>
      </c>
      <c r="I313" s="3" t="s">
        <v>33</v>
      </c>
      <c r="J313" s="3" t="s">
        <v>60</v>
      </c>
      <c r="K313" s="3" t="s">
        <v>2090</v>
      </c>
      <c r="L313" s="1">
        <v>46044.662511574075</v>
      </c>
      <c r="M313" s="1">
        <v>46044.672349537039</v>
      </c>
      <c r="N313" s="1">
        <v>46047.708333333336</v>
      </c>
      <c r="O313" s="3" t="s">
        <v>43</v>
      </c>
      <c r="P313" s="3" t="s">
        <v>2094</v>
      </c>
      <c r="Q313" s="3" t="s">
        <v>35</v>
      </c>
      <c r="R313" s="3" t="s">
        <v>2093</v>
      </c>
      <c r="S313" s="3" t="s">
        <v>144</v>
      </c>
      <c r="T313" s="3" t="s">
        <v>143</v>
      </c>
      <c r="U313" s="4" t="b">
        <v>1</v>
      </c>
      <c r="V313" s="3" t="s">
        <v>31</v>
      </c>
      <c r="W313" s="1"/>
      <c r="Y313" s="3" t="s">
        <v>32</v>
      </c>
      <c r="Z313" s="3" t="s">
        <v>32</v>
      </c>
      <c r="AA313" s="3"/>
      <c r="AB313" s="3"/>
      <c r="AC313" s="4" t="s">
        <v>30</v>
      </c>
      <c r="AD313" s="3"/>
      <c r="AE313" s="3" t="s">
        <v>2094</v>
      </c>
      <c r="AF313" s="4" t="s">
        <v>30</v>
      </c>
      <c r="AH313" s="4">
        <v>0</v>
      </c>
      <c r="AI313" s="3" t="s">
        <v>2089</v>
      </c>
      <c r="AJ313" s="4" t="s">
        <v>2092</v>
      </c>
      <c r="AK313" s="4"/>
      <c r="AL313" s="3"/>
    </row>
    <row r="314" spans="1:38" x14ac:dyDescent="0.35">
      <c r="A314" s="3" t="s">
        <v>2095</v>
      </c>
      <c r="B314" s="4" t="s">
        <v>2101</v>
      </c>
      <c r="C314" s="4">
        <f>VLOOKUP(A314, [1]Planilha1!$A$3:$B$1015,2,FALSE)</f>
        <v>8068</v>
      </c>
      <c r="D314" s="4">
        <f t="shared" si="4"/>
        <v>2.2411111111111111</v>
      </c>
      <c r="E314" s="4" t="s">
        <v>1125</v>
      </c>
      <c r="F314" s="3" t="s">
        <v>2098</v>
      </c>
      <c r="G314" s="3" t="s">
        <v>2096</v>
      </c>
      <c r="H314" s="3" t="s">
        <v>171</v>
      </c>
      <c r="I314" s="3" t="s">
        <v>33</v>
      </c>
      <c r="J314" s="3" t="s">
        <v>41</v>
      </c>
      <c r="L314" s="1">
        <v>46044.622708333336</v>
      </c>
      <c r="M314" s="1">
        <v>46044.622708333336</v>
      </c>
      <c r="N314" s="1">
        <v>46044.669398148151</v>
      </c>
      <c r="O314" s="3" t="s">
        <v>170</v>
      </c>
      <c r="P314" s="3" t="s">
        <v>2101</v>
      </c>
      <c r="Q314" s="3" t="s">
        <v>35</v>
      </c>
      <c r="R314" s="3" t="s">
        <v>2100</v>
      </c>
      <c r="S314" s="3" t="s">
        <v>37</v>
      </c>
      <c r="T314" s="3" t="s">
        <v>36</v>
      </c>
      <c r="U314" s="4" t="b">
        <v>1</v>
      </c>
      <c r="V314" s="3" t="s">
        <v>28</v>
      </c>
      <c r="W314" s="1"/>
      <c r="Y314" s="3" t="s">
        <v>29</v>
      </c>
      <c r="Z314" s="3" t="s">
        <v>29</v>
      </c>
      <c r="AA314" s="3"/>
      <c r="AB314" s="3"/>
      <c r="AC314" s="4" t="s">
        <v>30</v>
      </c>
      <c r="AD314" s="3"/>
      <c r="AE314" s="3" t="s">
        <v>2101</v>
      </c>
      <c r="AF314" s="4" t="s">
        <v>30</v>
      </c>
      <c r="AH314" s="4">
        <v>1</v>
      </c>
      <c r="AI314" s="3" t="s">
        <v>2097</v>
      </c>
      <c r="AJ314" s="4" t="s">
        <v>2099</v>
      </c>
      <c r="AK314" s="4"/>
      <c r="AL314" s="3"/>
    </row>
    <row r="315" spans="1:38" x14ac:dyDescent="0.35">
      <c r="A315" s="3" t="s">
        <v>2102</v>
      </c>
      <c r="B315" s="4" t="s">
        <v>2107</v>
      </c>
      <c r="C315" s="4">
        <f>VLOOKUP(A315, [1]Planilha1!$A$3:$B$1015,2,FALSE)</f>
        <v>6906</v>
      </c>
      <c r="D315" s="4">
        <f t="shared" si="4"/>
        <v>1.9183333333333332</v>
      </c>
      <c r="E315" s="4" t="s">
        <v>1125</v>
      </c>
      <c r="F315" s="3" t="s">
        <v>2104</v>
      </c>
      <c r="G315" s="3" t="s">
        <v>74</v>
      </c>
      <c r="H315" s="3" t="s">
        <v>44</v>
      </c>
      <c r="I315" s="3" t="s">
        <v>33</v>
      </c>
      <c r="J315" s="3" t="s">
        <v>607</v>
      </c>
      <c r="L315" s="1">
        <v>46044.616747685184</v>
      </c>
      <c r="M315" s="1">
        <v>46044.619351851848</v>
      </c>
      <c r="N315" s="1">
        <v>46047.666666666664</v>
      </c>
      <c r="O315" s="3" t="s">
        <v>43</v>
      </c>
      <c r="P315" s="3" t="s">
        <v>2107</v>
      </c>
      <c r="Q315" s="3" t="s">
        <v>35</v>
      </c>
      <c r="R315" s="3" t="s">
        <v>2106</v>
      </c>
      <c r="S315" s="3" t="s">
        <v>80</v>
      </c>
      <c r="T315" s="3" t="s">
        <v>79</v>
      </c>
      <c r="U315" s="4" t="b">
        <v>1</v>
      </c>
      <c r="V315" s="3" t="s">
        <v>31</v>
      </c>
      <c r="W315" s="1"/>
      <c r="Y315" s="3" t="s">
        <v>32</v>
      </c>
      <c r="Z315" s="3" t="s">
        <v>32</v>
      </c>
      <c r="AA315" s="3"/>
      <c r="AB315" s="3"/>
      <c r="AC315" s="4" t="s">
        <v>30</v>
      </c>
      <c r="AD315" s="3"/>
      <c r="AE315" s="3" t="s">
        <v>2107</v>
      </c>
      <c r="AF315" s="4" t="s">
        <v>30</v>
      </c>
      <c r="AH315" s="4">
        <v>1</v>
      </c>
      <c r="AI315" s="3" t="s">
        <v>2103</v>
      </c>
      <c r="AJ315" s="4" t="s">
        <v>2105</v>
      </c>
      <c r="AK315" s="4"/>
      <c r="AL315" s="3"/>
    </row>
    <row r="316" spans="1:38" x14ac:dyDescent="0.35">
      <c r="A316" s="3" t="s">
        <v>2108</v>
      </c>
      <c r="B316" s="4" t="s">
        <v>2113</v>
      </c>
      <c r="C316" s="4">
        <f>VLOOKUP(A316, [1]Planilha1!$A$3:$B$1015,2,FALSE)</f>
        <v>8886</v>
      </c>
      <c r="D316" s="4">
        <f t="shared" si="4"/>
        <v>2.4683333333333333</v>
      </c>
      <c r="E316" s="4" t="s">
        <v>1125</v>
      </c>
      <c r="F316" s="3" t="s">
        <v>2110</v>
      </c>
      <c r="G316" s="3" t="s">
        <v>74</v>
      </c>
      <c r="H316" s="3" t="s">
        <v>44</v>
      </c>
      <c r="I316" s="3" t="s">
        <v>33</v>
      </c>
      <c r="J316" s="3" t="s">
        <v>41</v>
      </c>
      <c r="L316" s="1">
        <v>46044.611886574072</v>
      </c>
      <c r="M316" s="1">
        <v>46044.614085648151</v>
      </c>
      <c r="N316" s="1">
        <v>46044.665509259263</v>
      </c>
      <c r="O316" s="3" t="s">
        <v>43</v>
      </c>
      <c r="P316" s="3" t="s">
        <v>2113</v>
      </c>
      <c r="Q316" s="3" t="s">
        <v>42</v>
      </c>
      <c r="R316" s="3" t="s">
        <v>2112</v>
      </c>
      <c r="S316" s="3" t="s">
        <v>80</v>
      </c>
      <c r="T316" s="3" t="s">
        <v>79</v>
      </c>
      <c r="U316" s="4" t="b">
        <v>1</v>
      </c>
      <c r="V316" s="3" t="s">
        <v>31</v>
      </c>
      <c r="W316" s="1"/>
      <c r="Y316" s="3" t="s">
        <v>32</v>
      </c>
      <c r="Z316" s="3" t="s">
        <v>32</v>
      </c>
      <c r="AA316" s="3"/>
      <c r="AB316" s="3"/>
      <c r="AC316" s="4" t="s">
        <v>30</v>
      </c>
      <c r="AD316" s="3"/>
      <c r="AE316" s="3" t="s">
        <v>2113</v>
      </c>
      <c r="AF316" s="4" t="s">
        <v>30</v>
      </c>
      <c r="AH316" s="4">
        <v>1</v>
      </c>
      <c r="AI316" s="3" t="s">
        <v>2109</v>
      </c>
      <c r="AJ316" s="4" t="s">
        <v>2111</v>
      </c>
      <c r="AK316" s="4"/>
      <c r="AL316" s="3"/>
    </row>
    <row r="317" spans="1:38" x14ac:dyDescent="0.35">
      <c r="A317" s="3" t="s">
        <v>2114</v>
      </c>
      <c r="B317" s="4" t="s">
        <v>2119</v>
      </c>
      <c r="C317" s="4">
        <f>VLOOKUP(A317, [1]Planilha1!$A$3:$B$1015,2,FALSE)</f>
        <v>10748</v>
      </c>
      <c r="D317" s="4">
        <f t="shared" si="4"/>
        <v>2.9855555555555555</v>
      </c>
      <c r="E317" s="4" t="s">
        <v>1125</v>
      </c>
      <c r="F317" s="3" t="s">
        <v>2116</v>
      </c>
      <c r="G317" s="3" t="s">
        <v>74</v>
      </c>
      <c r="H317" s="3" t="s">
        <v>44</v>
      </c>
      <c r="I317" s="3" t="s">
        <v>33</v>
      </c>
      <c r="J317" s="3" t="s">
        <v>41</v>
      </c>
      <c r="L317" s="1">
        <v>46044.599687499998</v>
      </c>
      <c r="M317" s="1">
        <v>46044.601759259262</v>
      </c>
      <c r="N317" s="1">
        <v>46044.663958333331</v>
      </c>
      <c r="O317" s="3" t="s">
        <v>43</v>
      </c>
      <c r="P317" s="3" t="s">
        <v>2119</v>
      </c>
      <c r="Q317" s="3" t="s">
        <v>42</v>
      </c>
      <c r="R317" s="3" t="s">
        <v>2118</v>
      </c>
      <c r="S317" s="3" t="s">
        <v>80</v>
      </c>
      <c r="T317" s="3" t="s">
        <v>79</v>
      </c>
      <c r="U317" s="4" t="b">
        <v>1</v>
      </c>
      <c r="V317" s="3" t="s">
        <v>31</v>
      </c>
      <c r="W317" s="1"/>
      <c r="Y317" s="3" t="s">
        <v>32</v>
      </c>
      <c r="Z317" s="3" t="s">
        <v>32</v>
      </c>
      <c r="AA317" s="3"/>
      <c r="AB317" s="3"/>
      <c r="AC317" s="4" t="s">
        <v>30</v>
      </c>
      <c r="AD317" s="3"/>
      <c r="AE317" s="3" t="s">
        <v>2119</v>
      </c>
      <c r="AF317" s="4" t="s">
        <v>30</v>
      </c>
      <c r="AH317" s="4">
        <v>1</v>
      </c>
      <c r="AI317" s="3" t="s">
        <v>2115</v>
      </c>
      <c r="AJ317" s="4" t="s">
        <v>2117</v>
      </c>
      <c r="AK317" s="4"/>
      <c r="AL317" s="3"/>
    </row>
    <row r="318" spans="1:38" x14ac:dyDescent="0.35">
      <c r="A318" s="3" t="s">
        <v>2120</v>
      </c>
      <c r="B318" s="4" t="s">
        <v>2125</v>
      </c>
      <c r="C318" s="4">
        <f>VLOOKUP(A318, [1]Planilha1!$A$3:$B$1015,2,FALSE)</f>
        <v>19590</v>
      </c>
      <c r="D318" s="4">
        <f t="shared" si="4"/>
        <v>5.4416666666666664</v>
      </c>
      <c r="E318" s="4" t="s">
        <v>1125</v>
      </c>
      <c r="F318" s="3" t="s">
        <v>2123</v>
      </c>
      <c r="G318" s="3" t="s">
        <v>214</v>
      </c>
      <c r="H318" s="3" t="s">
        <v>44</v>
      </c>
      <c r="I318" s="3" t="s">
        <v>33</v>
      </c>
      <c r="J318" s="3" t="s">
        <v>41</v>
      </c>
      <c r="K318" s="3" t="s">
        <v>2122</v>
      </c>
      <c r="L318" s="1">
        <v>46044.595648148148</v>
      </c>
      <c r="M318" s="1">
        <v>46044.595648148148</v>
      </c>
      <c r="N318" s="1">
        <v>46044.673842592594</v>
      </c>
      <c r="O318" s="3" t="s">
        <v>43</v>
      </c>
      <c r="P318" s="3" t="s">
        <v>2125</v>
      </c>
      <c r="Q318" s="3" t="s">
        <v>42</v>
      </c>
      <c r="R318" s="3" t="s">
        <v>2124</v>
      </c>
      <c r="S318" s="3" t="s">
        <v>37</v>
      </c>
      <c r="T318" s="3" t="s">
        <v>36</v>
      </c>
      <c r="U318" s="4" t="b">
        <v>1</v>
      </c>
      <c r="V318" s="3" t="s">
        <v>28</v>
      </c>
      <c r="W318" s="1"/>
      <c r="Y318" s="3" t="s">
        <v>29</v>
      </c>
      <c r="Z318" s="3" t="s">
        <v>29</v>
      </c>
      <c r="AA318" s="3"/>
      <c r="AB318" s="3"/>
      <c r="AC318" s="4" t="s">
        <v>30</v>
      </c>
      <c r="AD318" s="3"/>
      <c r="AE318" s="3" t="s">
        <v>2125</v>
      </c>
      <c r="AF318" s="4" t="s">
        <v>30</v>
      </c>
      <c r="AH318" s="4">
        <v>2</v>
      </c>
      <c r="AI318" s="3" t="s">
        <v>2121</v>
      </c>
      <c r="AJ318" s="4" t="s">
        <v>5856</v>
      </c>
      <c r="AK318" s="4"/>
      <c r="AL318" s="3"/>
    </row>
    <row r="319" spans="1:38" x14ac:dyDescent="0.35">
      <c r="A319" s="3" t="s">
        <v>2126</v>
      </c>
      <c r="B319" s="4" t="s">
        <v>2131</v>
      </c>
      <c r="C319" s="4">
        <f>VLOOKUP(A319, [1]Planilha1!$A$3:$B$1015,2,FALSE)</f>
        <v>0</v>
      </c>
      <c r="D319" s="4">
        <f t="shared" si="4"/>
        <v>0</v>
      </c>
      <c r="E319" s="4" t="s">
        <v>1125</v>
      </c>
      <c r="F319" s="3" t="s">
        <v>2129</v>
      </c>
      <c r="G319" s="3" t="s">
        <v>1208</v>
      </c>
      <c r="H319" s="3" t="s">
        <v>428</v>
      </c>
      <c r="I319" s="3" t="s">
        <v>33</v>
      </c>
      <c r="J319" s="3" t="s">
        <v>60</v>
      </c>
      <c r="K319" s="3" t="s">
        <v>2128</v>
      </c>
      <c r="L319" s="1">
        <v>46044.59269675926</v>
      </c>
      <c r="M319" s="1">
        <v>46044.655995370369</v>
      </c>
      <c r="N319" s="1">
        <v>46047.666666666664</v>
      </c>
      <c r="O319" s="3" t="s">
        <v>427</v>
      </c>
      <c r="P319" s="3" t="s">
        <v>2131</v>
      </c>
      <c r="Q319" s="3" t="s">
        <v>35</v>
      </c>
      <c r="R319" s="3" t="s">
        <v>2130</v>
      </c>
      <c r="S319" s="3" t="s">
        <v>144</v>
      </c>
      <c r="T319" s="3" t="s">
        <v>143</v>
      </c>
      <c r="U319" s="4" t="b">
        <v>1</v>
      </c>
      <c r="V319" s="3" t="s">
        <v>31</v>
      </c>
      <c r="W319" s="1"/>
      <c r="Y319" s="3" t="s">
        <v>32</v>
      </c>
      <c r="Z319" s="3" t="s">
        <v>32</v>
      </c>
      <c r="AA319" s="3"/>
      <c r="AB319" s="3"/>
      <c r="AC319" s="4" t="s">
        <v>30</v>
      </c>
      <c r="AD319" s="3"/>
      <c r="AE319" s="3" t="s">
        <v>2131</v>
      </c>
      <c r="AF319" s="4" t="s">
        <v>30</v>
      </c>
      <c r="AH319" s="4">
        <v>0</v>
      </c>
      <c r="AI319" s="3" t="s">
        <v>2127</v>
      </c>
      <c r="AJ319" s="4" t="s">
        <v>5857</v>
      </c>
      <c r="AK319" s="4"/>
      <c r="AL319" s="3"/>
    </row>
    <row r="320" spans="1:38" x14ac:dyDescent="0.35">
      <c r="A320" s="3" t="s">
        <v>2132</v>
      </c>
      <c r="B320" s="4" t="s">
        <v>2138</v>
      </c>
      <c r="C320" s="4">
        <f>VLOOKUP(A320, [1]Planilha1!$A$3:$B$1015,2,FALSE)</f>
        <v>10932</v>
      </c>
      <c r="D320" s="4">
        <f t="shared" si="4"/>
        <v>3.0366666666666666</v>
      </c>
      <c r="E320" s="4" t="s">
        <v>1125</v>
      </c>
      <c r="F320" s="3" t="s">
        <v>2135</v>
      </c>
      <c r="G320" s="3" t="s">
        <v>214</v>
      </c>
      <c r="H320" s="3" t="s">
        <v>44</v>
      </c>
      <c r="I320" s="3" t="s">
        <v>33</v>
      </c>
      <c r="J320" s="3" t="s">
        <v>41</v>
      </c>
      <c r="K320" s="3" t="s">
        <v>2134</v>
      </c>
      <c r="L320" s="1">
        <v>46044.581712962965</v>
      </c>
      <c r="M320" s="1">
        <v>46044.600104166668</v>
      </c>
      <c r="N320" s="1">
        <v>46044.663368055553</v>
      </c>
      <c r="O320" s="3" t="s">
        <v>43</v>
      </c>
      <c r="P320" s="3" t="s">
        <v>2138</v>
      </c>
      <c r="Q320" s="3" t="s">
        <v>42</v>
      </c>
      <c r="R320" s="3" t="s">
        <v>2137</v>
      </c>
      <c r="S320" s="3" t="s">
        <v>144</v>
      </c>
      <c r="T320" s="3" t="s">
        <v>143</v>
      </c>
      <c r="U320" s="4" t="b">
        <v>1</v>
      </c>
      <c r="V320" s="3" t="s">
        <v>31</v>
      </c>
      <c r="W320" s="1"/>
      <c r="Y320" s="3" t="s">
        <v>32</v>
      </c>
      <c r="Z320" s="3" t="s">
        <v>32</v>
      </c>
      <c r="AA320" s="3"/>
      <c r="AB320" s="3"/>
      <c r="AC320" s="4" t="s">
        <v>30</v>
      </c>
      <c r="AD320" s="3"/>
      <c r="AE320" s="3" t="s">
        <v>2138</v>
      </c>
      <c r="AF320" s="4" t="s">
        <v>30</v>
      </c>
      <c r="AH320" s="4">
        <v>1</v>
      </c>
      <c r="AI320" s="3" t="s">
        <v>2133</v>
      </c>
      <c r="AJ320" s="4" t="s">
        <v>2136</v>
      </c>
      <c r="AK320" s="4"/>
      <c r="AL320" s="3"/>
    </row>
    <row r="321" spans="1:38" x14ac:dyDescent="0.35">
      <c r="A321" s="3" t="s">
        <v>2139</v>
      </c>
      <c r="B321" s="4" t="s">
        <v>94</v>
      </c>
      <c r="C321" s="4">
        <f>VLOOKUP(A321, [1]Planilha1!$A$3:$B$1015,2,FALSE)</f>
        <v>0</v>
      </c>
      <c r="D321" s="4">
        <f t="shared" si="4"/>
        <v>0</v>
      </c>
      <c r="E321" s="4" t="s">
        <v>1125</v>
      </c>
      <c r="F321" s="3" t="s">
        <v>92</v>
      </c>
      <c r="G321" s="3" t="s">
        <v>2140</v>
      </c>
      <c r="H321" s="3" t="s">
        <v>148</v>
      </c>
      <c r="I321" s="3" t="s">
        <v>33</v>
      </c>
      <c r="J321" s="3" t="s">
        <v>60</v>
      </c>
      <c r="L321" s="1">
        <v>46044.581180555557</v>
      </c>
      <c r="M321" s="1">
        <v>46044.583148148151</v>
      </c>
      <c r="N321" s="1">
        <v>46047.583333333336</v>
      </c>
      <c r="O321" s="3" t="s">
        <v>147</v>
      </c>
      <c r="P321" s="3" t="s">
        <v>94</v>
      </c>
      <c r="Q321" s="3" t="s">
        <v>42</v>
      </c>
      <c r="R321" s="3" t="s">
        <v>93</v>
      </c>
      <c r="S321" s="3" t="s">
        <v>708</v>
      </c>
      <c r="T321" s="3" t="s">
        <v>707</v>
      </c>
      <c r="U321" s="4" t="b">
        <v>1</v>
      </c>
      <c r="V321" s="3" t="s">
        <v>31</v>
      </c>
      <c r="W321" s="1"/>
      <c r="Y321" s="3" t="s">
        <v>32</v>
      </c>
      <c r="Z321" s="3" t="s">
        <v>32</v>
      </c>
      <c r="AA321" s="3"/>
      <c r="AB321" s="3"/>
      <c r="AC321" s="4" t="s">
        <v>30</v>
      </c>
      <c r="AD321" s="3"/>
      <c r="AE321" s="3" t="s">
        <v>94</v>
      </c>
      <c r="AF321" s="4" t="s">
        <v>30</v>
      </c>
      <c r="AH321" s="4">
        <v>0</v>
      </c>
      <c r="AI321" s="3" t="s">
        <v>2141</v>
      </c>
      <c r="AJ321" s="4"/>
      <c r="AK321" s="4"/>
      <c r="AL321" s="3"/>
    </row>
    <row r="322" spans="1:38" x14ac:dyDescent="0.35">
      <c r="A322" s="3" t="s">
        <v>2142</v>
      </c>
      <c r="B322" s="4" t="s">
        <v>2148</v>
      </c>
      <c r="C322" s="4">
        <f>VLOOKUP(A322, [1]Planilha1!$A$3:$B$1015,2,FALSE)</f>
        <v>0</v>
      </c>
      <c r="D322" s="4">
        <f t="shared" si="4"/>
        <v>0</v>
      </c>
      <c r="E322" s="4" t="s">
        <v>1125</v>
      </c>
      <c r="F322" s="3" t="s">
        <v>2145</v>
      </c>
      <c r="G322" s="3" t="s">
        <v>214</v>
      </c>
      <c r="H322" s="3" t="s">
        <v>44</v>
      </c>
      <c r="I322" s="3" t="s">
        <v>33</v>
      </c>
      <c r="J322" s="3" t="s">
        <v>60</v>
      </c>
      <c r="K322" s="3" t="s">
        <v>2144</v>
      </c>
      <c r="L322" s="1">
        <v>46044.580879629626</v>
      </c>
      <c r="M322" s="1">
        <v>46044.591157407405</v>
      </c>
      <c r="N322" s="1">
        <v>46047.625</v>
      </c>
      <c r="O322" s="3" t="s">
        <v>43</v>
      </c>
      <c r="P322" s="3" t="s">
        <v>2148</v>
      </c>
      <c r="Q322" s="3" t="s">
        <v>35</v>
      </c>
      <c r="R322" s="3" t="s">
        <v>2147</v>
      </c>
      <c r="S322" s="3" t="s">
        <v>144</v>
      </c>
      <c r="T322" s="3" t="s">
        <v>143</v>
      </c>
      <c r="U322" s="4" t="b">
        <v>1</v>
      </c>
      <c r="V322" s="3" t="s">
        <v>31</v>
      </c>
      <c r="W322" s="1"/>
      <c r="Y322" s="3" t="s">
        <v>32</v>
      </c>
      <c r="Z322" s="3" t="s">
        <v>32</v>
      </c>
      <c r="AA322" s="3"/>
      <c r="AB322" s="3"/>
      <c r="AC322" s="4" t="s">
        <v>30</v>
      </c>
      <c r="AD322" s="3"/>
      <c r="AE322" s="3" t="s">
        <v>2148</v>
      </c>
      <c r="AF322" s="4" t="s">
        <v>30</v>
      </c>
      <c r="AH322" s="4">
        <v>0</v>
      </c>
      <c r="AI322" s="3" t="s">
        <v>2143</v>
      </c>
      <c r="AJ322" s="4" t="s">
        <v>2146</v>
      </c>
      <c r="AK322" s="4"/>
      <c r="AL322" s="3"/>
    </row>
    <row r="323" spans="1:38" x14ac:dyDescent="0.35">
      <c r="A323" s="3" t="s">
        <v>2149</v>
      </c>
      <c r="B323" s="4" t="s">
        <v>2155</v>
      </c>
      <c r="C323" s="4">
        <f>VLOOKUP(A323, [1]Planilha1!$A$3:$B$1015,2,FALSE)</f>
        <v>13588</v>
      </c>
      <c r="D323" s="4">
        <f t="shared" ref="D323:D386" si="5">C323/3600</f>
        <v>3.7744444444444443</v>
      </c>
      <c r="E323" s="4" t="s">
        <v>1125</v>
      </c>
      <c r="F323" s="3" t="s">
        <v>2152</v>
      </c>
      <c r="G323" s="3" t="s">
        <v>214</v>
      </c>
      <c r="H323" s="3" t="s">
        <v>44</v>
      </c>
      <c r="I323" s="3" t="s">
        <v>33</v>
      </c>
      <c r="J323" s="3" t="s">
        <v>41</v>
      </c>
      <c r="K323" s="3" t="s">
        <v>2151</v>
      </c>
      <c r="L323" s="1">
        <v>46044.574432870373</v>
      </c>
      <c r="M323" s="1">
        <v>46044.582268518519</v>
      </c>
      <c r="N323" s="1">
        <v>46044.660902777781</v>
      </c>
      <c r="O323" s="3" t="s">
        <v>43</v>
      </c>
      <c r="P323" s="3" t="s">
        <v>2155</v>
      </c>
      <c r="Q323" s="3" t="s">
        <v>42</v>
      </c>
      <c r="R323" s="3" t="s">
        <v>2154</v>
      </c>
      <c r="S323" s="3" t="s">
        <v>144</v>
      </c>
      <c r="T323" s="3" t="s">
        <v>143</v>
      </c>
      <c r="U323" s="4" t="b">
        <v>1</v>
      </c>
      <c r="V323" s="3" t="s">
        <v>31</v>
      </c>
      <c r="W323" s="1"/>
      <c r="Y323" s="3" t="s">
        <v>32</v>
      </c>
      <c r="Z323" s="3" t="s">
        <v>32</v>
      </c>
      <c r="AA323" s="3"/>
      <c r="AB323" s="3"/>
      <c r="AC323" s="4" t="s">
        <v>30</v>
      </c>
      <c r="AD323" s="3"/>
      <c r="AE323" s="3" t="s">
        <v>2155</v>
      </c>
      <c r="AF323" s="4" t="s">
        <v>30</v>
      </c>
      <c r="AH323" s="4">
        <v>1</v>
      </c>
      <c r="AI323" s="3" t="s">
        <v>2150</v>
      </c>
      <c r="AJ323" s="4" t="s">
        <v>2153</v>
      </c>
      <c r="AK323" s="4"/>
      <c r="AL323" s="3"/>
    </row>
    <row r="324" spans="1:38" x14ac:dyDescent="0.35">
      <c r="A324" s="3" t="s">
        <v>2156</v>
      </c>
      <c r="B324" s="4" t="s">
        <v>2161</v>
      </c>
      <c r="C324" s="4">
        <f>VLOOKUP(A324, [1]Planilha1!$A$3:$B$1015,2,FALSE)</f>
        <v>11902</v>
      </c>
      <c r="D324" s="4">
        <f t="shared" si="5"/>
        <v>3.306111111111111</v>
      </c>
      <c r="E324" s="4" t="s">
        <v>1125</v>
      </c>
      <c r="F324" s="3" t="s">
        <v>2158</v>
      </c>
      <c r="G324" s="3" t="s">
        <v>44</v>
      </c>
      <c r="H324" s="3" t="s">
        <v>44</v>
      </c>
      <c r="I324" s="3" t="s">
        <v>33</v>
      </c>
      <c r="J324" s="3" t="s">
        <v>41</v>
      </c>
      <c r="L324" s="1">
        <v>46044.571597222224</v>
      </c>
      <c r="M324" s="1">
        <v>46044.593553240738</v>
      </c>
      <c r="N324" s="1">
        <v>46044.662430555552</v>
      </c>
      <c r="O324" s="3" t="s">
        <v>43</v>
      </c>
      <c r="P324" s="3" t="s">
        <v>2161</v>
      </c>
      <c r="Q324" s="3" t="s">
        <v>42</v>
      </c>
      <c r="R324" s="3" t="s">
        <v>2160</v>
      </c>
      <c r="S324" s="3" t="s">
        <v>96</v>
      </c>
      <c r="T324" s="3" t="s">
        <v>95</v>
      </c>
      <c r="U324" s="4" t="b">
        <v>1</v>
      </c>
      <c r="V324" s="3" t="s">
        <v>31</v>
      </c>
      <c r="W324" s="1"/>
      <c r="Y324" s="3" t="s">
        <v>32</v>
      </c>
      <c r="Z324" s="3" t="s">
        <v>32</v>
      </c>
      <c r="AA324" s="3"/>
      <c r="AB324" s="3"/>
      <c r="AC324" s="4" t="s">
        <v>30</v>
      </c>
      <c r="AD324" s="3"/>
      <c r="AE324" s="3" t="s">
        <v>2161</v>
      </c>
      <c r="AF324" s="4" t="s">
        <v>30</v>
      </c>
      <c r="AH324" s="4">
        <v>1</v>
      </c>
      <c r="AI324" s="3" t="s">
        <v>2157</v>
      </c>
      <c r="AJ324" s="4" t="s">
        <v>2159</v>
      </c>
      <c r="AK324" s="4"/>
      <c r="AL324" s="3"/>
    </row>
    <row r="325" spans="1:38" x14ac:dyDescent="0.35">
      <c r="A325" s="3" t="s">
        <v>2162</v>
      </c>
      <c r="B325" s="4" t="s">
        <v>58</v>
      </c>
      <c r="C325" s="4">
        <f>VLOOKUP(A325, [1]Planilha1!$A$3:$B$1015,2,FALSE)</f>
        <v>78976</v>
      </c>
      <c r="D325" s="4">
        <f t="shared" si="5"/>
        <v>21.937777777777779</v>
      </c>
      <c r="E325" s="4" t="s">
        <v>1125</v>
      </c>
      <c r="F325" s="3" t="s">
        <v>54</v>
      </c>
      <c r="G325" s="3" t="s">
        <v>2163</v>
      </c>
      <c r="H325" s="3" t="s">
        <v>474</v>
      </c>
      <c r="I325" s="3" t="s">
        <v>33</v>
      </c>
      <c r="J325" s="3" t="s">
        <v>152</v>
      </c>
      <c r="L325" s="1">
        <v>46044.561655092592</v>
      </c>
      <c r="M325" s="1">
        <v>46044.565011574072</v>
      </c>
      <c r="N325" s="1">
        <v>46055.634618055556</v>
      </c>
      <c r="O325" s="3" t="s">
        <v>477</v>
      </c>
      <c r="P325" s="3" t="s">
        <v>57</v>
      </c>
      <c r="Q325" s="3" t="s">
        <v>35</v>
      </c>
      <c r="R325" s="3" t="s">
        <v>56</v>
      </c>
      <c r="S325" s="3" t="s">
        <v>64</v>
      </c>
      <c r="T325" s="3" t="s">
        <v>63</v>
      </c>
      <c r="U325" s="4" t="b">
        <v>0</v>
      </c>
      <c r="V325" s="3" t="s">
        <v>28</v>
      </c>
      <c r="W325" s="1"/>
      <c r="Y325" s="3" t="s">
        <v>29</v>
      </c>
      <c r="Z325" s="3" t="s">
        <v>29</v>
      </c>
      <c r="AA325" s="3" t="s">
        <v>196</v>
      </c>
      <c r="AB325" s="3" t="s">
        <v>58</v>
      </c>
      <c r="AC325" s="4" t="s">
        <v>30</v>
      </c>
      <c r="AD325" s="3" t="s">
        <v>59</v>
      </c>
      <c r="AE325" s="3" t="s">
        <v>57</v>
      </c>
      <c r="AF325" s="4" t="s">
        <v>30</v>
      </c>
      <c r="AH325" s="4">
        <v>7</v>
      </c>
      <c r="AI325" s="3" t="s">
        <v>2164</v>
      </c>
      <c r="AJ325" s="4" t="s">
        <v>55</v>
      </c>
      <c r="AK325" s="4" t="s">
        <v>197</v>
      </c>
      <c r="AL325" s="3"/>
    </row>
    <row r="326" spans="1:38" x14ac:dyDescent="0.35">
      <c r="A326" s="3" t="s">
        <v>2165</v>
      </c>
      <c r="B326" s="4" t="s">
        <v>2170</v>
      </c>
      <c r="C326" s="4">
        <f>VLOOKUP(A326, [1]Planilha1!$A$3:$B$1015,2,FALSE)</f>
        <v>0</v>
      </c>
      <c r="D326" s="4">
        <f t="shared" si="5"/>
        <v>0</v>
      </c>
      <c r="E326" s="4" t="s">
        <v>1125</v>
      </c>
      <c r="F326" s="3" t="s">
        <v>2168</v>
      </c>
      <c r="G326" s="3" t="s">
        <v>214</v>
      </c>
      <c r="H326" s="3" t="s">
        <v>44</v>
      </c>
      <c r="I326" s="3" t="s">
        <v>33</v>
      </c>
      <c r="J326" s="3" t="s">
        <v>60</v>
      </c>
      <c r="K326" s="3" t="s">
        <v>2167</v>
      </c>
      <c r="L326" s="1">
        <v>46044.55809027778</v>
      </c>
      <c r="M326" s="1">
        <v>46044.571689814817</v>
      </c>
      <c r="N326" s="1">
        <v>46047.583333333336</v>
      </c>
      <c r="O326" s="3" t="s">
        <v>43</v>
      </c>
      <c r="P326" s="3" t="s">
        <v>2170</v>
      </c>
      <c r="Q326" s="3" t="s">
        <v>35</v>
      </c>
      <c r="R326" s="3" t="s">
        <v>2169</v>
      </c>
      <c r="S326" s="3" t="s">
        <v>144</v>
      </c>
      <c r="T326" s="3" t="s">
        <v>143</v>
      </c>
      <c r="U326" s="4" t="b">
        <v>1</v>
      </c>
      <c r="V326" s="3" t="s">
        <v>31</v>
      </c>
      <c r="W326" s="1"/>
      <c r="Y326" s="3" t="s">
        <v>32</v>
      </c>
      <c r="Z326" s="3" t="s">
        <v>32</v>
      </c>
      <c r="AA326" s="3"/>
      <c r="AB326" s="3"/>
      <c r="AC326" s="4" t="s">
        <v>30</v>
      </c>
      <c r="AD326" s="3"/>
      <c r="AE326" s="3" t="s">
        <v>2170</v>
      </c>
      <c r="AF326" s="4" t="s">
        <v>30</v>
      </c>
      <c r="AH326" s="4">
        <v>0</v>
      </c>
      <c r="AI326" s="3" t="s">
        <v>2166</v>
      </c>
      <c r="AJ326" s="4" t="s">
        <v>5858</v>
      </c>
      <c r="AK326" s="4"/>
      <c r="AL326" s="3"/>
    </row>
    <row r="327" spans="1:38" x14ac:dyDescent="0.35">
      <c r="A327" s="3" t="s">
        <v>2171</v>
      </c>
      <c r="B327" s="4" t="s">
        <v>2177</v>
      </c>
      <c r="C327" s="4">
        <f>VLOOKUP(A327, [1]Planilha1!$A$3:$B$1015,2,FALSE)</f>
        <v>0</v>
      </c>
      <c r="D327" s="4">
        <f t="shared" si="5"/>
        <v>0</v>
      </c>
      <c r="E327" s="4" t="s">
        <v>1125</v>
      </c>
      <c r="F327" s="3" t="s">
        <v>2174</v>
      </c>
      <c r="G327" s="3" t="s">
        <v>134</v>
      </c>
      <c r="H327" s="3" t="s">
        <v>138</v>
      </c>
      <c r="I327" s="3" t="s">
        <v>33</v>
      </c>
      <c r="J327" s="3" t="s">
        <v>60</v>
      </c>
      <c r="K327" s="3" t="s">
        <v>2173</v>
      </c>
      <c r="L327" s="1">
        <v>46044.539166666669</v>
      </c>
      <c r="M327" s="1">
        <v>46044.557789351849</v>
      </c>
      <c r="N327" s="1">
        <v>46047.583333333336</v>
      </c>
      <c r="O327" s="3" t="s">
        <v>137</v>
      </c>
      <c r="P327" s="3" t="s">
        <v>2177</v>
      </c>
      <c r="Q327" s="3" t="s">
        <v>35</v>
      </c>
      <c r="R327" s="3" t="s">
        <v>2176</v>
      </c>
      <c r="S327" s="3" t="s">
        <v>144</v>
      </c>
      <c r="T327" s="3" t="s">
        <v>143</v>
      </c>
      <c r="U327" s="4" t="b">
        <v>1</v>
      </c>
      <c r="V327" s="3" t="s">
        <v>31</v>
      </c>
      <c r="W327" s="1"/>
      <c r="Y327" s="3" t="s">
        <v>32</v>
      </c>
      <c r="Z327" s="3" t="s">
        <v>32</v>
      </c>
      <c r="AA327" s="3"/>
      <c r="AB327" s="3"/>
      <c r="AC327" s="4" t="s">
        <v>30</v>
      </c>
      <c r="AD327" s="3"/>
      <c r="AE327" s="3" t="s">
        <v>2177</v>
      </c>
      <c r="AF327" s="4" t="s">
        <v>30</v>
      </c>
      <c r="AH327" s="4">
        <v>0</v>
      </c>
      <c r="AI327" s="3" t="s">
        <v>2172</v>
      </c>
      <c r="AJ327" s="4" t="s">
        <v>2175</v>
      </c>
      <c r="AK327" s="4"/>
      <c r="AL327" s="3"/>
    </row>
    <row r="328" spans="1:38" x14ac:dyDescent="0.35">
      <c r="A328" s="3" t="s">
        <v>2178</v>
      </c>
      <c r="B328" s="4" t="s">
        <v>1707</v>
      </c>
      <c r="C328" s="4">
        <f>VLOOKUP(A328, [1]Planilha1!$A$3:$B$1015,2,FALSE)</f>
        <v>0</v>
      </c>
      <c r="D328" s="4">
        <f t="shared" si="5"/>
        <v>0</v>
      </c>
      <c r="E328" s="4" t="s">
        <v>1125</v>
      </c>
      <c r="F328" s="3" t="s">
        <v>1704</v>
      </c>
      <c r="G328" s="3" t="s">
        <v>800</v>
      </c>
      <c r="H328" s="3" t="s">
        <v>44</v>
      </c>
      <c r="I328" s="3" t="s">
        <v>33</v>
      </c>
      <c r="J328" s="3" t="s">
        <v>60</v>
      </c>
      <c r="L328" s="1">
        <v>46044.533125000002</v>
      </c>
      <c r="M328" s="1">
        <v>46044.535185185188</v>
      </c>
      <c r="N328" s="1">
        <v>46047.541666666664</v>
      </c>
      <c r="O328" s="3" t="s">
        <v>43</v>
      </c>
      <c r="P328" s="3" t="s">
        <v>1707</v>
      </c>
      <c r="Q328" s="3" t="s">
        <v>42</v>
      </c>
      <c r="R328" s="3" t="s">
        <v>1706</v>
      </c>
      <c r="S328" s="3" t="s">
        <v>708</v>
      </c>
      <c r="T328" s="3" t="s">
        <v>707</v>
      </c>
      <c r="U328" s="4" t="b">
        <v>1</v>
      </c>
      <c r="V328" s="3" t="s">
        <v>31</v>
      </c>
      <c r="W328" s="1"/>
      <c r="Y328" s="3" t="s">
        <v>32</v>
      </c>
      <c r="Z328" s="3" t="s">
        <v>32</v>
      </c>
      <c r="AA328" s="3"/>
      <c r="AB328" s="3"/>
      <c r="AC328" s="4" t="s">
        <v>30</v>
      </c>
      <c r="AD328" s="3"/>
      <c r="AE328" s="3" t="s">
        <v>1707</v>
      </c>
      <c r="AF328" s="4" t="s">
        <v>30</v>
      </c>
      <c r="AH328" s="4">
        <v>0</v>
      </c>
      <c r="AI328" s="3" t="s">
        <v>2179</v>
      </c>
      <c r="AJ328" s="4" t="s">
        <v>1705</v>
      </c>
      <c r="AK328" s="4"/>
      <c r="AL328" s="3"/>
    </row>
    <row r="329" spans="1:38" x14ac:dyDescent="0.35">
      <c r="A329" s="3" t="s">
        <v>2180</v>
      </c>
      <c r="B329" s="4" t="s">
        <v>2186</v>
      </c>
      <c r="C329" s="4">
        <f>VLOOKUP(A329, [1]Planilha1!$A$3:$B$1015,2,FALSE)</f>
        <v>0</v>
      </c>
      <c r="D329" s="4">
        <f t="shared" si="5"/>
        <v>0</v>
      </c>
      <c r="E329" s="4" t="s">
        <v>1125</v>
      </c>
      <c r="F329" s="3" t="s">
        <v>2183</v>
      </c>
      <c r="G329" s="3" t="s">
        <v>134</v>
      </c>
      <c r="H329" s="3" t="s">
        <v>138</v>
      </c>
      <c r="I329" s="3" t="s">
        <v>33</v>
      </c>
      <c r="J329" s="3" t="s">
        <v>60</v>
      </c>
      <c r="K329" s="3" t="s">
        <v>2182</v>
      </c>
      <c r="L329" s="1">
        <v>46044.529803240737</v>
      </c>
      <c r="M329" s="1">
        <v>46044.542037037034</v>
      </c>
      <c r="N329" s="1">
        <v>46047.583333333336</v>
      </c>
      <c r="O329" s="3" t="s">
        <v>137</v>
      </c>
      <c r="P329" s="3" t="s">
        <v>2186</v>
      </c>
      <c r="Q329" s="3" t="s">
        <v>35</v>
      </c>
      <c r="R329" s="3" t="s">
        <v>2185</v>
      </c>
      <c r="S329" s="3" t="s">
        <v>144</v>
      </c>
      <c r="T329" s="3" t="s">
        <v>143</v>
      </c>
      <c r="U329" s="4" t="b">
        <v>1</v>
      </c>
      <c r="V329" s="3" t="s">
        <v>31</v>
      </c>
      <c r="W329" s="1"/>
      <c r="Y329" s="3" t="s">
        <v>32</v>
      </c>
      <c r="Z329" s="3" t="s">
        <v>32</v>
      </c>
      <c r="AA329" s="3"/>
      <c r="AB329" s="3"/>
      <c r="AC329" s="4" t="s">
        <v>30</v>
      </c>
      <c r="AD329" s="3"/>
      <c r="AE329" s="3" t="s">
        <v>2186</v>
      </c>
      <c r="AF329" s="4" t="s">
        <v>30</v>
      </c>
      <c r="AH329" s="4">
        <v>0</v>
      </c>
      <c r="AI329" s="3" t="s">
        <v>2181</v>
      </c>
      <c r="AJ329" s="4" t="s">
        <v>2184</v>
      </c>
      <c r="AK329" s="4"/>
      <c r="AL329" s="3"/>
    </row>
    <row r="330" spans="1:38" x14ac:dyDescent="0.35">
      <c r="A330" s="3" t="s">
        <v>2187</v>
      </c>
      <c r="B330" s="4" t="s">
        <v>2193</v>
      </c>
      <c r="C330" s="4">
        <f>VLOOKUP(A330, [1]Planilha1!$A$3:$B$1015,2,FALSE)</f>
        <v>30222</v>
      </c>
      <c r="D330" s="4">
        <f t="shared" si="5"/>
        <v>8.3949999999999996</v>
      </c>
      <c r="E330" s="4" t="s">
        <v>1125</v>
      </c>
      <c r="F330" s="3" t="s">
        <v>2190</v>
      </c>
      <c r="G330" s="3" t="s">
        <v>2188</v>
      </c>
      <c r="H330" s="3" t="s">
        <v>44</v>
      </c>
      <c r="I330" s="3" t="s">
        <v>33</v>
      </c>
      <c r="J330" s="3" t="s">
        <v>41</v>
      </c>
      <c r="L330" s="1">
        <v>46044.52076388889</v>
      </c>
      <c r="M330" s="1">
        <v>46044.52076388889</v>
      </c>
      <c r="N330" s="1">
        <v>46044.66028935185</v>
      </c>
      <c r="O330" s="3" t="s">
        <v>43</v>
      </c>
      <c r="P330" s="3" t="s">
        <v>2193</v>
      </c>
      <c r="Q330" s="3" t="s">
        <v>42</v>
      </c>
      <c r="R330" s="3" t="s">
        <v>2192</v>
      </c>
      <c r="S330" s="3" t="s">
        <v>37</v>
      </c>
      <c r="T330" s="3" t="s">
        <v>36</v>
      </c>
      <c r="U330" s="4" t="b">
        <v>1</v>
      </c>
      <c r="V330" s="3" t="s">
        <v>28</v>
      </c>
      <c r="W330" s="1"/>
      <c r="Y330" s="3" t="s">
        <v>29</v>
      </c>
      <c r="Z330" s="3" t="s">
        <v>29</v>
      </c>
      <c r="AA330" s="3"/>
      <c r="AB330" s="3"/>
      <c r="AC330" s="4" t="s">
        <v>30</v>
      </c>
      <c r="AD330" s="3"/>
      <c r="AE330" s="3" t="s">
        <v>2193</v>
      </c>
      <c r="AF330" s="4" t="s">
        <v>30</v>
      </c>
      <c r="AH330" s="4">
        <v>2</v>
      </c>
      <c r="AI330" s="3" t="s">
        <v>2189</v>
      </c>
      <c r="AJ330" s="4" t="s">
        <v>2191</v>
      </c>
      <c r="AK330" s="4"/>
      <c r="AL330" s="3"/>
    </row>
    <row r="331" spans="1:38" x14ac:dyDescent="0.35">
      <c r="A331" s="3" t="s">
        <v>2194</v>
      </c>
      <c r="B331" s="4" t="s">
        <v>1061</v>
      </c>
      <c r="C331" s="4">
        <f>VLOOKUP(A331, [1]Planilha1!$A$3:$B$1015,2,FALSE)</f>
        <v>0</v>
      </c>
      <c r="D331" s="4">
        <f t="shared" si="5"/>
        <v>0</v>
      </c>
      <c r="E331" s="4" t="s">
        <v>1125</v>
      </c>
      <c r="F331" s="3" t="s">
        <v>1058</v>
      </c>
      <c r="G331" s="3" t="s">
        <v>1522</v>
      </c>
      <c r="H331" s="3" t="s">
        <v>622</v>
      </c>
      <c r="I331" s="3" t="s">
        <v>33</v>
      </c>
      <c r="J331" s="3" t="s">
        <v>60</v>
      </c>
      <c r="K331" s="3" t="s">
        <v>1057</v>
      </c>
      <c r="L331" s="1">
        <v>46044.518530092595</v>
      </c>
      <c r="M331" s="1">
        <v>46044.530555555553</v>
      </c>
      <c r="N331" s="1">
        <v>46047.541666666664</v>
      </c>
      <c r="O331" s="3" t="s">
        <v>621</v>
      </c>
      <c r="P331" s="3" t="s">
        <v>1061</v>
      </c>
      <c r="Q331" s="3" t="s">
        <v>35</v>
      </c>
      <c r="R331" s="3" t="s">
        <v>1060</v>
      </c>
      <c r="S331" s="3" t="s">
        <v>144</v>
      </c>
      <c r="T331" s="3" t="s">
        <v>143</v>
      </c>
      <c r="U331" s="4" t="b">
        <v>1</v>
      </c>
      <c r="V331" s="3" t="s">
        <v>31</v>
      </c>
      <c r="W331" s="1"/>
      <c r="Y331" s="3" t="s">
        <v>32</v>
      </c>
      <c r="Z331" s="3" t="s">
        <v>32</v>
      </c>
      <c r="AA331" s="3"/>
      <c r="AB331" s="3"/>
      <c r="AC331" s="4" t="s">
        <v>30</v>
      </c>
      <c r="AD331" s="3"/>
      <c r="AE331" s="3" t="s">
        <v>1061</v>
      </c>
      <c r="AF331" s="4" t="s">
        <v>30</v>
      </c>
      <c r="AH331" s="4">
        <v>0</v>
      </c>
      <c r="AI331" s="3" t="s">
        <v>2195</v>
      </c>
      <c r="AJ331" s="4" t="s">
        <v>1059</v>
      </c>
      <c r="AK331" s="4"/>
      <c r="AL331" s="3"/>
    </row>
    <row r="332" spans="1:38" x14ac:dyDescent="0.35">
      <c r="A332" s="3" t="s">
        <v>2196</v>
      </c>
      <c r="B332" s="4" t="s">
        <v>2201</v>
      </c>
      <c r="C332" s="4">
        <f>VLOOKUP(A332, [1]Planilha1!$A$3:$B$1015,2,FALSE)</f>
        <v>14210</v>
      </c>
      <c r="D332" s="4">
        <f t="shared" si="5"/>
        <v>3.9472222222222224</v>
      </c>
      <c r="E332" s="4" t="s">
        <v>1125</v>
      </c>
      <c r="F332" s="3" t="s">
        <v>2198</v>
      </c>
      <c r="G332" s="3" t="s">
        <v>74</v>
      </c>
      <c r="H332" s="3" t="s">
        <v>44</v>
      </c>
      <c r="I332" s="3" t="s">
        <v>33</v>
      </c>
      <c r="J332" s="3" t="s">
        <v>41</v>
      </c>
      <c r="L332" s="1">
        <v>46044.502592592595</v>
      </c>
      <c r="M332" s="1">
        <v>46044.507118055553</v>
      </c>
      <c r="N332" s="1">
        <v>46044.58935185185</v>
      </c>
      <c r="O332" s="3" t="s">
        <v>43</v>
      </c>
      <c r="P332" s="3" t="s">
        <v>2201</v>
      </c>
      <c r="Q332" s="3" t="s">
        <v>42</v>
      </c>
      <c r="R332" s="3" t="s">
        <v>2200</v>
      </c>
      <c r="S332" s="3" t="s">
        <v>80</v>
      </c>
      <c r="T332" s="3" t="s">
        <v>79</v>
      </c>
      <c r="U332" s="4" t="b">
        <v>1</v>
      </c>
      <c r="V332" s="3" t="s">
        <v>31</v>
      </c>
      <c r="W332" s="1"/>
      <c r="Y332" s="3" t="s">
        <v>32</v>
      </c>
      <c r="Z332" s="3" t="s">
        <v>32</v>
      </c>
      <c r="AA332" s="3"/>
      <c r="AB332" s="3"/>
      <c r="AC332" s="4" t="s">
        <v>30</v>
      </c>
      <c r="AD332" s="3"/>
      <c r="AE332" s="3" t="s">
        <v>2201</v>
      </c>
      <c r="AF332" s="4" t="s">
        <v>30</v>
      </c>
      <c r="AH332" s="4">
        <v>1</v>
      </c>
      <c r="AI332" s="3" t="s">
        <v>2197</v>
      </c>
      <c r="AJ332" s="4" t="s">
        <v>2199</v>
      </c>
      <c r="AK332" s="4"/>
      <c r="AL332" s="3"/>
    </row>
    <row r="333" spans="1:38" x14ac:dyDescent="0.35">
      <c r="A333" s="3" t="s">
        <v>2202</v>
      </c>
      <c r="B333" s="4" t="s">
        <v>94</v>
      </c>
      <c r="C333" s="4">
        <f>VLOOKUP(A333, [1]Planilha1!$A$3:$B$1015,2,FALSE)</f>
        <v>0</v>
      </c>
      <c r="D333" s="4">
        <f t="shared" si="5"/>
        <v>0</v>
      </c>
      <c r="E333" s="4" t="s">
        <v>1125</v>
      </c>
      <c r="F333" s="3" t="s">
        <v>92</v>
      </c>
      <c r="G333" s="3" t="s">
        <v>2203</v>
      </c>
      <c r="H333" s="3" t="s">
        <v>148</v>
      </c>
      <c r="I333" s="3" t="s">
        <v>33</v>
      </c>
      <c r="J333" s="3" t="s">
        <v>459</v>
      </c>
      <c r="L333" s="1">
        <v>46044.50105324074</v>
      </c>
      <c r="M333" s="1">
        <v>46044.503194444442</v>
      </c>
      <c r="N333" s="1">
        <v>46047.541666666664</v>
      </c>
      <c r="O333" s="3" t="s">
        <v>147</v>
      </c>
      <c r="P333" s="3" t="s">
        <v>94</v>
      </c>
      <c r="Q333" s="3" t="s">
        <v>35</v>
      </c>
      <c r="R333" s="3" t="s">
        <v>93</v>
      </c>
      <c r="S333" s="3" t="s">
        <v>82</v>
      </c>
      <c r="T333" s="3" t="s">
        <v>81</v>
      </c>
      <c r="U333" s="4" t="b">
        <v>1</v>
      </c>
      <c r="V333" s="3" t="s">
        <v>31</v>
      </c>
      <c r="W333" s="1"/>
      <c r="Y333" s="3" t="s">
        <v>32</v>
      </c>
      <c r="Z333" s="3" t="s">
        <v>32</v>
      </c>
      <c r="AA333" s="3"/>
      <c r="AB333" s="3"/>
      <c r="AC333" s="4" t="s">
        <v>30</v>
      </c>
      <c r="AD333" s="3"/>
      <c r="AE333" s="3" t="s">
        <v>94</v>
      </c>
      <c r="AF333" s="4" t="s">
        <v>30</v>
      </c>
      <c r="AH333" s="4">
        <v>0</v>
      </c>
      <c r="AI333" s="3" t="s">
        <v>2204</v>
      </c>
      <c r="AJ333" s="4"/>
      <c r="AK333" s="4"/>
      <c r="AL333" s="3"/>
    </row>
    <row r="334" spans="1:38" x14ac:dyDescent="0.35">
      <c r="A334" s="3" t="s">
        <v>2205</v>
      </c>
      <c r="B334" s="4" t="s">
        <v>2210</v>
      </c>
      <c r="C334" s="4">
        <f>VLOOKUP(A334, [1]Planilha1!$A$3:$B$1015,2,FALSE)</f>
        <v>15318</v>
      </c>
      <c r="D334" s="4">
        <f t="shared" si="5"/>
        <v>4.2549999999999999</v>
      </c>
      <c r="E334" s="4" t="s">
        <v>1125</v>
      </c>
      <c r="F334" s="3" t="s">
        <v>2207</v>
      </c>
      <c r="G334" s="3" t="s">
        <v>74</v>
      </c>
      <c r="H334" s="3" t="s">
        <v>44</v>
      </c>
      <c r="I334" s="3" t="s">
        <v>33</v>
      </c>
      <c r="J334" s="3" t="s">
        <v>41</v>
      </c>
      <c r="L334" s="1">
        <v>46044.493402777778</v>
      </c>
      <c r="M334" s="1">
        <v>46044.496736111112</v>
      </c>
      <c r="N334" s="1">
        <v>46044.585381944446</v>
      </c>
      <c r="O334" s="3" t="s">
        <v>43</v>
      </c>
      <c r="P334" s="3" t="s">
        <v>2210</v>
      </c>
      <c r="Q334" s="3" t="s">
        <v>42</v>
      </c>
      <c r="R334" s="3" t="s">
        <v>2209</v>
      </c>
      <c r="S334" s="3" t="s">
        <v>80</v>
      </c>
      <c r="T334" s="3" t="s">
        <v>79</v>
      </c>
      <c r="U334" s="4" t="b">
        <v>1</v>
      </c>
      <c r="V334" s="3" t="s">
        <v>31</v>
      </c>
      <c r="W334" s="1"/>
      <c r="Y334" s="3" t="s">
        <v>32</v>
      </c>
      <c r="Z334" s="3" t="s">
        <v>32</v>
      </c>
      <c r="AA334" s="3"/>
      <c r="AB334" s="3"/>
      <c r="AC334" s="4" t="s">
        <v>30</v>
      </c>
      <c r="AD334" s="3"/>
      <c r="AE334" s="3" t="s">
        <v>2210</v>
      </c>
      <c r="AF334" s="4" t="s">
        <v>30</v>
      </c>
      <c r="AH334" s="4">
        <v>1</v>
      </c>
      <c r="AI334" s="3" t="s">
        <v>2206</v>
      </c>
      <c r="AJ334" s="4" t="s">
        <v>2208</v>
      </c>
      <c r="AK334" s="4"/>
      <c r="AL334" s="3"/>
    </row>
    <row r="335" spans="1:38" x14ac:dyDescent="0.35">
      <c r="A335" s="3" t="s">
        <v>2211</v>
      </c>
      <c r="B335" s="4" t="s">
        <v>1973</v>
      </c>
      <c r="C335" s="4">
        <f>VLOOKUP(A335, [1]Planilha1!$A$3:$B$1015,2,FALSE)</f>
        <v>0</v>
      </c>
      <c r="D335" s="4">
        <f t="shared" si="5"/>
        <v>0</v>
      </c>
      <c r="E335" s="4" t="s">
        <v>1125</v>
      </c>
      <c r="F335" s="3" t="s">
        <v>1971</v>
      </c>
      <c r="G335" s="3" t="s">
        <v>2212</v>
      </c>
      <c r="H335" s="3" t="s">
        <v>171</v>
      </c>
      <c r="I335" s="3" t="s">
        <v>33</v>
      </c>
      <c r="J335" s="3" t="s">
        <v>60</v>
      </c>
      <c r="L335" s="1">
        <v>46044.487916666665</v>
      </c>
      <c r="M335" s="1">
        <v>46044.494722222225</v>
      </c>
      <c r="N335" s="1">
        <v>46047.5</v>
      </c>
      <c r="O335" s="3" t="s">
        <v>170</v>
      </c>
      <c r="P335" s="3" t="s">
        <v>1973</v>
      </c>
      <c r="Q335" s="3" t="s">
        <v>35</v>
      </c>
      <c r="R335" s="3" t="s">
        <v>1972</v>
      </c>
      <c r="S335" s="3" t="s">
        <v>80</v>
      </c>
      <c r="T335" s="3" t="s">
        <v>79</v>
      </c>
      <c r="U335" s="4" t="b">
        <v>1</v>
      </c>
      <c r="V335" s="3" t="s">
        <v>31</v>
      </c>
      <c r="W335" s="1"/>
      <c r="Y335" s="3" t="s">
        <v>32</v>
      </c>
      <c r="Z335" s="3" t="s">
        <v>32</v>
      </c>
      <c r="AA335" s="3"/>
      <c r="AB335" s="3"/>
      <c r="AC335" s="4" t="s">
        <v>30</v>
      </c>
      <c r="AD335" s="3"/>
      <c r="AE335" s="3" t="s">
        <v>1973</v>
      </c>
      <c r="AF335" s="4" t="s">
        <v>30</v>
      </c>
      <c r="AH335" s="4">
        <v>0</v>
      </c>
      <c r="AI335" s="3" t="s">
        <v>2213</v>
      </c>
      <c r="AJ335" s="4" t="s">
        <v>5859</v>
      </c>
      <c r="AK335" s="4"/>
      <c r="AL335" s="3"/>
    </row>
    <row r="336" spans="1:38" x14ac:dyDescent="0.35">
      <c r="A336" s="3" t="s">
        <v>2214</v>
      </c>
      <c r="B336" s="4" t="s">
        <v>2218</v>
      </c>
      <c r="C336" s="4">
        <f>VLOOKUP(A336, [1]Planilha1!$A$3:$B$1015,2,FALSE)</f>
        <v>16992</v>
      </c>
      <c r="D336" s="4">
        <f t="shared" si="5"/>
        <v>4.72</v>
      </c>
      <c r="E336" s="4" t="s">
        <v>1125</v>
      </c>
      <c r="F336" s="3" t="s">
        <v>2216</v>
      </c>
      <c r="G336" s="3" t="s">
        <v>74</v>
      </c>
      <c r="H336" s="3" t="s">
        <v>44</v>
      </c>
      <c r="I336" s="3" t="s">
        <v>33</v>
      </c>
      <c r="J336" s="3" t="s">
        <v>41</v>
      </c>
      <c r="L336" s="1">
        <v>46044.484803240739</v>
      </c>
      <c r="M336" s="1">
        <v>46044.486319444448</v>
      </c>
      <c r="N336" s="1">
        <v>46044.584652777776</v>
      </c>
      <c r="O336" s="3" t="s">
        <v>43</v>
      </c>
      <c r="P336" s="3" t="s">
        <v>2218</v>
      </c>
      <c r="Q336" s="3" t="s">
        <v>42</v>
      </c>
      <c r="R336" s="3" t="s">
        <v>2217</v>
      </c>
      <c r="S336" s="3" t="s">
        <v>80</v>
      </c>
      <c r="T336" s="3" t="s">
        <v>79</v>
      </c>
      <c r="U336" s="4" t="b">
        <v>1</v>
      </c>
      <c r="V336" s="3" t="s">
        <v>31</v>
      </c>
      <c r="W336" s="1"/>
      <c r="Y336" s="3" t="s">
        <v>32</v>
      </c>
      <c r="Z336" s="3" t="s">
        <v>32</v>
      </c>
      <c r="AA336" s="3"/>
      <c r="AB336" s="3"/>
      <c r="AC336" s="4" t="s">
        <v>30</v>
      </c>
      <c r="AD336" s="3"/>
      <c r="AE336" s="3" t="s">
        <v>2218</v>
      </c>
      <c r="AF336" s="4" t="s">
        <v>30</v>
      </c>
      <c r="AH336" s="4">
        <v>1</v>
      </c>
      <c r="AI336" s="3" t="s">
        <v>2215</v>
      </c>
      <c r="AJ336" s="4"/>
      <c r="AK336" s="4"/>
      <c r="AL336" s="3"/>
    </row>
    <row r="337" spans="1:38" x14ac:dyDescent="0.35">
      <c r="A337" s="3" t="s">
        <v>2219</v>
      </c>
      <c r="B337" s="4" t="s">
        <v>2225</v>
      </c>
      <c r="C337" s="4">
        <f>VLOOKUP(A337, [1]Planilha1!$A$3:$B$1015,2,FALSE)</f>
        <v>18826</v>
      </c>
      <c r="D337" s="4">
        <f t="shared" si="5"/>
        <v>5.2294444444444448</v>
      </c>
      <c r="E337" s="4" t="s">
        <v>1125</v>
      </c>
      <c r="F337" s="3" t="s">
        <v>2222</v>
      </c>
      <c r="G337" s="3" t="s">
        <v>2220</v>
      </c>
      <c r="H337" s="3" t="s">
        <v>622</v>
      </c>
      <c r="I337" s="3" t="s">
        <v>33</v>
      </c>
      <c r="J337" s="3" t="s">
        <v>41</v>
      </c>
      <c r="L337" s="1">
        <v>46044.474988425929</v>
      </c>
      <c r="M337" s="1">
        <v>46044.474988425929</v>
      </c>
      <c r="N337" s="1">
        <v>46044.583935185183</v>
      </c>
      <c r="O337" s="3" t="s">
        <v>621</v>
      </c>
      <c r="P337" s="3" t="s">
        <v>2225</v>
      </c>
      <c r="Q337" s="3" t="s">
        <v>42</v>
      </c>
      <c r="R337" s="3" t="s">
        <v>2224</v>
      </c>
      <c r="S337" s="3" t="s">
        <v>37</v>
      </c>
      <c r="T337" s="3" t="s">
        <v>36</v>
      </c>
      <c r="U337" s="4" t="b">
        <v>1</v>
      </c>
      <c r="V337" s="3" t="s">
        <v>28</v>
      </c>
      <c r="W337" s="1"/>
      <c r="Y337" s="3" t="s">
        <v>29</v>
      </c>
      <c r="Z337" s="3" t="s">
        <v>29</v>
      </c>
      <c r="AA337" s="3"/>
      <c r="AB337" s="3"/>
      <c r="AC337" s="4" t="s">
        <v>30</v>
      </c>
      <c r="AD337" s="3"/>
      <c r="AE337" s="3" t="s">
        <v>2225</v>
      </c>
      <c r="AF337" s="4" t="s">
        <v>30</v>
      </c>
      <c r="AH337" s="4">
        <v>0</v>
      </c>
      <c r="AI337" s="3" t="s">
        <v>2221</v>
      </c>
      <c r="AJ337" s="4" t="s">
        <v>2223</v>
      </c>
      <c r="AK337" s="4"/>
      <c r="AL337" s="3"/>
    </row>
    <row r="338" spans="1:38" x14ac:dyDescent="0.35">
      <c r="A338" s="3" t="s">
        <v>2226</v>
      </c>
      <c r="B338" s="4" t="s">
        <v>2232</v>
      </c>
      <c r="C338" s="4">
        <f>VLOOKUP(A338, [1]Planilha1!$A$3:$B$1015,2,FALSE)</f>
        <v>17422</v>
      </c>
      <c r="D338" s="4">
        <f t="shared" si="5"/>
        <v>4.8394444444444442</v>
      </c>
      <c r="E338" s="4" t="s">
        <v>1125</v>
      </c>
      <c r="F338" s="3" t="s">
        <v>2229</v>
      </c>
      <c r="G338" s="3" t="s">
        <v>134</v>
      </c>
      <c r="H338" s="3" t="s">
        <v>138</v>
      </c>
      <c r="I338" s="3" t="s">
        <v>33</v>
      </c>
      <c r="J338" s="3" t="s">
        <v>60</v>
      </c>
      <c r="K338" s="3" t="s">
        <v>2228</v>
      </c>
      <c r="L338" s="1">
        <v>46044.472800925927</v>
      </c>
      <c r="M338" s="1">
        <v>46044.472800925927</v>
      </c>
      <c r="N338" s="1">
        <v>46047.583333333336</v>
      </c>
      <c r="O338" s="3" t="s">
        <v>137</v>
      </c>
      <c r="P338" s="3" t="s">
        <v>2232</v>
      </c>
      <c r="Q338" s="3" t="s">
        <v>35</v>
      </c>
      <c r="R338" s="3" t="s">
        <v>2231</v>
      </c>
      <c r="S338" s="3" t="s">
        <v>37</v>
      </c>
      <c r="T338" s="3" t="s">
        <v>36</v>
      </c>
      <c r="U338" s="4" t="b">
        <v>1</v>
      </c>
      <c r="V338" s="3" t="s">
        <v>28</v>
      </c>
      <c r="W338" s="1"/>
      <c r="Y338" s="3" t="s">
        <v>29</v>
      </c>
      <c r="Z338" s="3" t="s">
        <v>29</v>
      </c>
      <c r="AA338" s="3"/>
      <c r="AB338" s="3"/>
      <c r="AC338" s="4" t="s">
        <v>30</v>
      </c>
      <c r="AD338" s="3"/>
      <c r="AE338" s="3" t="s">
        <v>2232</v>
      </c>
      <c r="AF338" s="4" t="s">
        <v>30</v>
      </c>
      <c r="AH338" s="4">
        <v>0</v>
      </c>
      <c r="AI338" s="3" t="s">
        <v>2227</v>
      </c>
      <c r="AJ338" s="4" t="s">
        <v>2230</v>
      </c>
      <c r="AK338" s="4"/>
      <c r="AL338" s="3"/>
    </row>
    <row r="339" spans="1:38" x14ac:dyDescent="0.35">
      <c r="A339" s="3" t="s">
        <v>2233</v>
      </c>
      <c r="B339" s="4" t="s">
        <v>2240</v>
      </c>
      <c r="C339" s="4">
        <f>VLOOKUP(A339, [1]Planilha1!$A$3:$B$1015,2,FALSE)</f>
        <v>19586</v>
      </c>
      <c r="D339" s="4">
        <f t="shared" si="5"/>
        <v>5.4405555555555551</v>
      </c>
      <c r="E339" s="4" t="s">
        <v>1125</v>
      </c>
      <c r="F339" s="3" t="s">
        <v>2237</v>
      </c>
      <c r="G339" s="3" t="s">
        <v>2234</v>
      </c>
      <c r="H339" s="3" t="s">
        <v>224</v>
      </c>
      <c r="I339" s="3" t="s">
        <v>33</v>
      </c>
      <c r="J339" s="3" t="s">
        <v>41</v>
      </c>
      <c r="K339" s="3" t="s">
        <v>2236</v>
      </c>
      <c r="L339" s="1">
        <v>46044.467870370368</v>
      </c>
      <c r="M339" s="1">
        <v>46044.467870370368</v>
      </c>
      <c r="N339" s="1">
        <v>46044.58121527778</v>
      </c>
      <c r="O339" s="3" t="s">
        <v>223</v>
      </c>
      <c r="P339" s="3" t="s">
        <v>2240</v>
      </c>
      <c r="Q339" s="3" t="s">
        <v>42</v>
      </c>
      <c r="R339" s="3" t="s">
        <v>2239</v>
      </c>
      <c r="S339" s="3" t="s">
        <v>37</v>
      </c>
      <c r="T339" s="3" t="s">
        <v>36</v>
      </c>
      <c r="U339" s="4" t="b">
        <v>1</v>
      </c>
      <c r="V339" s="3" t="s">
        <v>28</v>
      </c>
      <c r="W339" s="1"/>
      <c r="Y339" s="3" t="s">
        <v>29</v>
      </c>
      <c r="Z339" s="3" t="s">
        <v>29</v>
      </c>
      <c r="AA339" s="3"/>
      <c r="AB339" s="3"/>
      <c r="AC339" s="4" t="s">
        <v>30</v>
      </c>
      <c r="AD339" s="3"/>
      <c r="AE339" s="3" t="s">
        <v>2240</v>
      </c>
      <c r="AF339" s="4" t="s">
        <v>30</v>
      </c>
      <c r="AH339" s="4">
        <v>1</v>
      </c>
      <c r="AI339" s="3" t="s">
        <v>2235</v>
      </c>
      <c r="AJ339" s="4" t="s">
        <v>2238</v>
      </c>
      <c r="AK339" s="4"/>
      <c r="AL339" s="3"/>
    </row>
    <row r="340" spans="1:38" x14ac:dyDescent="0.35">
      <c r="A340" s="3" t="s">
        <v>2241</v>
      </c>
      <c r="B340" s="4" t="s">
        <v>2247</v>
      </c>
      <c r="C340" s="4">
        <f>VLOOKUP(A340, [1]Planilha1!$A$3:$B$1015,2,FALSE)</f>
        <v>19880</v>
      </c>
      <c r="D340" s="4">
        <f t="shared" si="5"/>
        <v>5.5222222222222221</v>
      </c>
      <c r="E340" s="4" t="s">
        <v>1125</v>
      </c>
      <c r="F340" s="3" t="s">
        <v>2245</v>
      </c>
      <c r="G340" s="3" t="s">
        <v>2242</v>
      </c>
      <c r="H340" s="3" t="s">
        <v>171</v>
      </c>
      <c r="I340" s="3" t="s">
        <v>33</v>
      </c>
      <c r="J340" s="3" t="s">
        <v>41</v>
      </c>
      <c r="K340" s="3" t="s">
        <v>2244</v>
      </c>
      <c r="L340" s="1">
        <v>46044.463576388887</v>
      </c>
      <c r="M340" s="1">
        <v>46044.463576388887</v>
      </c>
      <c r="N340" s="1">
        <v>46044.578622685185</v>
      </c>
      <c r="O340" s="3" t="s">
        <v>170</v>
      </c>
      <c r="P340" s="3" t="s">
        <v>2247</v>
      </c>
      <c r="Q340" s="3" t="s">
        <v>42</v>
      </c>
      <c r="R340" s="3" t="s">
        <v>2246</v>
      </c>
      <c r="S340" s="3" t="s">
        <v>37</v>
      </c>
      <c r="T340" s="3" t="s">
        <v>36</v>
      </c>
      <c r="U340" s="4" t="b">
        <v>1</v>
      </c>
      <c r="V340" s="3" t="s">
        <v>28</v>
      </c>
      <c r="W340" s="1"/>
      <c r="Y340" s="3" t="s">
        <v>29</v>
      </c>
      <c r="Z340" s="3" t="s">
        <v>29</v>
      </c>
      <c r="AA340" s="3"/>
      <c r="AB340" s="3"/>
      <c r="AC340" s="4" t="s">
        <v>30</v>
      </c>
      <c r="AD340" s="3"/>
      <c r="AE340" s="3" t="s">
        <v>2247</v>
      </c>
      <c r="AF340" s="4" t="s">
        <v>30</v>
      </c>
      <c r="AH340" s="4">
        <v>1</v>
      </c>
      <c r="AI340" s="3" t="s">
        <v>2243</v>
      </c>
      <c r="AJ340" s="4" t="s">
        <v>5860</v>
      </c>
      <c r="AK340" s="4"/>
      <c r="AL340" s="3"/>
    </row>
    <row r="341" spans="1:38" x14ac:dyDescent="0.35">
      <c r="A341" s="3" t="s">
        <v>2248</v>
      </c>
      <c r="B341" s="4" t="s">
        <v>2253</v>
      </c>
      <c r="C341" s="4">
        <f>VLOOKUP(A341, [1]Planilha1!$A$3:$B$1015,2,FALSE)</f>
        <v>0</v>
      </c>
      <c r="D341" s="4">
        <f t="shared" si="5"/>
        <v>0</v>
      </c>
      <c r="E341" s="4" t="s">
        <v>1125</v>
      </c>
      <c r="F341" s="3" t="s">
        <v>2251</v>
      </c>
      <c r="G341" s="3" t="s">
        <v>2249</v>
      </c>
      <c r="H341" s="3" t="s">
        <v>171</v>
      </c>
      <c r="I341" s="3" t="s">
        <v>33</v>
      </c>
      <c r="J341" s="3" t="s">
        <v>60</v>
      </c>
      <c r="L341" s="1">
        <v>46044.456932870373</v>
      </c>
      <c r="M341" s="1">
        <v>46044.463321759256</v>
      </c>
      <c r="N341" s="1">
        <v>46047.5</v>
      </c>
      <c r="O341" s="3" t="s">
        <v>170</v>
      </c>
      <c r="P341" s="3" t="s">
        <v>2253</v>
      </c>
      <c r="Q341" s="3" t="s">
        <v>35</v>
      </c>
      <c r="R341" s="3" t="s">
        <v>2252</v>
      </c>
      <c r="S341" s="3" t="s">
        <v>62</v>
      </c>
      <c r="T341" s="3" t="s">
        <v>61</v>
      </c>
      <c r="U341" s="4" t="b">
        <v>1</v>
      </c>
      <c r="V341" s="3" t="s">
        <v>31</v>
      </c>
      <c r="W341" s="1"/>
      <c r="Y341" s="3" t="s">
        <v>32</v>
      </c>
      <c r="Z341" s="3" t="s">
        <v>32</v>
      </c>
      <c r="AA341" s="3"/>
      <c r="AB341" s="3"/>
      <c r="AC341" s="4" t="s">
        <v>30</v>
      </c>
      <c r="AD341" s="3"/>
      <c r="AE341" s="3" t="s">
        <v>2253</v>
      </c>
      <c r="AF341" s="4" t="s">
        <v>30</v>
      </c>
      <c r="AH341" s="4">
        <v>0</v>
      </c>
      <c r="AI341" s="3" t="s">
        <v>2250</v>
      </c>
      <c r="AJ341" s="4"/>
      <c r="AK341" s="4"/>
      <c r="AL341" s="3"/>
    </row>
    <row r="342" spans="1:38" x14ac:dyDescent="0.35">
      <c r="A342" s="3" t="s">
        <v>2254</v>
      </c>
      <c r="B342" s="4" t="s">
        <v>2259</v>
      </c>
      <c r="C342" s="4">
        <f>VLOOKUP(A342, [1]Planilha1!$A$3:$B$1015,2,FALSE)</f>
        <v>24469</v>
      </c>
      <c r="D342" s="4">
        <f t="shared" si="5"/>
        <v>6.7969444444444447</v>
      </c>
      <c r="E342" s="4" t="s">
        <v>1125</v>
      </c>
      <c r="F342" s="3" t="s">
        <v>2257</v>
      </c>
      <c r="G342" s="3" t="s">
        <v>2255</v>
      </c>
      <c r="H342" s="3" t="s">
        <v>44</v>
      </c>
      <c r="I342" s="3" t="s">
        <v>33</v>
      </c>
      <c r="J342" s="3" t="s">
        <v>41</v>
      </c>
      <c r="L342" s="1">
        <v>46044.441516203704</v>
      </c>
      <c r="M342" s="1">
        <v>46044.441516203704</v>
      </c>
      <c r="N342" s="1">
        <v>46044.574583333335</v>
      </c>
      <c r="O342" s="3" t="s">
        <v>43</v>
      </c>
      <c r="P342" s="3" t="s">
        <v>2259</v>
      </c>
      <c r="Q342" s="3" t="s">
        <v>42</v>
      </c>
      <c r="R342" s="3" t="s">
        <v>2258</v>
      </c>
      <c r="S342" s="3" t="s">
        <v>37</v>
      </c>
      <c r="T342" s="3" t="s">
        <v>36</v>
      </c>
      <c r="U342" s="4" t="b">
        <v>1</v>
      </c>
      <c r="V342" s="3" t="s">
        <v>28</v>
      </c>
      <c r="W342" s="1"/>
      <c r="Y342" s="3" t="s">
        <v>29</v>
      </c>
      <c r="Z342" s="3" t="s">
        <v>29</v>
      </c>
      <c r="AA342" s="3"/>
      <c r="AB342" s="3"/>
      <c r="AC342" s="4" t="s">
        <v>30</v>
      </c>
      <c r="AD342" s="3"/>
      <c r="AE342" s="3" t="s">
        <v>2259</v>
      </c>
      <c r="AF342" s="4" t="s">
        <v>30</v>
      </c>
      <c r="AH342" s="4">
        <v>2</v>
      </c>
      <c r="AI342" s="3" t="s">
        <v>2256</v>
      </c>
      <c r="AJ342" s="4" t="s">
        <v>5861</v>
      </c>
      <c r="AK342" s="4"/>
      <c r="AL342" s="3"/>
    </row>
    <row r="343" spans="1:38" x14ac:dyDescent="0.35">
      <c r="A343" s="3" t="s">
        <v>2260</v>
      </c>
      <c r="B343" s="4" t="s">
        <v>2265</v>
      </c>
      <c r="C343" s="4">
        <f>VLOOKUP(A343, [1]Planilha1!$A$3:$B$1015,2,FALSE)</f>
        <v>4012</v>
      </c>
      <c r="D343" s="4">
        <f t="shared" si="5"/>
        <v>1.1144444444444443</v>
      </c>
      <c r="E343" s="4" t="s">
        <v>1125</v>
      </c>
      <c r="F343" s="3" t="s">
        <v>2262</v>
      </c>
      <c r="G343" s="3" t="s">
        <v>754</v>
      </c>
      <c r="H343" s="3" t="s">
        <v>44</v>
      </c>
      <c r="I343" s="3" t="s">
        <v>33</v>
      </c>
      <c r="J343" s="3" t="s">
        <v>41</v>
      </c>
      <c r="L343" s="1">
        <v>46044.432488425926</v>
      </c>
      <c r="M343" s="1">
        <v>46044.434282407405</v>
      </c>
      <c r="N343" s="1">
        <v>46044.457499999997</v>
      </c>
      <c r="O343" s="3" t="s">
        <v>43</v>
      </c>
      <c r="P343" s="3" t="s">
        <v>2265</v>
      </c>
      <c r="Q343" s="3" t="s">
        <v>42</v>
      </c>
      <c r="R343" s="3" t="s">
        <v>2264</v>
      </c>
      <c r="S343" s="3" t="s">
        <v>80</v>
      </c>
      <c r="T343" s="3" t="s">
        <v>79</v>
      </c>
      <c r="U343" s="4" t="b">
        <v>1</v>
      </c>
      <c r="V343" s="3" t="s">
        <v>31</v>
      </c>
      <c r="W343" s="1"/>
      <c r="Y343" s="3" t="s">
        <v>32</v>
      </c>
      <c r="Z343" s="3" t="s">
        <v>32</v>
      </c>
      <c r="AA343" s="3"/>
      <c r="AB343" s="3"/>
      <c r="AC343" s="4" t="s">
        <v>30</v>
      </c>
      <c r="AD343" s="3"/>
      <c r="AE343" s="3" t="s">
        <v>2265</v>
      </c>
      <c r="AF343" s="4" t="s">
        <v>30</v>
      </c>
      <c r="AH343" s="4">
        <v>1</v>
      </c>
      <c r="AI343" s="3" t="s">
        <v>2261</v>
      </c>
      <c r="AJ343" s="4" t="s">
        <v>2263</v>
      </c>
      <c r="AK343" s="4"/>
      <c r="AL343" s="3"/>
    </row>
    <row r="344" spans="1:38" x14ac:dyDescent="0.35">
      <c r="A344" s="3" t="s">
        <v>2266</v>
      </c>
      <c r="B344" s="4" t="s">
        <v>2272</v>
      </c>
      <c r="C344" s="4">
        <f>VLOOKUP(A344, [1]Planilha1!$A$3:$B$1015,2,FALSE)</f>
        <v>0</v>
      </c>
      <c r="D344" s="4">
        <f t="shared" si="5"/>
        <v>0</v>
      </c>
      <c r="E344" s="4" t="s">
        <v>1125</v>
      </c>
      <c r="F344" s="3" t="s">
        <v>2269</v>
      </c>
      <c r="G344" s="3" t="s">
        <v>214</v>
      </c>
      <c r="H344" s="3" t="s">
        <v>44</v>
      </c>
      <c r="I344" s="3" t="s">
        <v>33</v>
      </c>
      <c r="J344" s="3" t="s">
        <v>60</v>
      </c>
      <c r="K344" s="3" t="s">
        <v>2268</v>
      </c>
      <c r="L344" s="1">
        <v>46044.430763888886</v>
      </c>
      <c r="M344" s="1">
        <v>46044.443506944444</v>
      </c>
      <c r="N344" s="1">
        <v>46047.458344907405</v>
      </c>
      <c r="O344" s="3" t="s">
        <v>43</v>
      </c>
      <c r="P344" s="3" t="s">
        <v>2272</v>
      </c>
      <c r="Q344" s="3" t="s">
        <v>35</v>
      </c>
      <c r="R344" s="3" t="s">
        <v>2271</v>
      </c>
      <c r="S344" s="3" t="s">
        <v>144</v>
      </c>
      <c r="T344" s="3" t="s">
        <v>143</v>
      </c>
      <c r="U344" s="4" t="b">
        <v>1</v>
      </c>
      <c r="V344" s="3" t="s">
        <v>31</v>
      </c>
      <c r="W344" s="1"/>
      <c r="Y344" s="3" t="s">
        <v>32</v>
      </c>
      <c r="Z344" s="3" t="s">
        <v>32</v>
      </c>
      <c r="AA344" s="3"/>
      <c r="AB344" s="3"/>
      <c r="AC344" s="4" t="s">
        <v>30</v>
      </c>
      <c r="AD344" s="3"/>
      <c r="AE344" s="3" t="s">
        <v>2272</v>
      </c>
      <c r="AF344" s="4" t="s">
        <v>30</v>
      </c>
      <c r="AH344" s="4">
        <v>0</v>
      </c>
      <c r="AI344" s="3" t="s">
        <v>2267</v>
      </c>
      <c r="AJ344" s="4" t="s">
        <v>2270</v>
      </c>
      <c r="AK344" s="4"/>
      <c r="AL344" s="3"/>
    </row>
    <row r="345" spans="1:38" x14ac:dyDescent="0.35">
      <c r="A345" s="3" t="s">
        <v>2273</v>
      </c>
      <c r="B345" s="4" t="s">
        <v>94</v>
      </c>
      <c r="C345" s="4">
        <f>VLOOKUP(A345, [1]Planilha1!$A$3:$B$1015,2,FALSE)</f>
        <v>0</v>
      </c>
      <c r="D345" s="4">
        <f t="shared" si="5"/>
        <v>0</v>
      </c>
      <c r="E345" s="4" t="s">
        <v>1125</v>
      </c>
      <c r="F345" s="3" t="s">
        <v>92</v>
      </c>
      <c r="G345" s="3" t="s">
        <v>433</v>
      </c>
      <c r="H345" s="3" t="s">
        <v>148</v>
      </c>
      <c r="I345" s="3" t="s">
        <v>33</v>
      </c>
      <c r="J345" s="3" t="s">
        <v>60</v>
      </c>
      <c r="L345" s="1">
        <v>46044.427754629629</v>
      </c>
      <c r="M345" s="1">
        <v>46044.428726851853</v>
      </c>
      <c r="N345" s="1">
        <v>46047.458344907405</v>
      </c>
      <c r="O345" s="3" t="s">
        <v>147</v>
      </c>
      <c r="P345" s="3" t="s">
        <v>94</v>
      </c>
      <c r="Q345" s="3" t="s">
        <v>35</v>
      </c>
      <c r="R345" s="3" t="s">
        <v>93</v>
      </c>
      <c r="S345" s="3" t="s">
        <v>82</v>
      </c>
      <c r="T345" s="3" t="s">
        <v>81</v>
      </c>
      <c r="U345" s="4" t="b">
        <v>1</v>
      </c>
      <c r="V345" s="3" t="s">
        <v>31</v>
      </c>
      <c r="W345" s="1"/>
      <c r="Y345" s="3" t="s">
        <v>32</v>
      </c>
      <c r="Z345" s="3" t="s">
        <v>32</v>
      </c>
      <c r="AA345" s="3"/>
      <c r="AB345" s="3"/>
      <c r="AC345" s="4" t="s">
        <v>30</v>
      </c>
      <c r="AD345" s="3"/>
      <c r="AE345" s="3" t="s">
        <v>94</v>
      </c>
      <c r="AF345" s="4" t="s">
        <v>30</v>
      </c>
      <c r="AH345" s="4">
        <v>0</v>
      </c>
      <c r="AI345" s="3" t="s">
        <v>2274</v>
      </c>
      <c r="AJ345" s="4"/>
      <c r="AK345" s="4"/>
      <c r="AL345" s="3"/>
    </row>
    <row r="346" spans="1:38" x14ac:dyDescent="0.35">
      <c r="A346" s="3" t="s">
        <v>2275</v>
      </c>
      <c r="B346" s="4" t="s">
        <v>2281</v>
      </c>
      <c r="C346" s="4">
        <f>VLOOKUP(A346, [1]Planilha1!$A$3:$B$1015,2,FALSE)</f>
        <v>0</v>
      </c>
      <c r="D346" s="4">
        <f t="shared" si="5"/>
        <v>0</v>
      </c>
      <c r="E346" s="4" t="s">
        <v>1125</v>
      </c>
      <c r="F346" s="3" t="s">
        <v>2278</v>
      </c>
      <c r="G346" s="3" t="s">
        <v>134</v>
      </c>
      <c r="H346" s="3" t="s">
        <v>138</v>
      </c>
      <c r="I346" s="3" t="s">
        <v>33</v>
      </c>
      <c r="J346" s="3" t="s">
        <v>60</v>
      </c>
      <c r="K346" s="3" t="s">
        <v>2277</v>
      </c>
      <c r="L346" s="1">
        <v>46044.423518518517</v>
      </c>
      <c r="M346" s="1">
        <v>46044.503518518519</v>
      </c>
      <c r="N346" s="1">
        <v>46047.541666666664</v>
      </c>
      <c r="O346" s="3" t="s">
        <v>137</v>
      </c>
      <c r="P346" s="3" t="s">
        <v>2281</v>
      </c>
      <c r="Q346" s="3" t="s">
        <v>35</v>
      </c>
      <c r="R346" s="3" t="s">
        <v>2280</v>
      </c>
      <c r="S346" s="3" t="s">
        <v>144</v>
      </c>
      <c r="T346" s="3" t="s">
        <v>143</v>
      </c>
      <c r="U346" s="4" t="b">
        <v>1</v>
      </c>
      <c r="V346" s="3" t="s">
        <v>31</v>
      </c>
      <c r="W346" s="1"/>
      <c r="Y346" s="3" t="s">
        <v>32</v>
      </c>
      <c r="Z346" s="3" t="s">
        <v>32</v>
      </c>
      <c r="AA346" s="3"/>
      <c r="AB346" s="3"/>
      <c r="AC346" s="4" t="s">
        <v>30</v>
      </c>
      <c r="AD346" s="3"/>
      <c r="AE346" s="3" t="s">
        <v>2281</v>
      </c>
      <c r="AF346" s="4" t="s">
        <v>30</v>
      </c>
      <c r="AH346" s="4">
        <v>0</v>
      </c>
      <c r="AI346" s="3" t="s">
        <v>2276</v>
      </c>
      <c r="AJ346" s="4" t="s">
        <v>2279</v>
      </c>
      <c r="AK346" s="4"/>
      <c r="AL346" s="3"/>
    </row>
    <row r="347" spans="1:38" x14ac:dyDescent="0.35">
      <c r="A347" s="3" t="s">
        <v>2282</v>
      </c>
      <c r="B347" s="4" t="s">
        <v>2186</v>
      </c>
      <c r="C347" s="4">
        <f>VLOOKUP(A347, [1]Planilha1!$A$3:$B$1015,2,FALSE)</f>
        <v>3656</v>
      </c>
      <c r="D347" s="4">
        <f t="shared" si="5"/>
        <v>1.0155555555555555</v>
      </c>
      <c r="E347" s="4" t="s">
        <v>1125</v>
      </c>
      <c r="F347" s="3" t="s">
        <v>2183</v>
      </c>
      <c r="G347" s="3" t="s">
        <v>74</v>
      </c>
      <c r="H347" s="3" t="s">
        <v>44</v>
      </c>
      <c r="I347" s="3" t="s">
        <v>33</v>
      </c>
      <c r="J347" s="3" t="s">
        <v>41</v>
      </c>
      <c r="L347" s="1">
        <v>46044.418912037036</v>
      </c>
      <c r="M347" s="1">
        <v>46044.420590277776</v>
      </c>
      <c r="N347" s="1">
        <v>46044.441747685189</v>
      </c>
      <c r="O347" s="3" t="s">
        <v>43</v>
      </c>
      <c r="P347" s="3" t="s">
        <v>2186</v>
      </c>
      <c r="Q347" s="3" t="s">
        <v>42</v>
      </c>
      <c r="R347" s="3" t="s">
        <v>2185</v>
      </c>
      <c r="S347" s="3" t="s">
        <v>80</v>
      </c>
      <c r="T347" s="3" t="s">
        <v>79</v>
      </c>
      <c r="U347" s="4" t="b">
        <v>1</v>
      </c>
      <c r="V347" s="3" t="s">
        <v>31</v>
      </c>
      <c r="W347" s="1"/>
      <c r="Y347" s="3" t="s">
        <v>32</v>
      </c>
      <c r="Z347" s="3" t="s">
        <v>32</v>
      </c>
      <c r="AA347" s="3"/>
      <c r="AB347" s="3"/>
      <c r="AC347" s="4" t="s">
        <v>30</v>
      </c>
      <c r="AD347" s="3"/>
      <c r="AE347" s="3" t="s">
        <v>2186</v>
      </c>
      <c r="AF347" s="4" t="s">
        <v>30</v>
      </c>
      <c r="AH347" s="4">
        <v>1</v>
      </c>
      <c r="AI347" s="3" t="s">
        <v>2283</v>
      </c>
      <c r="AJ347" s="4" t="s">
        <v>2184</v>
      </c>
      <c r="AK347" s="4"/>
      <c r="AL347" s="3"/>
    </row>
    <row r="348" spans="1:38" x14ac:dyDescent="0.35">
      <c r="A348" s="3" t="s">
        <v>2284</v>
      </c>
      <c r="B348" s="4" t="s">
        <v>94</v>
      </c>
      <c r="C348" s="4">
        <f>VLOOKUP(A348, [1]Planilha1!$A$3:$B$1015,2,FALSE)</f>
        <v>0</v>
      </c>
      <c r="D348" s="4">
        <f t="shared" si="5"/>
        <v>0</v>
      </c>
      <c r="E348" s="4" t="s">
        <v>1125</v>
      </c>
      <c r="F348" s="3" t="s">
        <v>92</v>
      </c>
      <c r="G348" s="3" t="s">
        <v>2285</v>
      </c>
      <c r="H348" s="3" t="s">
        <v>163</v>
      </c>
      <c r="I348" s="3" t="s">
        <v>33</v>
      </c>
      <c r="J348" s="3" t="s">
        <v>60</v>
      </c>
      <c r="L348" s="1">
        <v>46044.417511574073</v>
      </c>
      <c r="M348" s="1">
        <v>46044.419872685183</v>
      </c>
      <c r="N348" s="1">
        <v>46047.458344907405</v>
      </c>
      <c r="O348" s="3" t="s">
        <v>162</v>
      </c>
      <c r="P348" s="3" t="s">
        <v>94</v>
      </c>
      <c r="Q348" s="3" t="s">
        <v>42</v>
      </c>
      <c r="R348" s="3" t="s">
        <v>93</v>
      </c>
      <c r="S348" s="3" t="s">
        <v>708</v>
      </c>
      <c r="T348" s="3" t="s">
        <v>707</v>
      </c>
      <c r="U348" s="4" t="b">
        <v>1</v>
      </c>
      <c r="V348" s="3" t="s">
        <v>31</v>
      </c>
      <c r="W348" s="1"/>
      <c r="Y348" s="3" t="s">
        <v>32</v>
      </c>
      <c r="Z348" s="3" t="s">
        <v>32</v>
      </c>
      <c r="AA348" s="3"/>
      <c r="AB348" s="3"/>
      <c r="AC348" s="4" t="s">
        <v>30</v>
      </c>
      <c r="AD348" s="3"/>
      <c r="AE348" s="3" t="s">
        <v>94</v>
      </c>
      <c r="AF348" s="4" t="s">
        <v>30</v>
      </c>
      <c r="AH348" s="4">
        <v>0</v>
      </c>
      <c r="AI348" s="3" t="s">
        <v>2286</v>
      </c>
      <c r="AJ348" s="4"/>
      <c r="AK348" s="4"/>
      <c r="AL348" s="3"/>
    </row>
    <row r="349" spans="1:38" x14ac:dyDescent="0.35">
      <c r="A349" s="3" t="s">
        <v>2287</v>
      </c>
      <c r="B349" s="4" t="s">
        <v>2293</v>
      </c>
      <c r="C349" s="4">
        <f>VLOOKUP(A349, [1]Planilha1!$A$3:$B$1015,2,FALSE)</f>
        <v>0</v>
      </c>
      <c r="D349" s="4">
        <f t="shared" si="5"/>
        <v>0</v>
      </c>
      <c r="E349" s="4" t="s">
        <v>1125</v>
      </c>
      <c r="F349" s="3" t="s">
        <v>2291</v>
      </c>
      <c r="G349" s="3" t="s">
        <v>2288</v>
      </c>
      <c r="H349" s="3" t="s">
        <v>1073</v>
      </c>
      <c r="I349" s="3" t="s">
        <v>33</v>
      </c>
      <c r="J349" s="3" t="s">
        <v>60</v>
      </c>
      <c r="K349" s="3" t="s">
        <v>2290</v>
      </c>
      <c r="L349" s="1">
        <v>46044.417071759257</v>
      </c>
      <c r="M349" s="1">
        <v>46044.421909722223</v>
      </c>
      <c r="N349" s="1">
        <v>46047.458344907405</v>
      </c>
      <c r="O349" s="3" t="s">
        <v>1072</v>
      </c>
      <c r="P349" s="3" t="s">
        <v>2293</v>
      </c>
      <c r="Q349" s="3" t="s">
        <v>35</v>
      </c>
      <c r="R349" s="3" t="s">
        <v>2292</v>
      </c>
      <c r="S349" s="3" t="s">
        <v>144</v>
      </c>
      <c r="T349" s="3" t="s">
        <v>143</v>
      </c>
      <c r="U349" s="4" t="b">
        <v>1</v>
      </c>
      <c r="V349" s="3" t="s">
        <v>31</v>
      </c>
      <c r="W349" s="1"/>
      <c r="Y349" s="3" t="s">
        <v>32</v>
      </c>
      <c r="Z349" s="3" t="s">
        <v>32</v>
      </c>
      <c r="AA349" s="3"/>
      <c r="AB349" s="3"/>
      <c r="AC349" s="4" t="s">
        <v>30</v>
      </c>
      <c r="AD349" s="3"/>
      <c r="AE349" s="3" t="s">
        <v>2293</v>
      </c>
      <c r="AF349" s="4" t="s">
        <v>30</v>
      </c>
      <c r="AH349" s="4">
        <v>0</v>
      </c>
      <c r="AI349" s="3" t="s">
        <v>2289</v>
      </c>
      <c r="AJ349" s="4" t="s">
        <v>5862</v>
      </c>
      <c r="AK349" s="4"/>
      <c r="AL349" s="3"/>
    </row>
    <row r="350" spans="1:38" x14ac:dyDescent="0.35">
      <c r="A350" s="3" t="s">
        <v>2294</v>
      </c>
      <c r="B350" s="4" t="s">
        <v>2300</v>
      </c>
      <c r="C350" s="4">
        <f>VLOOKUP(A350, [1]Planilha1!$A$3:$B$1015,2,FALSE)</f>
        <v>4220</v>
      </c>
      <c r="D350" s="4">
        <f t="shared" si="5"/>
        <v>1.1722222222222223</v>
      </c>
      <c r="E350" s="4" t="s">
        <v>1125</v>
      </c>
      <c r="F350" s="3" t="s">
        <v>2297</v>
      </c>
      <c r="G350" s="3" t="s">
        <v>100</v>
      </c>
      <c r="H350" s="3" t="s">
        <v>44</v>
      </c>
      <c r="I350" s="3" t="s">
        <v>33</v>
      </c>
      <c r="J350" s="3" t="s">
        <v>41</v>
      </c>
      <c r="K350" s="3" t="s">
        <v>2296</v>
      </c>
      <c r="L350" s="1">
        <v>46044.410555555558</v>
      </c>
      <c r="M350" s="1">
        <v>46044.413831018515</v>
      </c>
      <c r="N350" s="1">
        <v>46044.438252314816</v>
      </c>
      <c r="O350" s="3" t="s">
        <v>43</v>
      </c>
      <c r="P350" s="3" t="s">
        <v>2300</v>
      </c>
      <c r="Q350" s="3" t="s">
        <v>42</v>
      </c>
      <c r="R350" s="3" t="s">
        <v>2299</v>
      </c>
      <c r="S350" s="3" t="s">
        <v>190</v>
      </c>
      <c r="T350" s="3" t="s">
        <v>189</v>
      </c>
      <c r="U350" s="4" t="b">
        <v>1</v>
      </c>
      <c r="V350" s="3" t="s">
        <v>31</v>
      </c>
      <c r="W350" s="1"/>
      <c r="Y350" s="3" t="s">
        <v>32</v>
      </c>
      <c r="Z350" s="3" t="s">
        <v>32</v>
      </c>
      <c r="AA350" s="3"/>
      <c r="AB350" s="3"/>
      <c r="AC350" s="4" t="s">
        <v>30</v>
      </c>
      <c r="AD350" s="3"/>
      <c r="AE350" s="3" t="s">
        <v>2300</v>
      </c>
      <c r="AF350" s="4" t="s">
        <v>30</v>
      </c>
      <c r="AH350" s="4">
        <v>1</v>
      </c>
      <c r="AI350" s="3" t="s">
        <v>2295</v>
      </c>
      <c r="AJ350" s="4" t="s">
        <v>2298</v>
      </c>
      <c r="AK350" s="4"/>
      <c r="AL350" s="3"/>
    </row>
    <row r="351" spans="1:38" x14ac:dyDescent="0.35">
      <c r="A351" s="3" t="s">
        <v>2301</v>
      </c>
      <c r="B351" s="4" t="s">
        <v>2307</v>
      </c>
      <c r="C351" s="4">
        <f>VLOOKUP(A351, [1]Planilha1!$A$3:$B$1015,2,FALSE)</f>
        <v>6394</v>
      </c>
      <c r="D351" s="4">
        <f t="shared" si="5"/>
        <v>1.7761111111111112</v>
      </c>
      <c r="E351" s="4" t="s">
        <v>1125</v>
      </c>
      <c r="F351" s="3" t="s">
        <v>2304</v>
      </c>
      <c r="G351" s="3" t="s">
        <v>2302</v>
      </c>
      <c r="H351" s="3" t="s">
        <v>163</v>
      </c>
      <c r="I351" s="3" t="s">
        <v>33</v>
      </c>
      <c r="J351" s="3" t="s">
        <v>41</v>
      </c>
      <c r="L351" s="1">
        <v>46044.396458333336</v>
      </c>
      <c r="M351" s="1">
        <v>46044.403344907405</v>
      </c>
      <c r="N351" s="1">
        <v>46044.450462962966</v>
      </c>
      <c r="O351" s="3" t="s">
        <v>162</v>
      </c>
      <c r="P351" s="3" t="s">
        <v>2307</v>
      </c>
      <c r="Q351" s="3" t="s">
        <v>42</v>
      </c>
      <c r="R351" s="3" t="s">
        <v>2306</v>
      </c>
      <c r="S351" s="3" t="s">
        <v>708</v>
      </c>
      <c r="T351" s="3" t="s">
        <v>707</v>
      </c>
      <c r="U351" s="4" t="b">
        <v>1</v>
      </c>
      <c r="V351" s="3" t="s">
        <v>31</v>
      </c>
      <c r="W351" s="1"/>
      <c r="Y351" s="3" t="s">
        <v>32</v>
      </c>
      <c r="Z351" s="3" t="s">
        <v>32</v>
      </c>
      <c r="AA351" s="3"/>
      <c r="AB351" s="3"/>
      <c r="AC351" s="4" t="s">
        <v>30</v>
      </c>
      <c r="AD351" s="3"/>
      <c r="AE351" s="3" t="s">
        <v>2307</v>
      </c>
      <c r="AF351" s="4" t="s">
        <v>30</v>
      </c>
      <c r="AH351" s="4">
        <v>2</v>
      </c>
      <c r="AI351" s="3" t="s">
        <v>2303</v>
      </c>
      <c r="AJ351" s="4" t="s">
        <v>2305</v>
      </c>
      <c r="AK351" s="4"/>
      <c r="AL351" s="3"/>
    </row>
    <row r="352" spans="1:38" x14ac:dyDescent="0.35">
      <c r="A352" s="3" t="s">
        <v>2308</v>
      </c>
      <c r="B352" s="4" t="s">
        <v>2314</v>
      </c>
      <c r="C352" s="4">
        <f>VLOOKUP(A352, [1]Planilha1!$A$3:$B$1015,2,FALSE)</f>
        <v>33264</v>
      </c>
      <c r="D352" s="4">
        <f t="shared" si="5"/>
        <v>9.24</v>
      </c>
      <c r="E352" s="4" t="s">
        <v>1125</v>
      </c>
      <c r="F352" s="3" t="s">
        <v>2311</v>
      </c>
      <c r="G352" s="3" t="s">
        <v>2309</v>
      </c>
      <c r="H352" s="3" t="s">
        <v>224</v>
      </c>
      <c r="I352" s="3" t="s">
        <v>33</v>
      </c>
      <c r="J352" s="3" t="s">
        <v>41</v>
      </c>
      <c r="L352" s="1">
        <v>46044.381365740737</v>
      </c>
      <c r="M352" s="1">
        <v>46044.381365740737</v>
      </c>
      <c r="N352" s="1">
        <v>46044.573865740742</v>
      </c>
      <c r="O352" s="3" t="s">
        <v>223</v>
      </c>
      <c r="P352" s="3" t="s">
        <v>2314</v>
      </c>
      <c r="Q352" s="3" t="s">
        <v>42</v>
      </c>
      <c r="R352" s="3" t="s">
        <v>2313</v>
      </c>
      <c r="S352" s="3" t="s">
        <v>37</v>
      </c>
      <c r="T352" s="3" t="s">
        <v>36</v>
      </c>
      <c r="U352" s="4" t="b">
        <v>1</v>
      </c>
      <c r="V352" s="3" t="s">
        <v>28</v>
      </c>
      <c r="W352" s="1"/>
      <c r="Y352" s="3" t="s">
        <v>29</v>
      </c>
      <c r="Z352" s="3" t="s">
        <v>29</v>
      </c>
      <c r="AA352" s="3"/>
      <c r="AB352" s="3"/>
      <c r="AC352" s="4" t="s">
        <v>30</v>
      </c>
      <c r="AD352" s="3"/>
      <c r="AE352" s="3" t="s">
        <v>2314</v>
      </c>
      <c r="AF352" s="4" t="s">
        <v>30</v>
      </c>
      <c r="AH352" s="4">
        <v>1</v>
      </c>
      <c r="AI352" s="3" t="s">
        <v>2310</v>
      </c>
      <c r="AJ352" s="4" t="s">
        <v>2312</v>
      </c>
      <c r="AK352" s="4"/>
      <c r="AL352" s="3"/>
    </row>
    <row r="353" spans="1:38" x14ac:dyDescent="0.35">
      <c r="A353" s="3" t="s">
        <v>2315</v>
      </c>
      <c r="B353" s="4" t="s">
        <v>2321</v>
      </c>
      <c r="C353" s="4">
        <f>VLOOKUP(A353, [1]Planilha1!$A$3:$B$1015,2,FALSE)</f>
        <v>0</v>
      </c>
      <c r="D353" s="4">
        <f t="shared" si="5"/>
        <v>0</v>
      </c>
      <c r="E353" s="4" t="s">
        <v>1125</v>
      </c>
      <c r="F353" s="3" t="s">
        <v>2318</v>
      </c>
      <c r="G353" s="3" t="s">
        <v>700</v>
      </c>
      <c r="H353" s="3" t="s">
        <v>44</v>
      </c>
      <c r="I353" s="3" t="s">
        <v>33</v>
      </c>
      <c r="J353" s="3" t="s">
        <v>60</v>
      </c>
      <c r="K353" s="3" t="s">
        <v>2317</v>
      </c>
      <c r="L353" s="1">
        <v>46044.381180555552</v>
      </c>
      <c r="M353" s="1">
        <v>46044.383391203701</v>
      </c>
      <c r="N353" s="1">
        <v>46047.416666666664</v>
      </c>
      <c r="O353" s="3" t="s">
        <v>43</v>
      </c>
      <c r="P353" s="3" t="s">
        <v>2321</v>
      </c>
      <c r="Q353" s="3" t="s">
        <v>35</v>
      </c>
      <c r="R353" s="3" t="s">
        <v>2320</v>
      </c>
      <c r="S353" s="3" t="s">
        <v>190</v>
      </c>
      <c r="T353" s="3" t="s">
        <v>189</v>
      </c>
      <c r="U353" s="4" t="b">
        <v>1</v>
      </c>
      <c r="V353" s="3" t="s">
        <v>31</v>
      </c>
      <c r="W353" s="1"/>
      <c r="Y353" s="3" t="s">
        <v>32</v>
      </c>
      <c r="Z353" s="3" t="s">
        <v>32</v>
      </c>
      <c r="AA353" s="3"/>
      <c r="AB353" s="3"/>
      <c r="AC353" s="4" t="s">
        <v>30</v>
      </c>
      <c r="AD353" s="3"/>
      <c r="AE353" s="3" t="s">
        <v>2321</v>
      </c>
      <c r="AF353" s="4" t="s">
        <v>30</v>
      </c>
      <c r="AH353" s="4">
        <v>0</v>
      </c>
      <c r="AI353" s="3" t="s">
        <v>2316</v>
      </c>
      <c r="AJ353" s="4" t="s">
        <v>2319</v>
      </c>
      <c r="AK353" s="4"/>
      <c r="AL353" s="3"/>
    </row>
    <row r="354" spans="1:38" x14ac:dyDescent="0.35">
      <c r="A354" s="3" t="s">
        <v>2322</v>
      </c>
      <c r="B354" s="4" t="s">
        <v>2327</v>
      </c>
      <c r="C354" s="4">
        <f>VLOOKUP(A354, [1]Planilha1!$A$3:$B$1015,2,FALSE)</f>
        <v>0</v>
      </c>
      <c r="D354" s="4">
        <f t="shared" si="5"/>
        <v>0</v>
      </c>
      <c r="E354" s="4" t="s">
        <v>1125</v>
      </c>
      <c r="F354" s="3" t="s">
        <v>2324</v>
      </c>
      <c r="G354" s="3" t="s">
        <v>700</v>
      </c>
      <c r="H354" s="3" t="s">
        <v>44</v>
      </c>
      <c r="I354" s="3" t="s">
        <v>33</v>
      </c>
      <c r="J354" s="3" t="s">
        <v>60</v>
      </c>
      <c r="K354" s="3" t="s">
        <v>2317</v>
      </c>
      <c r="L354" s="1">
        <v>46044.377233796295</v>
      </c>
      <c r="M354" s="1">
        <v>46044.384236111109</v>
      </c>
      <c r="N354" s="1">
        <v>46047.416666666664</v>
      </c>
      <c r="O354" s="3" t="s">
        <v>43</v>
      </c>
      <c r="P354" s="3" t="s">
        <v>2327</v>
      </c>
      <c r="Q354" s="3" t="s">
        <v>35</v>
      </c>
      <c r="R354" s="3" t="s">
        <v>2326</v>
      </c>
      <c r="S354" s="3" t="s">
        <v>190</v>
      </c>
      <c r="T354" s="3" t="s">
        <v>189</v>
      </c>
      <c r="U354" s="4" t="b">
        <v>1</v>
      </c>
      <c r="V354" s="3" t="s">
        <v>31</v>
      </c>
      <c r="W354" s="1"/>
      <c r="Y354" s="3" t="s">
        <v>32</v>
      </c>
      <c r="Z354" s="3" t="s">
        <v>32</v>
      </c>
      <c r="AA354" s="3"/>
      <c r="AB354" s="3"/>
      <c r="AC354" s="4" t="s">
        <v>30</v>
      </c>
      <c r="AD354" s="3"/>
      <c r="AE354" s="3" t="s">
        <v>2327</v>
      </c>
      <c r="AF354" s="4" t="s">
        <v>30</v>
      </c>
      <c r="AH354" s="4">
        <v>0</v>
      </c>
      <c r="AI354" s="3" t="s">
        <v>2323</v>
      </c>
      <c r="AJ354" s="4" t="s">
        <v>2325</v>
      </c>
      <c r="AK354" s="4"/>
      <c r="AL354" s="3"/>
    </row>
    <row r="355" spans="1:38" x14ac:dyDescent="0.35">
      <c r="A355" s="3" t="s">
        <v>2328</v>
      </c>
      <c r="B355" s="4" t="s">
        <v>2333</v>
      </c>
      <c r="C355" s="4">
        <f>VLOOKUP(A355, [1]Planilha1!$A$3:$B$1015,2,FALSE)</f>
        <v>0</v>
      </c>
      <c r="D355" s="4">
        <f t="shared" si="5"/>
        <v>0</v>
      </c>
      <c r="E355" s="4" t="s">
        <v>1125</v>
      </c>
      <c r="F355" s="3" t="s">
        <v>2331</v>
      </c>
      <c r="G355" s="3" t="s">
        <v>700</v>
      </c>
      <c r="H355" s="3" t="s">
        <v>44</v>
      </c>
      <c r="I355" s="3" t="s">
        <v>33</v>
      </c>
      <c r="J355" s="3" t="s">
        <v>60</v>
      </c>
      <c r="K355" s="3" t="s">
        <v>2330</v>
      </c>
      <c r="L355" s="1">
        <v>46044.367488425924</v>
      </c>
      <c r="M355" s="1">
        <v>46044.377175925925</v>
      </c>
      <c r="N355" s="1">
        <v>46047.416666666664</v>
      </c>
      <c r="O355" s="3" t="s">
        <v>43</v>
      </c>
      <c r="P355" s="3" t="s">
        <v>2333</v>
      </c>
      <c r="Q355" s="3" t="s">
        <v>35</v>
      </c>
      <c r="R355" s="3" t="s">
        <v>2332</v>
      </c>
      <c r="S355" s="3" t="s">
        <v>190</v>
      </c>
      <c r="T355" s="3" t="s">
        <v>189</v>
      </c>
      <c r="U355" s="4" t="b">
        <v>1</v>
      </c>
      <c r="V355" s="3" t="s">
        <v>31</v>
      </c>
      <c r="W355" s="1"/>
      <c r="Y355" s="3" t="s">
        <v>32</v>
      </c>
      <c r="Z355" s="3" t="s">
        <v>32</v>
      </c>
      <c r="AA355" s="3"/>
      <c r="AB355" s="3"/>
      <c r="AC355" s="4" t="s">
        <v>30</v>
      </c>
      <c r="AD355" s="3"/>
      <c r="AE355" s="3" t="s">
        <v>2333</v>
      </c>
      <c r="AF355" s="4" t="s">
        <v>30</v>
      </c>
      <c r="AH355" s="4">
        <v>0</v>
      </c>
      <c r="AI355" s="3" t="s">
        <v>2329</v>
      </c>
      <c r="AJ355" s="4" t="s">
        <v>5863</v>
      </c>
      <c r="AK355" s="4"/>
      <c r="AL355" s="3"/>
    </row>
    <row r="356" spans="1:38" x14ac:dyDescent="0.35">
      <c r="A356" s="3" t="s">
        <v>2334</v>
      </c>
      <c r="B356" s="4" t="s">
        <v>2339</v>
      </c>
      <c r="C356" s="4">
        <f>VLOOKUP(A356, [1]Planilha1!$A$3:$B$1015,2,FALSE)</f>
        <v>12710</v>
      </c>
      <c r="D356" s="4">
        <f t="shared" si="5"/>
        <v>3.5305555555555554</v>
      </c>
      <c r="E356" s="4" t="s">
        <v>1125</v>
      </c>
      <c r="F356" s="3" t="s">
        <v>2336</v>
      </c>
      <c r="G356" s="3" t="s">
        <v>700</v>
      </c>
      <c r="H356" s="3" t="s">
        <v>44</v>
      </c>
      <c r="I356" s="3" t="s">
        <v>33</v>
      </c>
      <c r="J356" s="3" t="s">
        <v>34</v>
      </c>
      <c r="K356" s="3" t="s">
        <v>2317</v>
      </c>
      <c r="L356" s="1">
        <v>46044.364756944444</v>
      </c>
      <c r="M356" s="1">
        <v>46044.367476851854</v>
      </c>
      <c r="N356" s="1">
        <v>46047.458344907405</v>
      </c>
      <c r="O356" s="3" t="s">
        <v>43</v>
      </c>
      <c r="P356" s="3" t="s">
        <v>2339</v>
      </c>
      <c r="Q356" s="3" t="s">
        <v>35</v>
      </c>
      <c r="R356" s="3" t="s">
        <v>2338</v>
      </c>
      <c r="S356" s="3" t="s">
        <v>190</v>
      </c>
      <c r="T356" s="3" t="s">
        <v>189</v>
      </c>
      <c r="U356" s="4" t="b">
        <v>0</v>
      </c>
      <c r="V356" s="3" t="s">
        <v>31</v>
      </c>
      <c r="W356" s="1"/>
      <c r="Y356" s="3" t="s">
        <v>32</v>
      </c>
      <c r="Z356" s="3" t="s">
        <v>32</v>
      </c>
      <c r="AA356" s="3"/>
      <c r="AB356" s="3"/>
      <c r="AC356" s="4" t="s">
        <v>30</v>
      </c>
      <c r="AD356" s="3"/>
      <c r="AE356" s="3" t="s">
        <v>2339</v>
      </c>
      <c r="AF356" s="4" t="s">
        <v>30</v>
      </c>
      <c r="AH356" s="4">
        <v>1</v>
      </c>
      <c r="AI356" s="3" t="s">
        <v>2335</v>
      </c>
      <c r="AJ356" s="4" t="s">
        <v>2337</v>
      </c>
      <c r="AK356" s="4"/>
      <c r="AL356" s="3"/>
    </row>
    <row r="357" spans="1:38" x14ac:dyDescent="0.35">
      <c r="A357" s="3" t="s">
        <v>2340</v>
      </c>
      <c r="B357" s="4" t="s">
        <v>2346</v>
      </c>
      <c r="C357" s="4">
        <f>VLOOKUP(A357, [1]Planilha1!$A$3:$B$1015,2,FALSE)</f>
        <v>0</v>
      </c>
      <c r="D357" s="4">
        <f t="shared" si="5"/>
        <v>0</v>
      </c>
      <c r="E357" s="4" t="s">
        <v>1125</v>
      </c>
      <c r="F357" s="3" t="s">
        <v>2343</v>
      </c>
      <c r="G357" s="3" t="s">
        <v>2288</v>
      </c>
      <c r="H357" s="3" t="s">
        <v>1073</v>
      </c>
      <c r="I357" s="3" t="s">
        <v>33</v>
      </c>
      <c r="J357" s="3" t="s">
        <v>60</v>
      </c>
      <c r="K357" s="3" t="s">
        <v>2342</v>
      </c>
      <c r="L357" s="1">
        <v>46044.36414351852</v>
      </c>
      <c r="M357" s="1">
        <v>46044.386956018519</v>
      </c>
      <c r="N357" s="1">
        <v>46047.416666666664</v>
      </c>
      <c r="O357" s="3" t="s">
        <v>1072</v>
      </c>
      <c r="P357" s="3" t="s">
        <v>2346</v>
      </c>
      <c r="Q357" s="3" t="s">
        <v>35</v>
      </c>
      <c r="R357" s="3" t="s">
        <v>2345</v>
      </c>
      <c r="S357" s="3" t="s">
        <v>144</v>
      </c>
      <c r="T357" s="3" t="s">
        <v>143</v>
      </c>
      <c r="U357" s="4" t="b">
        <v>1</v>
      </c>
      <c r="V357" s="3" t="s">
        <v>31</v>
      </c>
      <c r="W357" s="1"/>
      <c r="Y357" s="3" t="s">
        <v>32</v>
      </c>
      <c r="Z357" s="3" t="s">
        <v>32</v>
      </c>
      <c r="AA357" s="3"/>
      <c r="AB357" s="3"/>
      <c r="AC357" s="4" t="s">
        <v>30</v>
      </c>
      <c r="AD357" s="3"/>
      <c r="AE357" s="3" t="s">
        <v>2346</v>
      </c>
      <c r="AF357" s="4" t="s">
        <v>30</v>
      </c>
      <c r="AH357" s="4">
        <v>0</v>
      </c>
      <c r="AI357" s="3" t="s">
        <v>2341</v>
      </c>
      <c r="AJ357" s="4" t="s">
        <v>2344</v>
      </c>
      <c r="AK357" s="4"/>
      <c r="AL357" s="3"/>
    </row>
    <row r="358" spans="1:38" x14ac:dyDescent="0.35">
      <c r="A358" s="3" t="s">
        <v>2347</v>
      </c>
      <c r="B358" s="4" t="s">
        <v>94</v>
      </c>
      <c r="C358" s="4">
        <f>VLOOKUP(A358, [1]Planilha1!$A$3:$B$1015,2,FALSE)</f>
        <v>13484</v>
      </c>
      <c r="D358" s="4">
        <f t="shared" si="5"/>
        <v>3.7455555555555557</v>
      </c>
      <c r="E358" s="4" t="s">
        <v>1125</v>
      </c>
      <c r="F358" s="3" t="s">
        <v>92</v>
      </c>
      <c r="G358" s="3" t="s">
        <v>2348</v>
      </c>
      <c r="H358" s="3" t="s">
        <v>44</v>
      </c>
      <c r="I358" s="3" t="s">
        <v>33</v>
      </c>
      <c r="J358" s="3" t="s">
        <v>34</v>
      </c>
      <c r="L358" s="1">
        <v>46044.359189814815</v>
      </c>
      <c r="M358" s="1">
        <v>46044.361504629633</v>
      </c>
      <c r="N358" s="1">
        <v>46047.458344907405</v>
      </c>
      <c r="O358" s="3" t="s">
        <v>43</v>
      </c>
      <c r="P358" s="3" t="s">
        <v>94</v>
      </c>
      <c r="Q358" s="3" t="s">
        <v>35</v>
      </c>
      <c r="R358" s="3" t="s">
        <v>93</v>
      </c>
      <c r="S358" s="3" t="s">
        <v>708</v>
      </c>
      <c r="T358" s="3" t="s">
        <v>707</v>
      </c>
      <c r="U358" s="4" t="b">
        <v>1</v>
      </c>
      <c r="V358" s="3" t="s">
        <v>31</v>
      </c>
      <c r="W358" s="1"/>
      <c r="Y358" s="3" t="s">
        <v>32</v>
      </c>
      <c r="Z358" s="3" t="s">
        <v>32</v>
      </c>
      <c r="AA358" s="3"/>
      <c r="AB358" s="3"/>
      <c r="AC358" s="4" t="s">
        <v>30</v>
      </c>
      <c r="AD358" s="3"/>
      <c r="AE358" s="3" t="s">
        <v>94</v>
      </c>
      <c r="AF358" s="4" t="s">
        <v>30</v>
      </c>
      <c r="AH358" s="4">
        <v>1</v>
      </c>
      <c r="AI358" s="3"/>
      <c r="AJ358" s="4"/>
      <c r="AK358" s="4"/>
      <c r="AL358" s="3"/>
    </row>
    <row r="359" spans="1:38" x14ac:dyDescent="0.35">
      <c r="A359" s="3" t="s">
        <v>2349</v>
      </c>
      <c r="B359" s="4" t="s">
        <v>2354</v>
      </c>
      <c r="C359" s="4">
        <f>VLOOKUP(A359, [1]Planilha1!$A$3:$B$1015,2,FALSE)</f>
        <v>9678</v>
      </c>
      <c r="D359" s="4">
        <f t="shared" si="5"/>
        <v>2.6883333333333335</v>
      </c>
      <c r="E359" s="4" t="s">
        <v>1125</v>
      </c>
      <c r="F359" s="3" t="s">
        <v>2351</v>
      </c>
      <c r="G359" s="3" t="s">
        <v>700</v>
      </c>
      <c r="H359" s="3" t="s">
        <v>44</v>
      </c>
      <c r="I359" s="3" t="s">
        <v>33</v>
      </c>
      <c r="J359" s="3" t="s">
        <v>34</v>
      </c>
      <c r="K359" s="3" t="s">
        <v>2317</v>
      </c>
      <c r="L359" s="1">
        <v>46044.358402777776</v>
      </c>
      <c r="M359" s="1">
        <v>46044.368773148148</v>
      </c>
      <c r="N359" s="1">
        <v>46047.458344907405</v>
      </c>
      <c r="O359" s="3" t="s">
        <v>43</v>
      </c>
      <c r="P359" s="3" t="s">
        <v>2354</v>
      </c>
      <c r="Q359" s="3" t="s">
        <v>35</v>
      </c>
      <c r="R359" s="3" t="s">
        <v>2353</v>
      </c>
      <c r="S359" s="3" t="s">
        <v>190</v>
      </c>
      <c r="T359" s="3" t="s">
        <v>189</v>
      </c>
      <c r="U359" s="4" t="b">
        <v>0</v>
      </c>
      <c r="V359" s="3" t="s">
        <v>31</v>
      </c>
      <c r="W359" s="1"/>
      <c r="Y359" s="3" t="s">
        <v>32</v>
      </c>
      <c r="Z359" s="3" t="s">
        <v>32</v>
      </c>
      <c r="AA359" s="3"/>
      <c r="AB359" s="3"/>
      <c r="AC359" s="4" t="s">
        <v>30</v>
      </c>
      <c r="AD359" s="3"/>
      <c r="AE359" s="3" t="s">
        <v>2354</v>
      </c>
      <c r="AF359" s="4" t="s">
        <v>30</v>
      </c>
      <c r="AH359" s="4">
        <v>1</v>
      </c>
      <c r="AI359" s="3" t="s">
        <v>2350</v>
      </c>
      <c r="AJ359" s="4" t="s">
        <v>2352</v>
      </c>
      <c r="AK359" s="4"/>
      <c r="AL359" s="3"/>
    </row>
    <row r="360" spans="1:38" x14ac:dyDescent="0.35">
      <c r="A360" s="3" t="s">
        <v>2355</v>
      </c>
      <c r="B360" s="4" t="s">
        <v>94</v>
      </c>
      <c r="C360" s="4">
        <f>VLOOKUP(A360, [1]Planilha1!$A$3:$B$1015,2,FALSE)</f>
        <v>16072</v>
      </c>
      <c r="D360" s="4">
        <f t="shared" si="5"/>
        <v>4.4644444444444442</v>
      </c>
      <c r="E360" s="4" t="s">
        <v>1125</v>
      </c>
      <c r="F360" s="3" t="s">
        <v>92</v>
      </c>
      <c r="G360" s="3" t="s">
        <v>2348</v>
      </c>
      <c r="H360" s="3" t="s">
        <v>44</v>
      </c>
      <c r="I360" s="3" t="s">
        <v>33</v>
      </c>
      <c r="J360" s="3" t="s">
        <v>34</v>
      </c>
      <c r="L360" s="1">
        <v>46044.357395833336</v>
      </c>
      <c r="M360" s="1">
        <v>46044.360578703701</v>
      </c>
      <c r="N360" s="1">
        <v>46047.5</v>
      </c>
      <c r="O360" s="3" t="s">
        <v>43</v>
      </c>
      <c r="P360" s="3" t="s">
        <v>94</v>
      </c>
      <c r="Q360" s="3" t="s">
        <v>35</v>
      </c>
      <c r="R360" s="3" t="s">
        <v>93</v>
      </c>
      <c r="S360" s="3" t="s">
        <v>708</v>
      </c>
      <c r="T360" s="3" t="s">
        <v>707</v>
      </c>
      <c r="U360" s="4" t="b">
        <v>0</v>
      </c>
      <c r="V360" s="3" t="s">
        <v>31</v>
      </c>
      <c r="W360" s="1"/>
      <c r="Y360" s="3" t="s">
        <v>32</v>
      </c>
      <c r="Z360" s="3" t="s">
        <v>32</v>
      </c>
      <c r="AA360" s="3"/>
      <c r="AB360" s="3"/>
      <c r="AC360" s="4" t="s">
        <v>30</v>
      </c>
      <c r="AD360" s="3"/>
      <c r="AE360" s="3" t="s">
        <v>94</v>
      </c>
      <c r="AF360" s="4" t="s">
        <v>30</v>
      </c>
      <c r="AH360" s="4">
        <v>1</v>
      </c>
      <c r="AI360" s="3"/>
      <c r="AJ360" s="4"/>
      <c r="AK360" s="4"/>
      <c r="AL360" s="3"/>
    </row>
    <row r="361" spans="1:38" x14ac:dyDescent="0.35">
      <c r="A361" s="3" t="s">
        <v>2356</v>
      </c>
      <c r="B361" s="4" t="s">
        <v>94</v>
      </c>
      <c r="C361" s="4">
        <f>VLOOKUP(A361, [1]Planilha1!$A$3:$B$1015,2,FALSE)</f>
        <v>9048</v>
      </c>
      <c r="D361" s="4">
        <f t="shared" si="5"/>
        <v>2.5133333333333332</v>
      </c>
      <c r="E361" s="4" t="s">
        <v>1125</v>
      </c>
      <c r="F361" s="3" t="s">
        <v>92</v>
      </c>
      <c r="G361" s="3" t="s">
        <v>800</v>
      </c>
      <c r="H361" s="3" t="s">
        <v>44</v>
      </c>
      <c r="I361" s="3" t="s">
        <v>33</v>
      </c>
      <c r="J361" s="3" t="s">
        <v>34</v>
      </c>
      <c r="K361" s="3" t="s">
        <v>2317</v>
      </c>
      <c r="L361" s="1">
        <v>46044.356458333335</v>
      </c>
      <c r="M361" s="1">
        <v>46044.36010416667</v>
      </c>
      <c r="N361" s="1">
        <v>46047.458344907405</v>
      </c>
      <c r="O361" s="3" t="s">
        <v>43</v>
      </c>
      <c r="P361" s="3" t="s">
        <v>94</v>
      </c>
      <c r="Q361" s="3" t="s">
        <v>35</v>
      </c>
      <c r="R361" s="3" t="s">
        <v>93</v>
      </c>
      <c r="S361" s="3" t="s">
        <v>708</v>
      </c>
      <c r="T361" s="3" t="s">
        <v>707</v>
      </c>
      <c r="U361" s="4" t="b">
        <v>1</v>
      </c>
      <c r="V361" s="3" t="s">
        <v>31</v>
      </c>
      <c r="W361" s="1"/>
      <c r="Y361" s="3" t="s">
        <v>32</v>
      </c>
      <c r="Z361" s="3" t="s">
        <v>32</v>
      </c>
      <c r="AA361" s="3"/>
      <c r="AB361" s="3"/>
      <c r="AC361" s="4" t="s">
        <v>30</v>
      </c>
      <c r="AD361" s="3"/>
      <c r="AE361" s="3" t="s">
        <v>94</v>
      </c>
      <c r="AF361" s="4" t="s">
        <v>30</v>
      </c>
      <c r="AH361" s="4">
        <v>1</v>
      </c>
      <c r="AI361" s="3"/>
      <c r="AJ361" s="4"/>
      <c r="AK361" s="4"/>
      <c r="AL361" s="3"/>
    </row>
    <row r="362" spans="1:38" x14ac:dyDescent="0.35">
      <c r="A362" s="3" t="s">
        <v>2357</v>
      </c>
      <c r="B362" s="4" t="s">
        <v>94</v>
      </c>
      <c r="C362" s="4">
        <f>VLOOKUP(A362, [1]Planilha1!$A$3:$B$1015,2,FALSE)</f>
        <v>0</v>
      </c>
      <c r="D362" s="4">
        <f t="shared" si="5"/>
        <v>0</v>
      </c>
      <c r="E362" s="4" t="s">
        <v>1125</v>
      </c>
      <c r="F362" s="3" t="s">
        <v>92</v>
      </c>
      <c r="G362" s="3" t="s">
        <v>700</v>
      </c>
      <c r="H362" s="3" t="s">
        <v>44</v>
      </c>
      <c r="I362" s="3" t="s">
        <v>33</v>
      </c>
      <c r="J362" s="3" t="s">
        <v>60</v>
      </c>
      <c r="L362" s="1">
        <v>46044.338240740741</v>
      </c>
      <c r="M362" s="1">
        <v>46044.364502314813</v>
      </c>
      <c r="N362" s="1">
        <v>46047.375011574077</v>
      </c>
      <c r="O362" s="3" t="s">
        <v>43</v>
      </c>
      <c r="P362" s="3" t="s">
        <v>94</v>
      </c>
      <c r="Q362" s="3" t="s">
        <v>35</v>
      </c>
      <c r="R362" s="3" t="s">
        <v>93</v>
      </c>
      <c r="S362" s="3" t="s">
        <v>190</v>
      </c>
      <c r="T362" s="3" t="s">
        <v>189</v>
      </c>
      <c r="U362" s="4" t="b">
        <v>1</v>
      </c>
      <c r="V362" s="3" t="s">
        <v>31</v>
      </c>
      <c r="W362" s="1"/>
      <c r="Y362" s="3" t="s">
        <v>32</v>
      </c>
      <c r="Z362" s="3" t="s">
        <v>32</v>
      </c>
      <c r="AA362" s="3"/>
      <c r="AB362" s="3"/>
      <c r="AC362" s="4" t="s">
        <v>30</v>
      </c>
      <c r="AD362" s="3"/>
      <c r="AE362" s="3" t="s">
        <v>94</v>
      </c>
      <c r="AF362" s="4" t="s">
        <v>30</v>
      </c>
      <c r="AH362" s="4">
        <v>0</v>
      </c>
      <c r="AI362" s="3" t="s">
        <v>2358</v>
      </c>
      <c r="AJ362" s="4"/>
      <c r="AK362" s="4"/>
      <c r="AL362" s="3"/>
    </row>
    <row r="363" spans="1:38" x14ac:dyDescent="0.35">
      <c r="A363" s="3" t="s">
        <v>2359</v>
      </c>
      <c r="B363" s="4" t="s">
        <v>2314</v>
      </c>
      <c r="C363" s="4">
        <f>VLOOKUP(A363, [1]Planilha1!$A$3:$B$1015,2,FALSE)</f>
        <v>41446</v>
      </c>
      <c r="D363" s="4">
        <f t="shared" si="5"/>
        <v>11.512777777777778</v>
      </c>
      <c r="E363" s="4" t="s">
        <v>1125</v>
      </c>
      <c r="F363" s="3" t="s">
        <v>2311</v>
      </c>
      <c r="G363" s="3" t="s">
        <v>2360</v>
      </c>
      <c r="H363" s="3" t="s">
        <v>171</v>
      </c>
      <c r="I363" s="3" t="s">
        <v>33</v>
      </c>
      <c r="J363" s="3" t="s">
        <v>41</v>
      </c>
      <c r="L363" s="1">
        <v>46043.854664351849</v>
      </c>
      <c r="M363" s="1">
        <v>46043.854664351849</v>
      </c>
      <c r="N363" s="1">
        <v>46044.573182870372</v>
      </c>
      <c r="O363" s="3" t="s">
        <v>170</v>
      </c>
      <c r="P363" s="3" t="s">
        <v>2314</v>
      </c>
      <c r="Q363" s="3" t="s">
        <v>35</v>
      </c>
      <c r="R363" s="3" t="s">
        <v>2313</v>
      </c>
      <c r="S363" s="3" t="s">
        <v>37</v>
      </c>
      <c r="T363" s="3" t="s">
        <v>36</v>
      </c>
      <c r="U363" s="4" t="b">
        <v>1</v>
      </c>
      <c r="V363" s="3" t="s">
        <v>28</v>
      </c>
      <c r="W363" s="1"/>
      <c r="Y363" s="3" t="s">
        <v>29</v>
      </c>
      <c r="Z363" s="3" t="s">
        <v>29</v>
      </c>
      <c r="AA363" s="3"/>
      <c r="AB363" s="3"/>
      <c r="AC363" s="4" t="s">
        <v>30</v>
      </c>
      <c r="AD363" s="3"/>
      <c r="AE363" s="3" t="s">
        <v>2314</v>
      </c>
      <c r="AF363" s="4" t="s">
        <v>30</v>
      </c>
      <c r="AH363" s="4">
        <v>1</v>
      </c>
      <c r="AI363" s="3" t="s">
        <v>2361</v>
      </c>
      <c r="AJ363" s="4" t="s">
        <v>2312</v>
      </c>
      <c r="AK363" s="4"/>
      <c r="AL363" s="3"/>
    </row>
    <row r="364" spans="1:38" x14ac:dyDescent="0.35">
      <c r="A364" s="3" t="s">
        <v>2362</v>
      </c>
      <c r="B364" s="4" t="s">
        <v>2366</v>
      </c>
      <c r="C364" s="4">
        <f>VLOOKUP(A364, [1]Planilha1!$A$3:$B$1015,2,FALSE)</f>
        <v>8270</v>
      </c>
      <c r="D364" s="4">
        <f t="shared" si="5"/>
        <v>2.2972222222222221</v>
      </c>
      <c r="E364" s="4" t="s">
        <v>1125</v>
      </c>
      <c r="F364" s="3" t="s">
        <v>2364</v>
      </c>
      <c r="G364" s="3" t="s">
        <v>74</v>
      </c>
      <c r="H364" s="3" t="s">
        <v>44</v>
      </c>
      <c r="I364" s="3" t="s">
        <v>33</v>
      </c>
      <c r="J364" s="3" t="s">
        <v>41</v>
      </c>
      <c r="L364" s="1">
        <v>46043.740567129629</v>
      </c>
      <c r="M364" s="1">
        <v>46043.742152777777</v>
      </c>
      <c r="N364" s="1">
        <v>46044.415011574078</v>
      </c>
      <c r="O364" s="3" t="s">
        <v>43</v>
      </c>
      <c r="P364" s="3" t="s">
        <v>2366</v>
      </c>
      <c r="Q364" s="3" t="s">
        <v>42</v>
      </c>
      <c r="R364" s="3" t="s">
        <v>2365</v>
      </c>
      <c r="S364" s="3" t="s">
        <v>80</v>
      </c>
      <c r="T364" s="3" t="s">
        <v>79</v>
      </c>
      <c r="U364" s="4" t="b">
        <v>1</v>
      </c>
      <c r="V364" s="3" t="s">
        <v>31</v>
      </c>
      <c r="W364" s="1"/>
      <c r="Y364" s="3" t="s">
        <v>32</v>
      </c>
      <c r="Z364" s="3" t="s">
        <v>32</v>
      </c>
      <c r="AA364" s="3"/>
      <c r="AB364" s="3"/>
      <c r="AC364" s="4" t="s">
        <v>30</v>
      </c>
      <c r="AD364" s="3"/>
      <c r="AE364" s="3" t="s">
        <v>2366</v>
      </c>
      <c r="AF364" s="4" t="s">
        <v>30</v>
      </c>
      <c r="AH364" s="4">
        <v>1</v>
      </c>
      <c r="AI364" s="3" t="s">
        <v>2363</v>
      </c>
      <c r="AJ364" s="4"/>
      <c r="AK364" s="4"/>
      <c r="AL364" s="3"/>
    </row>
    <row r="365" spans="1:38" x14ac:dyDescent="0.35">
      <c r="A365" s="3" t="s">
        <v>2367</v>
      </c>
      <c r="B365" s="4" t="s">
        <v>2372</v>
      </c>
      <c r="C365" s="4">
        <f>VLOOKUP(A365, [1]Planilha1!$A$3:$B$1015,2,FALSE)</f>
        <v>8658</v>
      </c>
      <c r="D365" s="4">
        <f t="shared" si="5"/>
        <v>2.4049999999999998</v>
      </c>
      <c r="E365" s="4" t="s">
        <v>1125</v>
      </c>
      <c r="F365" s="3" t="s">
        <v>2370</v>
      </c>
      <c r="G365" s="3" t="s">
        <v>1011</v>
      </c>
      <c r="H365" s="3" t="s">
        <v>44</v>
      </c>
      <c r="I365" s="3" t="s">
        <v>33</v>
      </c>
      <c r="J365" s="3" t="s">
        <v>41</v>
      </c>
      <c r="K365" s="3" t="s">
        <v>2369</v>
      </c>
      <c r="L365" s="1">
        <v>46043.738229166665</v>
      </c>
      <c r="M365" s="1">
        <v>46043.740532407406</v>
      </c>
      <c r="N365" s="1">
        <v>46044.415636574071</v>
      </c>
      <c r="O365" s="3" t="s">
        <v>43</v>
      </c>
      <c r="P365" s="3" t="s">
        <v>2372</v>
      </c>
      <c r="Q365" s="3" t="s">
        <v>42</v>
      </c>
      <c r="R365" s="3" t="s">
        <v>2371</v>
      </c>
      <c r="S365" s="3" t="s">
        <v>80</v>
      </c>
      <c r="T365" s="3" t="s">
        <v>79</v>
      </c>
      <c r="U365" s="4" t="b">
        <v>1</v>
      </c>
      <c r="V365" s="3" t="s">
        <v>31</v>
      </c>
      <c r="W365" s="1"/>
      <c r="Y365" s="3" t="s">
        <v>32</v>
      </c>
      <c r="Z365" s="3" t="s">
        <v>32</v>
      </c>
      <c r="AA365" s="3"/>
      <c r="AB365" s="3"/>
      <c r="AC365" s="4" t="s">
        <v>30</v>
      </c>
      <c r="AD365" s="3"/>
      <c r="AE365" s="3" t="s">
        <v>2372</v>
      </c>
      <c r="AF365" s="4" t="s">
        <v>30</v>
      </c>
      <c r="AH365" s="4">
        <v>1</v>
      </c>
      <c r="AI365" s="3" t="s">
        <v>2368</v>
      </c>
      <c r="AJ365" s="4" t="s">
        <v>5864</v>
      </c>
      <c r="AK365" s="4"/>
      <c r="AL365" s="3"/>
    </row>
    <row r="366" spans="1:38" x14ac:dyDescent="0.35">
      <c r="A366" s="3" t="s">
        <v>2373</v>
      </c>
      <c r="B366" s="4" t="s">
        <v>2377</v>
      </c>
      <c r="C366" s="4">
        <f>VLOOKUP(A366, [1]Planilha1!$A$3:$B$1015,2,FALSE)</f>
        <v>10206</v>
      </c>
      <c r="D366" s="4">
        <f t="shared" si="5"/>
        <v>2.835</v>
      </c>
      <c r="E366" s="4" t="s">
        <v>1125</v>
      </c>
      <c r="F366" s="3" t="s">
        <v>2375</v>
      </c>
      <c r="G366" s="3" t="s">
        <v>74</v>
      </c>
      <c r="H366" s="3" t="s">
        <v>44</v>
      </c>
      <c r="I366" s="3" t="s">
        <v>33</v>
      </c>
      <c r="J366" s="3" t="s">
        <v>41</v>
      </c>
      <c r="L366" s="1">
        <v>46043.728831018518</v>
      </c>
      <c r="M366" s="1">
        <v>46043.730150462965</v>
      </c>
      <c r="N366" s="1">
        <v>46044.414212962962</v>
      </c>
      <c r="O366" s="3" t="s">
        <v>43</v>
      </c>
      <c r="P366" s="3" t="s">
        <v>2377</v>
      </c>
      <c r="Q366" s="3" t="s">
        <v>42</v>
      </c>
      <c r="R366" s="3" t="s">
        <v>2376</v>
      </c>
      <c r="S366" s="3" t="s">
        <v>80</v>
      </c>
      <c r="T366" s="3" t="s">
        <v>79</v>
      </c>
      <c r="U366" s="4" t="b">
        <v>1</v>
      </c>
      <c r="V366" s="3" t="s">
        <v>31</v>
      </c>
      <c r="W366" s="1"/>
      <c r="Y366" s="3" t="s">
        <v>32</v>
      </c>
      <c r="Z366" s="3" t="s">
        <v>32</v>
      </c>
      <c r="AA366" s="3"/>
      <c r="AB366" s="3"/>
      <c r="AC366" s="4" t="s">
        <v>30</v>
      </c>
      <c r="AD366" s="3"/>
      <c r="AE366" s="3" t="s">
        <v>2377</v>
      </c>
      <c r="AF366" s="4" t="s">
        <v>30</v>
      </c>
      <c r="AH366" s="4">
        <v>1</v>
      </c>
      <c r="AI366" s="3" t="s">
        <v>2374</v>
      </c>
      <c r="AJ366" s="4" t="s">
        <v>5865</v>
      </c>
      <c r="AK366" s="4"/>
      <c r="AL366" s="3"/>
    </row>
    <row r="367" spans="1:38" x14ac:dyDescent="0.35">
      <c r="A367" s="3" t="s">
        <v>2378</v>
      </c>
      <c r="B367" s="4" t="s">
        <v>2384</v>
      </c>
      <c r="C367" s="4">
        <f>VLOOKUP(A367, [1]Planilha1!$A$3:$B$1015,2,FALSE)</f>
        <v>5902</v>
      </c>
      <c r="D367" s="4">
        <f t="shared" si="5"/>
        <v>1.6394444444444445</v>
      </c>
      <c r="E367" s="4" t="s">
        <v>1125</v>
      </c>
      <c r="F367" s="3" t="s">
        <v>2381</v>
      </c>
      <c r="G367" s="3" t="s">
        <v>2379</v>
      </c>
      <c r="H367" s="3" t="s">
        <v>171</v>
      </c>
      <c r="I367" s="3" t="s">
        <v>33</v>
      </c>
      <c r="J367" s="3" t="s">
        <v>41</v>
      </c>
      <c r="K367" s="3" t="s">
        <v>362</v>
      </c>
      <c r="L367" s="1">
        <v>46043.711493055554</v>
      </c>
      <c r="M367" s="1">
        <v>46043.711493055554</v>
      </c>
      <c r="N367" s="1">
        <v>46043.745648148149</v>
      </c>
      <c r="O367" s="3" t="s">
        <v>170</v>
      </c>
      <c r="P367" s="3" t="s">
        <v>2384</v>
      </c>
      <c r="Q367" s="3" t="s">
        <v>35</v>
      </c>
      <c r="R367" s="3" t="s">
        <v>2383</v>
      </c>
      <c r="S367" s="3" t="s">
        <v>37</v>
      </c>
      <c r="T367" s="3" t="s">
        <v>36</v>
      </c>
      <c r="U367" s="4" t="b">
        <v>1</v>
      </c>
      <c r="V367" s="3" t="s">
        <v>28</v>
      </c>
      <c r="W367" s="1"/>
      <c r="Y367" s="3" t="s">
        <v>29</v>
      </c>
      <c r="Z367" s="3" t="s">
        <v>29</v>
      </c>
      <c r="AA367" s="3"/>
      <c r="AB367" s="3"/>
      <c r="AC367" s="4" t="s">
        <v>30</v>
      </c>
      <c r="AD367" s="3"/>
      <c r="AE367" s="3" t="s">
        <v>2384</v>
      </c>
      <c r="AF367" s="4" t="s">
        <v>30</v>
      </c>
      <c r="AH367" s="4">
        <v>1</v>
      </c>
      <c r="AI367" s="3" t="s">
        <v>2380</v>
      </c>
      <c r="AJ367" s="4" t="s">
        <v>2382</v>
      </c>
      <c r="AK367" s="4"/>
      <c r="AL367" s="3"/>
    </row>
    <row r="368" spans="1:38" x14ac:dyDescent="0.35">
      <c r="A368" s="3" t="s">
        <v>2385</v>
      </c>
      <c r="B368" s="4" t="s">
        <v>2392</v>
      </c>
      <c r="C368" s="4">
        <f>VLOOKUP(A368, [1]Planilha1!$A$3:$B$1015,2,FALSE)</f>
        <v>15786</v>
      </c>
      <c r="D368" s="4">
        <f t="shared" si="5"/>
        <v>4.3849999999999998</v>
      </c>
      <c r="E368" s="4" t="s">
        <v>1125</v>
      </c>
      <c r="F368" s="3" t="s">
        <v>2389</v>
      </c>
      <c r="G368" s="3" t="s">
        <v>2386</v>
      </c>
      <c r="H368" s="3" t="s">
        <v>171</v>
      </c>
      <c r="I368" s="3" t="s">
        <v>33</v>
      </c>
      <c r="J368" s="3" t="s">
        <v>41</v>
      </c>
      <c r="K368" s="3" t="s">
        <v>2388</v>
      </c>
      <c r="L368" s="1">
        <v>46043.709328703706</v>
      </c>
      <c r="M368" s="1">
        <v>46043.716157407405</v>
      </c>
      <c r="N368" s="1">
        <v>46047.708333333336</v>
      </c>
      <c r="O368" s="3" t="s">
        <v>170</v>
      </c>
      <c r="P368" s="3" t="s">
        <v>2392</v>
      </c>
      <c r="Q368" s="3" t="s">
        <v>35</v>
      </c>
      <c r="R368" s="3" t="s">
        <v>2391</v>
      </c>
      <c r="S368" s="3" t="s">
        <v>80</v>
      </c>
      <c r="T368" s="3" t="s">
        <v>79</v>
      </c>
      <c r="U368" s="4" t="b">
        <v>0</v>
      </c>
      <c r="V368" s="3" t="s">
        <v>31</v>
      </c>
      <c r="W368" s="1"/>
      <c r="Y368" s="3" t="s">
        <v>32</v>
      </c>
      <c r="Z368" s="3" t="s">
        <v>32</v>
      </c>
      <c r="AA368" s="3"/>
      <c r="AB368" s="3"/>
      <c r="AC368" s="4" t="s">
        <v>30</v>
      </c>
      <c r="AD368" s="3"/>
      <c r="AE368" s="3" t="s">
        <v>2392</v>
      </c>
      <c r="AF368" s="4" t="s">
        <v>30</v>
      </c>
      <c r="AH368" s="4">
        <v>2</v>
      </c>
      <c r="AI368" s="3" t="s">
        <v>2387</v>
      </c>
      <c r="AJ368" s="4" t="s">
        <v>2390</v>
      </c>
      <c r="AK368" s="4"/>
      <c r="AL368" s="3"/>
    </row>
    <row r="369" spans="1:38" x14ac:dyDescent="0.35">
      <c r="A369" s="3" t="s">
        <v>2393</v>
      </c>
      <c r="B369" s="4" t="s">
        <v>2399</v>
      </c>
      <c r="C369" s="4">
        <f>VLOOKUP(A369, [1]Planilha1!$A$3:$B$1015,2,FALSE)</f>
        <v>8557</v>
      </c>
      <c r="D369" s="4">
        <f t="shared" si="5"/>
        <v>2.3769444444444443</v>
      </c>
      <c r="E369" s="4" t="s">
        <v>1125</v>
      </c>
      <c r="F369" s="3" t="s">
        <v>2396</v>
      </c>
      <c r="G369" s="3" t="s">
        <v>2394</v>
      </c>
      <c r="H369" s="3" t="s">
        <v>44</v>
      </c>
      <c r="I369" s="3" t="s">
        <v>33</v>
      </c>
      <c r="J369" s="3" t="s">
        <v>41</v>
      </c>
      <c r="L369" s="1">
        <v>46043.695555555554</v>
      </c>
      <c r="M369" s="1">
        <v>46043.695555555554</v>
      </c>
      <c r="N369" s="1">
        <v>46043.742372685185</v>
      </c>
      <c r="O369" s="3" t="s">
        <v>43</v>
      </c>
      <c r="P369" s="3" t="s">
        <v>2399</v>
      </c>
      <c r="Q369" s="3" t="s">
        <v>42</v>
      </c>
      <c r="R369" s="3" t="s">
        <v>2398</v>
      </c>
      <c r="S369" s="3" t="s">
        <v>37</v>
      </c>
      <c r="T369" s="3" t="s">
        <v>36</v>
      </c>
      <c r="U369" s="4" t="b">
        <v>1</v>
      </c>
      <c r="V369" s="3" t="s">
        <v>28</v>
      </c>
      <c r="W369" s="1"/>
      <c r="Y369" s="3" t="s">
        <v>29</v>
      </c>
      <c r="Z369" s="3" t="s">
        <v>29</v>
      </c>
      <c r="AA369" s="3"/>
      <c r="AB369" s="3"/>
      <c r="AC369" s="4" t="s">
        <v>30</v>
      </c>
      <c r="AD369" s="3"/>
      <c r="AE369" s="3" t="s">
        <v>2399</v>
      </c>
      <c r="AF369" s="4" t="s">
        <v>30</v>
      </c>
      <c r="AH369" s="4">
        <v>2</v>
      </c>
      <c r="AI369" s="3" t="s">
        <v>2395</v>
      </c>
      <c r="AJ369" s="4" t="s">
        <v>2397</v>
      </c>
      <c r="AK369" s="4"/>
      <c r="AL369" s="3"/>
    </row>
    <row r="370" spans="1:38" x14ac:dyDescent="0.35">
      <c r="A370" s="3" t="s">
        <v>2400</v>
      </c>
      <c r="B370" s="4" t="s">
        <v>2405</v>
      </c>
      <c r="C370" s="4">
        <f>VLOOKUP(A370, [1]Planilha1!$A$3:$B$1015,2,FALSE)</f>
        <v>2868</v>
      </c>
      <c r="D370" s="4">
        <f t="shared" si="5"/>
        <v>0.79666666666666663</v>
      </c>
      <c r="E370" s="4" t="s">
        <v>1125</v>
      </c>
      <c r="F370" s="3" t="s">
        <v>2403</v>
      </c>
      <c r="G370" s="3" t="s">
        <v>2401</v>
      </c>
      <c r="H370" s="3" t="s">
        <v>44</v>
      </c>
      <c r="I370" s="3" t="s">
        <v>33</v>
      </c>
      <c r="J370" s="3" t="s">
        <v>41</v>
      </c>
      <c r="L370" s="1">
        <v>46043.679872685185</v>
      </c>
      <c r="M370" s="1">
        <v>46043.685902777775</v>
      </c>
      <c r="N370" s="1">
        <v>46043.741631944446</v>
      </c>
      <c r="O370" s="3" t="s">
        <v>43</v>
      </c>
      <c r="P370" s="3" t="s">
        <v>2405</v>
      </c>
      <c r="Q370" s="3" t="s">
        <v>42</v>
      </c>
      <c r="R370" s="3" t="s">
        <v>2404</v>
      </c>
      <c r="S370" s="3" t="s">
        <v>80</v>
      </c>
      <c r="T370" s="3" t="s">
        <v>79</v>
      </c>
      <c r="U370" s="4" t="b">
        <v>1</v>
      </c>
      <c r="V370" s="3" t="s">
        <v>31</v>
      </c>
      <c r="W370" s="1"/>
      <c r="Y370" s="3" t="s">
        <v>32</v>
      </c>
      <c r="Z370" s="3" t="s">
        <v>32</v>
      </c>
      <c r="AA370" s="3"/>
      <c r="AB370" s="3"/>
      <c r="AC370" s="4" t="s">
        <v>30</v>
      </c>
      <c r="AD370" s="3"/>
      <c r="AE370" s="3" t="s">
        <v>2405</v>
      </c>
      <c r="AF370" s="4" t="s">
        <v>30</v>
      </c>
      <c r="AH370" s="4">
        <v>1</v>
      </c>
      <c r="AI370" s="3" t="s">
        <v>2402</v>
      </c>
      <c r="AJ370" s="4" t="s">
        <v>5866</v>
      </c>
      <c r="AK370" s="4"/>
      <c r="AL370" s="3"/>
    </row>
    <row r="371" spans="1:38" x14ac:dyDescent="0.35">
      <c r="A371" s="3" t="s">
        <v>2406</v>
      </c>
      <c r="B371" s="4" t="s">
        <v>2410</v>
      </c>
      <c r="C371" s="4">
        <f>VLOOKUP(A371, [1]Planilha1!$A$3:$B$1015,2,FALSE)</f>
        <v>0</v>
      </c>
      <c r="D371" s="4">
        <f t="shared" si="5"/>
        <v>0</v>
      </c>
      <c r="E371" s="4" t="s">
        <v>1125</v>
      </c>
      <c r="F371" s="3" t="s">
        <v>2409</v>
      </c>
      <c r="G371" s="3" t="s">
        <v>2407</v>
      </c>
      <c r="H371" s="3" t="s">
        <v>163</v>
      </c>
      <c r="I371" s="3" t="s">
        <v>33</v>
      </c>
      <c r="J371" s="3" t="s">
        <v>60</v>
      </c>
      <c r="L371" s="1">
        <v>46043.676469907405</v>
      </c>
      <c r="M371" s="1">
        <v>46043.679039351853</v>
      </c>
      <c r="N371" s="1">
        <v>46046.708344907405</v>
      </c>
      <c r="O371" s="3" t="s">
        <v>162</v>
      </c>
      <c r="P371" s="3" t="s">
        <v>2410</v>
      </c>
      <c r="Q371" s="3" t="s">
        <v>35</v>
      </c>
      <c r="R371" s="3" t="s">
        <v>317</v>
      </c>
      <c r="S371" s="3" t="s">
        <v>82</v>
      </c>
      <c r="T371" s="3" t="s">
        <v>81</v>
      </c>
      <c r="U371" s="4" t="b">
        <v>1</v>
      </c>
      <c r="V371" s="3" t="s">
        <v>31</v>
      </c>
      <c r="W371" s="1"/>
      <c r="Y371" s="3" t="s">
        <v>32</v>
      </c>
      <c r="Z371" s="3" t="s">
        <v>32</v>
      </c>
      <c r="AA371" s="3"/>
      <c r="AB371" s="3"/>
      <c r="AC371" s="4" t="s">
        <v>30</v>
      </c>
      <c r="AD371" s="3"/>
      <c r="AE371" s="3" t="s">
        <v>2410</v>
      </c>
      <c r="AF371" s="4" t="s">
        <v>30</v>
      </c>
      <c r="AH371" s="4">
        <v>0</v>
      </c>
      <c r="AI371" s="3" t="s">
        <v>2408</v>
      </c>
      <c r="AJ371" s="4"/>
      <c r="AK371" s="4"/>
      <c r="AL371" s="3"/>
    </row>
    <row r="372" spans="1:38" x14ac:dyDescent="0.35">
      <c r="A372" s="3" t="s">
        <v>2412</v>
      </c>
      <c r="B372" s="4" t="s">
        <v>2417</v>
      </c>
      <c r="C372" s="4">
        <f>VLOOKUP(A372, [1]Planilha1!$A$3:$B$1015,2,FALSE)</f>
        <v>2854</v>
      </c>
      <c r="D372" s="4">
        <f t="shared" si="5"/>
        <v>0.7927777777777778</v>
      </c>
      <c r="E372" s="4" t="s">
        <v>1125</v>
      </c>
      <c r="F372" s="3" t="s">
        <v>2414</v>
      </c>
      <c r="G372" s="3" t="s">
        <v>44</v>
      </c>
      <c r="H372" s="3" t="s">
        <v>44</v>
      </c>
      <c r="I372" s="3" t="s">
        <v>33</v>
      </c>
      <c r="J372" s="3" t="s">
        <v>41</v>
      </c>
      <c r="L372" s="1">
        <v>46043.67050925926</v>
      </c>
      <c r="M372" s="1">
        <v>46043.675162037034</v>
      </c>
      <c r="N372" s="1">
        <v>46043.691678240742</v>
      </c>
      <c r="O372" s="3" t="s">
        <v>43</v>
      </c>
      <c r="P372" s="3" t="s">
        <v>2417</v>
      </c>
      <c r="Q372" s="3" t="s">
        <v>42</v>
      </c>
      <c r="R372" s="3" t="s">
        <v>2416</v>
      </c>
      <c r="S372" s="3" t="s">
        <v>96</v>
      </c>
      <c r="T372" s="3" t="s">
        <v>95</v>
      </c>
      <c r="U372" s="4" t="b">
        <v>1</v>
      </c>
      <c r="V372" s="3" t="s">
        <v>31</v>
      </c>
      <c r="W372" s="1"/>
      <c r="Y372" s="3" t="s">
        <v>32</v>
      </c>
      <c r="Z372" s="3" t="s">
        <v>32</v>
      </c>
      <c r="AA372" s="3"/>
      <c r="AB372" s="3"/>
      <c r="AC372" s="4" t="s">
        <v>30</v>
      </c>
      <c r="AD372" s="3"/>
      <c r="AE372" s="3" t="s">
        <v>2417</v>
      </c>
      <c r="AF372" s="4" t="s">
        <v>30</v>
      </c>
      <c r="AH372" s="4">
        <v>1</v>
      </c>
      <c r="AI372" s="3" t="s">
        <v>2413</v>
      </c>
      <c r="AJ372" s="4" t="s">
        <v>2415</v>
      </c>
      <c r="AK372" s="4"/>
      <c r="AL372" s="3"/>
    </row>
    <row r="373" spans="1:38" x14ac:dyDescent="0.35">
      <c r="A373" s="3" t="s">
        <v>2418</v>
      </c>
      <c r="B373" s="4" t="s">
        <v>58</v>
      </c>
      <c r="C373" s="4">
        <f>VLOOKUP(A373, [1]Planilha1!$A$3:$B$1015,2,FALSE)</f>
        <v>5424</v>
      </c>
      <c r="D373" s="4">
        <f t="shared" si="5"/>
        <v>1.5066666666666666</v>
      </c>
      <c r="E373" s="4" t="s">
        <v>1125</v>
      </c>
      <c r="F373" s="3" t="s">
        <v>54</v>
      </c>
      <c r="G373" s="3" t="s">
        <v>2419</v>
      </c>
      <c r="H373" s="3" t="s">
        <v>154</v>
      </c>
      <c r="I373" s="3" t="s">
        <v>33</v>
      </c>
      <c r="J373" s="3" t="s">
        <v>152</v>
      </c>
      <c r="L373" s="1">
        <v>46043.667361111111</v>
      </c>
      <c r="M373" s="1">
        <v>46043.673055555555</v>
      </c>
      <c r="N373" s="1">
        <v>46044.444745370369</v>
      </c>
      <c r="O373" s="3" t="s">
        <v>153</v>
      </c>
      <c r="P373" s="3" t="s">
        <v>57</v>
      </c>
      <c r="Q373" s="3" t="s">
        <v>52</v>
      </c>
      <c r="R373" s="3" t="s">
        <v>56</v>
      </c>
      <c r="S373" s="3" t="s">
        <v>64</v>
      </c>
      <c r="T373" s="3" t="s">
        <v>63</v>
      </c>
      <c r="U373" s="4" t="b">
        <v>0</v>
      </c>
      <c r="V373" s="3" t="s">
        <v>28</v>
      </c>
      <c r="W373" s="1"/>
      <c r="Y373" s="3" t="s">
        <v>29</v>
      </c>
      <c r="Z373" s="3" t="s">
        <v>29</v>
      </c>
      <c r="AA373" s="3" t="s">
        <v>2421</v>
      </c>
      <c r="AB373" s="3" t="s">
        <v>58</v>
      </c>
      <c r="AC373" s="4" t="s">
        <v>30</v>
      </c>
      <c r="AD373" s="3" t="s">
        <v>59</v>
      </c>
      <c r="AE373" s="3" t="s">
        <v>57</v>
      </c>
      <c r="AF373" s="4" t="s">
        <v>30</v>
      </c>
      <c r="AH373" s="4">
        <v>2</v>
      </c>
      <c r="AI373" s="3" t="s">
        <v>2420</v>
      </c>
      <c r="AJ373" s="4" t="s">
        <v>55</v>
      </c>
      <c r="AK373" s="4" t="s">
        <v>2422</v>
      </c>
      <c r="AL373" s="3"/>
    </row>
    <row r="374" spans="1:38" x14ac:dyDescent="0.35">
      <c r="A374" s="3" t="s">
        <v>2423</v>
      </c>
      <c r="B374" s="4" t="s">
        <v>2429</v>
      </c>
      <c r="C374" s="4">
        <f>VLOOKUP(A374, [1]Planilha1!$A$3:$B$1015,2,FALSE)</f>
        <v>0</v>
      </c>
      <c r="D374" s="4">
        <f t="shared" si="5"/>
        <v>0</v>
      </c>
      <c r="E374" s="4" t="s">
        <v>1125</v>
      </c>
      <c r="F374" s="3" t="s">
        <v>2426</v>
      </c>
      <c r="G374" s="3" t="s">
        <v>214</v>
      </c>
      <c r="H374" s="3" t="s">
        <v>44</v>
      </c>
      <c r="I374" s="3" t="s">
        <v>33</v>
      </c>
      <c r="J374" s="3" t="s">
        <v>60</v>
      </c>
      <c r="K374" s="3" t="s">
        <v>2425</v>
      </c>
      <c r="L374" s="1">
        <v>46043.666944444441</v>
      </c>
      <c r="M374" s="1">
        <v>46043.676423611112</v>
      </c>
      <c r="N374" s="1">
        <v>46046.708344907405</v>
      </c>
      <c r="O374" s="3" t="s">
        <v>43</v>
      </c>
      <c r="P374" s="3" t="s">
        <v>2429</v>
      </c>
      <c r="Q374" s="3" t="s">
        <v>35</v>
      </c>
      <c r="R374" s="3" t="s">
        <v>2428</v>
      </c>
      <c r="S374" s="3" t="s">
        <v>144</v>
      </c>
      <c r="T374" s="3" t="s">
        <v>143</v>
      </c>
      <c r="U374" s="4" t="b">
        <v>1</v>
      </c>
      <c r="V374" s="3" t="s">
        <v>31</v>
      </c>
      <c r="W374" s="1"/>
      <c r="Y374" s="3" t="s">
        <v>32</v>
      </c>
      <c r="Z374" s="3" t="s">
        <v>32</v>
      </c>
      <c r="AA374" s="3"/>
      <c r="AB374" s="3"/>
      <c r="AC374" s="4" t="s">
        <v>30</v>
      </c>
      <c r="AD374" s="3"/>
      <c r="AE374" s="3" t="s">
        <v>2429</v>
      </c>
      <c r="AF374" s="4" t="s">
        <v>30</v>
      </c>
      <c r="AH374" s="4">
        <v>0</v>
      </c>
      <c r="AI374" s="3" t="s">
        <v>2424</v>
      </c>
      <c r="AJ374" s="4" t="s">
        <v>2427</v>
      </c>
      <c r="AK374" s="4"/>
      <c r="AL374" s="3"/>
    </row>
    <row r="375" spans="1:38" x14ac:dyDescent="0.35">
      <c r="A375" s="3" t="s">
        <v>2430</v>
      </c>
      <c r="B375" s="4" t="s">
        <v>2433</v>
      </c>
      <c r="C375" s="4">
        <f>VLOOKUP(A375, [1]Planilha1!$A$3:$B$1015,2,FALSE)</f>
        <v>682</v>
      </c>
      <c r="D375" s="4">
        <f t="shared" si="5"/>
        <v>0.18944444444444444</v>
      </c>
      <c r="E375" s="4" t="s">
        <v>1125</v>
      </c>
      <c r="F375" s="3" t="s">
        <v>2432</v>
      </c>
      <c r="G375" s="3" t="s">
        <v>539</v>
      </c>
      <c r="H375" s="3" t="s">
        <v>44</v>
      </c>
      <c r="I375" s="3" t="s">
        <v>33</v>
      </c>
      <c r="J375" s="3" t="s">
        <v>60</v>
      </c>
      <c r="L375" s="1">
        <v>46043.663900462961</v>
      </c>
      <c r="M375" s="1">
        <v>46043.663900462961</v>
      </c>
      <c r="N375" s="1">
        <v>46046.708344907405</v>
      </c>
      <c r="O375" s="3" t="s">
        <v>43</v>
      </c>
      <c r="P375" s="3" t="s">
        <v>2433</v>
      </c>
      <c r="Q375" s="3" t="s">
        <v>35</v>
      </c>
      <c r="R375" s="3" t="s">
        <v>1963</v>
      </c>
      <c r="S375" s="3" t="s">
        <v>37</v>
      </c>
      <c r="T375" s="3" t="s">
        <v>36</v>
      </c>
      <c r="U375" s="4" t="b">
        <v>1</v>
      </c>
      <c r="V375" s="3" t="s">
        <v>28</v>
      </c>
      <c r="W375" s="1"/>
      <c r="Y375" s="3" t="s">
        <v>29</v>
      </c>
      <c r="Z375" s="3" t="s">
        <v>29</v>
      </c>
      <c r="AA375" s="3"/>
      <c r="AB375" s="3"/>
      <c r="AC375" s="4" t="s">
        <v>30</v>
      </c>
      <c r="AD375" s="3"/>
      <c r="AE375" s="3" t="s">
        <v>2433</v>
      </c>
      <c r="AF375" s="4" t="s">
        <v>30</v>
      </c>
      <c r="AH375" s="4">
        <v>0</v>
      </c>
      <c r="AI375" s="3" t="s">
        <v>2431</v>
      </c>
      <c r="AJ375" s="4" t="s">
        <v>5867</v>
      </c>
      <c r="AK375" s="4"/>
      <c r="AL375" s="3"/>
    </row>
    <row r="376" spans="1:38" x14ac:dyDescent="0.35">
      <c r="A376" s="3" t="s">
        <v>2434</v>
      </c>
      <c r="B376" s="4" t="s">
        <v>2439</v>
      </c>
      <c r="C376" s="4">
        <f>VLOOKUP(A376, [1]Planilha1!$A$3:$B$1015,2,FALSE)</f>
        <v>3722</v>
      </c>
      <c r="D376" s="4">
        <f t="shared" si="5"/>
        <v>1.0338888888888889</v>
      </c>
      <c r="E376" s="4" t="s">
        <v>1125</v>
      </c>
      <c r="F376" s="3" t="s">
        <v>2436</v>
      </c>
      <c r="G376" s="3" t="s">
        <v>74</v>
      </c>
      <c r="H376" s="3" t="s">
        <v>44</v>
      </c>
      <c r="I376" s="3" t="s">
        <v>33</v>
      </c>
      <c r="J376" s="3" t="s">
        <v>41</v>
      </c>
      <c r="L376" s="1">
        <v>46043.655949074076</v>
      </c>
      <c r="M376" s="1">
        <v>46043.65828703704</v>
      </c>
      <c r="N376" s="1">
        <v>46046.708344907405</v>
      </c>
      <c r="O376" s="3" t="s">
        <v>43</v>
      </c>
      <c r="P376" s="3" t="s">
        <v>2439</v>
      </c>
      <c r="Q376" s="3" t="s">
        <v>35</v>
      </c>
      <c r="R376" s="3" t="s">
        <v>2438</v>
      </c>
      <c r="S376" s="3" t="s">
        <v>80</v>
      </c>
      <c r="T376" s="3" t="s">
        <v>79</v>
      </c>
      <c r="U376" s="4" t="b">
        <v>1</v>
      </c>
      <c r="V376" s="3" t="s">
        <v>31</v>
      </c>
      <c r="W376" s="1"/>
      <c r="Y376" s="3" t="s">
        <v>32</v>
      </c>
      <c r="Z376" s="3" t="s">
        <v>32</v>
      </c>
      <c r="AA376" s="3"/>
      <c r="AB376" s="3"/>
      <c r="AC376" s="4" t="s">
        <v>30</v>
      </c>
      <c r="AD376" s="3"/>
      <c r="AE376" s="3" t="s">
        <v>2439</v>
      </c>
      <c r="AF376" s="4" t="s">
        <v>30</v>
      </c>
      <c r="AH376" s="4">
        <v>1</v>
      </c>
      <c r="AI376" s="3" t="s">
        <v>2435</v>
      </c>
      <c r="AJ376" s="4" t="s">
        <v>2437</v>
      </c>
      <c r="AK376" s="4"/>
      <c r="AL376" s="3"/>
    </row>
    <row r="377" spans="1:38" x14ac:dyDescent="0.35">
      <c r="A377" s="3" t="s">
        <v>2440</v>
      </c>
      <c r="B377" s="4" t="s">
        <v>1901</v>
      </c>
      <c r="C377" s="4">
        <f>VLOOKUP(A377, [1]Planilha1!$A$3:$B$1015,2,FALSE)</f>
        <v>3832</v>
      </c>
      <c r="D377" s="4">
        <f t="shared" si="5"/>
        <v>1.0644444444444445</v>
      </c>
      <c r="E377" s="4" t="s">
        <v>1125</v>
      </c>
      <c r="F377" s="3" t="s">
        <v>1898</v>
      </c>
      <c r="G377" s="3" t="s">
        <v>214</v>
      </c>
      <c r="H377" s="3" t="s">
        <v>44</v>
      </c>
      <c r="I377" s="3" t="s">
        <v>33</v>
      </c>
      <c r="J377" s="3" t="s">
        <v>41</v>
      </c>
      <c r="K377" s="3" t="s">
        <v>1897</v>
      </c>
      <c r="L377" s="1">
        <v>46043.649930555555</v>
      </c>
      <c r="M377" s="1">
        <v>46043.668611111112</v>
      </c>
      <c r="N377" s="1">
        <v>46043.690787037034</v>
      </c>
      <c r="O377" s="3" t="s">
        <v>43</v>
      </c>
      <c r="P377" s="3" t="s">
        <v>1901</v>
      </c>
      <c r="Q377" s="3" t="s">
        <v>42</v>
      </c>
      <c r="R377" s="3" t="s">
        <v>1900</v>
      </c>
      <c r="S377" s="3" t="s">
        <v>144</v>
      </c>
      <c r="T377" s="3" t="s">
        <v>143</v>
      </c>
      <c r="U377" s="4" t="b">
        <v>1</v>
      </c>
      <c r="V377" s="3" t="s">
        <v>31</v>
      </c>
      <c r="W377" s="1"/>
      <c r="Y377" s="3" t="s">
        <v>32</v>
      </c>
      <c r="Z377" s="3" t="s">
        <v>32</v>
      </c>
      <c r="AA377" s="3"/>
      <c r="AB377" s="3"/>
      <c r="AC377" s="4" t="s">
        <v>30</v>
      </c>
      <c r="AD377" s="3"/>
      <c r="AE377" s="3" t="s">
        <v>1901</v>
      </c>
      <c r="AF377" s="4" t="s">
        <v>30</v>
      </c>
      <c r="AH377" s="4">
        <v>1</v>
      </c>
      <c r="AI377" s="3" t="s">
        <v>2441</v>
      </c>
      <c r="AJ377" s="4" t="s">
        <v>1899</v>
      </c>
      <c r="AK377" s="4"/>
      <c r="AL377" s="3"/>
    </row>
    <row r="378" spans="1:38" x14ac:dyDescent="0.35">
      <c r="A378" s="3" t="s">
        <v>2442</v>
      </c>
      <c r="B378" s="4" t="s">
        <v>1652</v>
      </c>
      <c r="C378" s="4">
        <f>VLOOKUP(A378, [1]Planilha1!$A$3:$B$1015,2,FALSE)</f>
        <v>7066</v>
      </c>
      <c r="D378" s="4">
        <f t="shared" si="5"/>
        <v>1.9627777777777777</v>
      </c>
      <c r="E378" s="4" t="s">
        <v>1125</v>
      </c>
      <c r="F378" s="3" t="s">
        <v>1649</v>
      </c>
      <c r="G378" s="3" t="s">
        <v>74</v>
      </c>
      <c r="H378" s="3" t="s">
        <v>44</v>
      </c>
      <c r="I378" s="3" t="s">
        <v>33</v>
      </c>
      <c r="J378" s="3" t="s">
        <v>41</v>
      </c>
      <c r="L378" s="1">
        <v>46043.638761574075</v>
      </c>
      <c r="M378" s="1">
        <v>46043.649212962962</v>
      </c>
      <c r="N378" s="1">
        <v>46043.690104166664</v>
      </c>
      <c r="O378" s="3" t="s">
        <v>43</v>
      </c>
      <c r="P378" s="3" t="s">
        <v>1652</v>
      </c>
      <c r="Q378" s="3" t="s">
        <v>42</v>
      </c>
      <c r="R378" s="3" t="s">
        <v>1651</v>
      </c>
      <c r="S378" s="3" t="s">
        <v>80</v>
      </c>
      <c r="T378" s="3" t="s">
        <v>79</v>
      </c>
      <c r="U378" s="4" t="b">
        <v>1</v>
      </c>
      <c r="V378" s="3" t="s">
        <v>31</v>
      </c>
      <c r="W378" s="1"/>
      <c r="Y378" s="3" t="s">
        <v>32</v>
      </c>
      <c r="Z378" s="3" t="s">
        <v>32</v>
      </c>
      <c r="AA378" s="3"/>
      <c r="AB378" s="3"/>
      <c r="AC378" s="4" t="s">
        <v>30</v>
      </c>
      <c r="AD378" s="3"/>
      <c r="AE378" s="3" t="s">
        <v>1652</v>
      </c>
      <c r="AF378" s="4" t="s">
        <v>30</v>
      </c>
      <c r="AH378" s="4">
        <v>1</v>
      </c>
      <c r="AI378" s="3" t="s">
        <v>2443</v>
      </c>
      <c r="AJ378" s="4" t="s">
        <v>1650</v>
      </c>
      <c r="AK378" s="4"/>
      <c r="AL378" s="3"/>
    </row>
    <row r="379" spans="1:38" x14ac:dyDescent="0.35">
      <c r="A379" s="3" t="s">
        <v>2444</v>
      </c>
      <c r="B379" s="4" t="s">
        <v>1645</v>
      </c>
      <c r="C379" s="4">
        <f>VLOOKUP(A379, [1]Planilha1!$A$3:$B$1015,2,FALSE)</f>
        <v>6968</v>
      </c>
      <c r="D379" s="4">
        <f t="shared" si="5"/>
        <v>1.9355555555555555</v>
      </c>
      <c r="E379" s="4" t="s">
        <v>1125</v>
      </c>
      <c r="F379" s="3" t="s">
        <v>1642</v>
      </c>
      <c r="G379" s="3" t="s">
        <v>74</v>
      </c>
      <c r="H379" s="3" t="s">
        <v>44</v>
      </c>
      <c r="I379" s="3" t="s">
        <v>33</v>
      </c>
      <c r="J379" s="3" t="s">
        <v>41</v>
      </c>
      <c r="L379" s="1">
        <v>46043.638402777775</v>
      </c>
      <c r="M379" s="1">
        <v>46043.649178240739</v>
      </c>
      <c r="N379" s="1">
        <v>46043.689502314817</v>
      </c>
      <c r="O379" s="3" t="s">
        <v>43</v>
      </c>
      <c r="P379" s="3" t="s">
        <v>1645</v>
      </c>
      <c r="Q379" s="3" t="s">
        <v>42</v>
      </c>
      <c r="R379" s="3" t="s">
        <v>1644</v>
      </c>
      <c r="S379" s="3" t="s">
        <v>80</v>
      </c>
      <c r="T379" s="3" t="s">
        <v>79</v>
      </c>
      <c r="U379" s="4" t="b">
        <v>1</v>
      </c>
      <c r="V379" s="3" t="s">
        <v>31</v>
      </c>
      <c r="W379" s="1"/>
      <c r="Y379" s="3" t="s">
        <v>32</v>
      </c>
      <c r="Z379" s="3" t="s">
        <v>32</v>
      </c>
      <c r="AA379" s="3"/>
      <c r="AB379" s="3"/>
      <c r="AC379" s="4" t="s">
        <v>30</v>
      </c>
      <c r="AD379" s="3"/>
      <c r="AE379" s="3" t="s">
        <v>1645</v>
      </c>
      <c r="AF379" s="4" t="s">
        <v>30</v>
      </c>
      <c r="AH379" s="4">
        <v>1</v>
      </c>
      <c r="AI379" s="3" t="s">
        <v>2445</v>
      </c>
      <c r="AJ379" s="4" t="s">
        <v>1643</v>
      </c>
      <c r="AK379" s="4"/>
      <c r="AL379" s="3"/>
    </row>
    <row r="380" spans="1:38" x14ac:dyDescent="0.35">
      <c r="A380" s="3" t="s">
        <v>2446</v>
      </c>
      <c r="B380" s="4" t="s">
        <v>2452</v>
      </c>
      <c r="C380" s="4">
        <f>VLOOKUP(A380, [1]Planilha1!$A$3:$B$1015,2,FALSE)</f>
        <v>0</v>
      </c>
      <c r="D380" s="4">
        <f t="shared" si="5"/>
        <v>0</v>
      </c>
      <c r="E380" s="4" t="s">
        <v>1125</v>
      </c>
      <c r="F380" s="3" t="s">
        <v>2449</v>
      </c>
      <c r="G380" s="3" t="s">
        <v>1561</v>
      </c>
      <c r="H380" s="3" t="s">
        <v>1565</v>
      </c>
      <c r="I380" s="3" t="s">
        <v>33</v>
      </c>
      <c r="J380" s="3" t="s">
        <v>60</v>
      </c>
      <c r="K380" s="3" t="s">
        <v>2448</v>
      </c>
      <c r="L380" s="1">
        <v>46043.634432870371</v>
      </c>
      <c r="M380" s="1">
        <v>46043.649861111109</v>
      </c>
      <c r="N380" s="1">
        <v>46046.666666666664</v>
      </c>
      <c r="O380" s="3" t="s">
        <v>1564</v>
      </c>
      <c r="P380" s="3" t="s">
        <v>2452</v>
      </c>
      <c r="Q380" s="3" t="s">
        <v>35</v>
      </c>
      <c r="R380" s="3" t="s">
        <v>2451</v>
      </c>
      <c r="S380" s="3" t="s">
        <v>144</v>
      </c>
      <c r="T380" s="3" t="s">
        <v>143</v>
      </c>
      <c r="U380" s="4" t="b">
        <v>1</v>
      </c>
      <c r="V380" s="3" t="s">
        <v>31</v>
      </c>
      <c r="W380" s="1"/>
      <c r="Y380" s="3" t="s">
        <v>32</v>
      </c>
      <c r="Z380" s="3" t="s">
        <v>32</v>
      </c>
      <c r="AA380" s="3"/>
      <c r="AB380" s="3"/>
      <c r="AC380" s="4" t="s">
        <v>30</v>
      </c>
      <c r="AD380" s="3"/>
      <c r="AE380" s="3" t="s">
        <v>2452</v>
      </c>
      <c r="AF380" s="4" t="s">
        <v>30</v>
      </c>
      <c r="AH380" s="4">
        <v>0</v>
      </c>
      <c r="AI380" s="3" t="s">
        <v>2447</v>
      </c>
      <c r="AJ380" s="4" t="s">
        <v>2450</v>
      </c>
      <c r="AK380" s="4"/>
      <c r="AL380" s="3"/>
    </row>
    <row r="381" spans="1:38" x14ac:dyDescent="0.35">
      <c r="A381" s="3" t="s">
        <v>2453</v>
      </c>
      <c r="B381" s="4" t="s">
        <v>748</v>
      </c>
      <c r="C381" s="4">
        <f>VLOOKUP(A381, [1]Planilha1!$A$3:$B$1015,2,FALSE)</f>
        <v>11564</v>
      </c>
      <c r="D381" s="4">
        <f t="shared" si="5"/>
        <v>3.2122222222222221</v>
      </c>
      <c r="E381" s="4" t="s">
        <v>1125</v>
      </c>
      <c r="F381" s="3" t="s">
        <v>746</v>
      </c>
      <c r="G381" s="3" t="s">
        <v>74</v>
      </c>
      <c r="H381" s="3" t="s">
        <v>44</v>
      </c>
      <c r="I381" s="3" t="s">
        <v>33</v>
      </c>
      <c r="J381" s="3" t="s">
        <v>41</v>
      </c>
      <c r="L381" s="1">
        <v>46043.620729166665</v>
      </c>
      <c r="M381" s="1">
        <v>46043.622037037036</v>
      </c>
      <c r="N381" s="1">
        <v>46043.688958333332</v>
      </c>
      <c r="O381" s="3" t="s">
        <v>43</v>
      </c>
      <c r="P381" s="3" t="s">
        <v>748</v>
      </c>
      <c r="Q381" s="3" t="s">
        <v>42</v>
      </c>
      <c r="R381" s="3" t="s">
        <v>747</v>
      </c>
      <c r="S381" s="3" t="s">
        <v>80</v>
      </c>
      <c r="T381" s="3" t="s">
        <v>79</v>
      </c>
      <c r="U381" s="4" t="b">
        <v>1</v>
      </c>
      <c r="V381" s="3" t="s">
        <v>31</v>
      </c>
      <c r="W381" s="1"/>
      <c r="Y381" s="3" t="s">
        <v>32</v>
      </c>
      <c r="Z381" s="3" t="s">
        <v>32</v>
      </c>
      <c r="AA381" s="3"/>
      <c r="AB381" s="3"/>
      <c r="AC381" s="4" t="s">
        <v>30</v>
      </c>
      <c r="AD381" s="3"/>
      <c r="AE381" s="3" t="s">
        <v>748</v>
      </c>
      <c r="AF381" s="4" t="s">
        <v>30</v>
      </c>
      <c r="AH381" s="4">
        <v>1</v>
      </c>
      <c r="AI381" s="3" t="s">
        <v>2454</v>
      </c>
      <c r="AJ381" s="4"/>
      <c r="AK381" s="4"/>
      <c r="AL381" s="3"/>
    </row>
    <row r="382" spans="1:38" x14ac:dyDescent="0.35">
      <c r="A382" s="3" t="s">
        <v>2455</v>
      </c>
      <c r="B382" s="4"/>
      <c r="C382" s="4">
        <f>VLOOKUP(A382, [1]Planilha1!$A$3:$B$1015,2,FALSE)</f>
        <v>2695</v>
      </c>
      <c r="D382" s="4">
        <f t="shared" si="5"/>
        <v>0.74861111111111112</v>
      </c>
      <c r="E382" s="4" t="s">
        <v>1125</v>
      </c>
      <c r="F382" s="3" t="s">
        <v>2459</v>
      </c>
      <c r="G382" s="3" t="s">
        <v>2456</v>
      </c>
      <c r="H382" s="3" t="s">
        <v>126</v>
      </c>
      <c r="I382" s="3" t="s">
        <v>33</v>
      </c>
      <c r="J382" s="3" t="s">
        <v>34</v>
      </c>
      <c r="K382" s="3" t="s">
        <v>2458</v>
      </c>
      <c r="L382" s="1">
        <v>46043.620023148149</v>
      </c>
      <c r="M382" s="1">
        <v>46043.629386574074</v>
      </c>
      <c r="N382" s="1">
        <v>46046.666666666664</v>
      </c>
      <c r="O382" s="3" t="s">
        <v>125</v>
      </c>
      <c r="Q382" s="3" t="s">
        <v>35</v>
      </c>
      <c r="R382" s="3" t="s">
        <v>2461</v>
      </c>
      <c r="S382" s="3" t="s">
        <v>120</v>
      </c>
      <c r="T382" s="3" t="s">
        <v>119</v>
      </c>
      <c r="U382" s="4" t="b">
        <v>1</v>
      </c>
      <c r="V382" s="3" t="s">
        <v>31</v>
      </c>
      <c r="W382" s="1"/>
      <c r="Y382" s="3" t="s">
        <v>32</v>
      </c>
      <c r="Z382" s="3" t="s">
        <v>32</v>
      </c>
      <c r="AA382" s="3"/>
      <c r="AB382" s="3"/>
      <c r="AC382" s="4" t="s">
        <v>30</v>
      </c>
      <c r="AD382" s="3"/>
      <c r="AE382" s="3"/>
      <c r="AF382" s="4" t="s">
        <v>30</v>
      </c>
      <c r="AH382" s="4">
        <v>1</v>
      </c>
      <c r="AI382" s="3" t="s">
        <v>2457</v>
      </c>
      <c r="AJ382" s="4" t="s">
        <v>2460</v>
      </c>
      <c r="AK382" s="4"/>
      <c r="AL382" s="3"/>
    </row>
    <row r="383" spans="1:38" x14ac:dyDescent="0.35">
      <c r="A383" s="3" t="s">
        <v>2467</v>
      </c>
      <c r="B383" s="4" t="s">
        <v>2452</v>
      </c>
      <c r="C383" s="4">
        <f>VLOOKUP(A383, [1]Planilha1!$A$3:$B$1015,2,FALSE)</f>
        <v>1704802</v>
      </c>
      <c r="D383" s="4">
        <f t="shared" si="5"/>
        <v>473.55611111111114</v>
      </c>
      <c r="E383" s="4" t="s">
        <v>1125</v>
      </c>
      <c r="F383" s="3" t="s">
        <v>2449</v>
      </c>
      <c r="G383" s="3" t="s">
        <v>743</v>
      </c>
      <c r="H383" s="3" t="s">
        <v>722</v>
      </c>
      <c r="I383" s="3" t="s">
        <v>65</v>
      </c>
      <c r="J383" s="3" t="s">
        <v>459</v>
      </c>
      <c r="L383" s="1">
        <v>46043.617303240739</v>
      </c>
      <c r="M383" s="1">
        <v>46043.617303240739</v>
      </c>
      <c r="N383" s="1"/>
      <c r="O383" s="3" t="s">
        <v>745</v>
      </c>
      <c r="P383" s="3" t="s">
        <v>2452</v>
      </c>
      <c r="R383" s="3" t="s">
        <v>2451</v>
      </c>
      <c r="S383" s="3" t="s">
        <v>37</v>
      </c>
      <c r="T383" s="3" t="s">
        <v>36</v>
      </c>
      <c r="U383" s="4" t="b">
        <v>0</v>
      </c>
      <c r="V383" s="3" t="s">
        <v>28</v>
      </c>
      <c r="W383" s="1"/>
      <c r="Y383" s="3" t="s">
        <v>29</v>
      </c>
      <c r="Z383" s="3" t="s">
        <v>29</v>
      </c>
      <c r="AA383" s="3"/>
      <c r="AB383" s="3"/>
      <c r="AC383" s="4" t="s">
        <v>30</v>
      </c>
      <c r="AD383" s="3"/>
      <c r="AE383" s="3" t="s">
        <v>2452</v>
      </c>
      <c r="AF383" s="4" t="s">
        <v>30</v>
      </c>
      <c r="AH383" s="4">
        <v>0</v>
      </c>
      <c r="AI383" s="3" t="s">
        <v>2468</v>
      </c>
      <c r="AJ383" s="4" t="s">
        <v>2450</v>
      </c>
      <c r="AK383" s="4"/>
      <c r="AL383" s="3"/>
    </row>
    <row r="384" spans="1:38" x14ac:dyDescent="0.35">
      <c r="A384" s="3" t="s">
        <v>2470</v>
      </c>
      <c r="B384" s="4" t="s">
        <v>2474</v>
      </c>
      <c r="C384" s="4">
        <f>VLOOKUP(A384, [1]Planilha1!$A$3:$B$1015,2,FALSE)</f>
        <v>0</v>
      </c>
      <c r="D384" s="4">
        <f t="shared" si="5"/>
        <v>0</v>
      </c>
      <c r="E384" s="4" t="s">
        <v>1125</v>
      </c>
      <c r="F384" s="3" t="s">
        <v>2469</v>
      </c>
      <c r="G384" s="3" t="s">
        <v>134</v>
      </c>
      <c r="H384" s="3" t="s">
        <v>138</v>
      </c>
      <c r="I384" s="3" t="s">
        <v>33</v>
      </c>
      <c r="J384" s="3" t="s">
        <v>60</v>
      </c>
      <c r="K384" s="3" t="s">
        <v>2472</v>
      </c>
      <c r="L384" s="1">
        <v>46043.612696759257</v>
      </c>
      <c r="M384" s="1">
        <v>46043.632777777777</v>
      </c>
      <c r="N384" s="1">
        <v>46046.666666666664</v>
      </c>
      <c r="O384" s="3" t="s">
        <v>137</v>
      </c>
      <c r="P384" s="3" t="s">
        <v>2474</v>
      </c>
      <c r="Q384" s="3" t="s">
        <v>35</v>
      </c>
      <c r="R384" s="3" t="s">
        <v>2473</v>
      </c>
      <c r="S384" s="3" t="s">
        <v>144</v>
      </c>
      <c r="T384" s="3" t="s">
        <v>143</v>
      </c>
      <c r="U384" s="4" t="b">
        <v>1</v>
      </c>
      <c r="V384" s="3" t="s">
        <v>31</v>
      </c>
      <c r="W384" s="1"/>
      <c r="Y384" s="3" t="s">
        <v>32</v>
      </c>
      <c r="Z384" s="3" t="s">
        <v>32</v>
      </c>
      <c r="AA384" s="3"/>
      <c r="AB384" s="3"/>
      <c r="AC384" s="4" t="s">
        <v>30</v>
      </c>
      <c r="AD384" s="3"/>
      <c r="AE384" s="3" t="s">
        <v>2474</v>
      </c>
      <c r="AF384" s="4" t="s">
        <v>30</v>
      </c>
      <c r="AH384" s="4">
        <v>0</v>
      </c>
      <c r="AI384" s="3" t="s">
        <v>2471</v>
      </c>
      <c r="AJ384" s="4" t="s">
        <v>5868</v>
      </c>
      <c r="AK384" s="4"/>
      <c r="AL384" s="3"/>
    </row>
    <row r="385" spans="1:38" x14ac:dyDescent="0.35">
      <c r="A385" s="3" t="s">
        <v>2475</v>
      </c>
      <c r="B385" s="4" t="s">
        <v>2482</v>
      </c>
      <c r="C385" s="4">
        <f>VLOOKUP(A385, [1]Planilha1!$A$3:$B$1015,2,FALSE)</f>
        <v>11563</v>
      </c>
      <c r="D385" s="4">
        <f t="shared" si="5"/>
        <v>3.2119444444444443</v>
      </c>
      <c r="E385" s="4" t="s">
        <v>1125</v>
      </c>
      <c r="F385" s="3" t="s">
        <v>2479</v>
      </c>
      <c r="G385" s="3" t="s">
        <v>2476</v>
      </c>
      <c r="H385" s="3" t="s">
        <v>126</v>
      </c>
      <c r="I385" s="3" t="s">
        <v>33</v>
      </c>
      <c r="J385" s="3" t="s">
        <v>41</v>
      </c>
      <c r="K385" s="3" t="s">
        <v>2478</v>
      </c>
      <c r="L385" s="1">
        <v>46043.611886574072</v>
      </c>
      <c r="M385" s="1">
        <v>46043.616678240738</v>
      </c>
      <c r="N385" s="1">
        <v>46043.688344907408</v>
      </c>
      <c r="O385" s="3" t="s">
        <v>125</v>
      </c>
      <c r="P385" s="3" t="s">
        <v>2482</v>
      </c>
      <c r="Q385" s="3" t="s">
        <v>42</v>
      </c>
      <c r="R385" s="3" t="s">
        <v>2481</v>
      </c>
      <c r="S385" s="3" t="s">
        <v>339</v>
      </c>
      <c r="T385" s="3" t="s">
        <v>338</v>
      </c>
      <c r="U385" s="4" t="b">
        <v>1</v>
      </c>
      <c r="V385" s="3" t="s">
        <v>31</v>
      </c>
      <c r="W385" s="1"/>
      <c r="Y385" s="3" t="s">
        <v>32</v>
      </c>
      <c r="Z385" s="3" t="s">
        <v>32</v>
      </c>
      <c r="AA385" s="3"/>
      <c r="AB385" s="3"/>
      <c r="AC385" s="4" t="s">
        <v>30</v>
      </c>
      <c r="AD385" s="3"/>
      <c r="AE385" s="3" t="s">
        <v>2482</v>
      </c>
      <c r="AF385" s="4" t="s">
        <v>30</v>
      </c>
      <c r="AH385" s="4">
        <v>6</v>
      </c>
      <c r="AI385" s="3" t="s">
        <v>2477</v>
      </c>
      <c r="AJ385" s="4" t="s">
        <v>2480</v>
      </c>
      <c r="AK385" s="4"/>
      <c r="AL385" s="3"/>
    </row>
    <row r="386" spans="1:38" x14ac:dyDescent="0.35">
      <c r="A386" s="3" t="s">
        <v>2483</v>
      </c>
      <c r="B386" s="4" t="s">
        <v>2489</v>
      </c>
      <c r="C386" s="4">
        <f>VLOOKUP(A386, [1]Planilha1!$A$3:$B$1015,2,FALSE)</f>
        <v>0</v>
      </c>
      <c r="D386" s="4">
        <f t="shared" si="5"/>
        <v>0</v>
      </c>
      <c r="E386" s="4" t="s">
        <v>1125</v>
      </c>
      <c r="F386" s="3" t="s">
        <v>2486</v>
      </c>
      <c r="G386" s="3" t="s">
        <v>214</v>
      </c>
      <c r="H386" s="3" t="s">
        <v>44</v>
      </c>
      <c r="I386" s="3" t="s">
        <v>33</v>
      </c>
      <c r="J386" s="3" t="s">
        <v>60</v>
      </c>
      <c r="K386" s="3" t="s">
        <v>2485</v>
      </c>
      <c r="L386" s="1">
        <v>46043.596238425926</v>
      </c>
      <c r="M386" s="1">
        <v>46043.612060185187</v>
      </c>
      <c r="N386" s="1">
        <v>46046.625011574077</v>
      </c>
      <c r="O386" s="3" t="s">
        <v>43</v>
      </c>
      <c r="P386" s="3" t="s">
        <v>2489</v>
      </c>
      <c r="Q386" s="3" t="s">
        <v>35</v>
      </c>
      <c r="R386" s="3" t="s">
        <v>2488</v>
      </c>
      <c r="S386" s="3" t="s">
        <v>144</v>
      </c>
      <c r="T386" s="3" t="s">
        <v>143</v>
      </c>
      <c r="U386" s="4" t="b">
        <v>1</v>
      </c>
      <c r="V386" s="3" t="s">
        <v>31</v>
      </c>
      <c r="W386" s="1"/>
      <c r="Y386" s="3" t="s">
        <v>32</v>
      </c>
      <c r="Z386" s="3" t="s">
        <v>32</v>
      </c>
      <c r="AA386" s="3"/>
      <c r="AB386" s="3"/>
      <c r="AC386" s="4" t="s">
        <v>30</v>
      </c>
      <c r="AD386" s="3"/>
      <c r="AE386" s="3" t="s">
        <v>2489</v>
      </c>
      <c r="AF386" s="4" t="s">
        <v>30</v>
      </c>
      <c r="AH386" s="4">
        <v>0</v>
      </c>
      <c r="AI386" s="3" t="s">
        <v>2484</v>
      </c>
      <c r="AJ386" s="4" t="s">
        <v>2487</v>
      </c>
      <c r="AK386" s="4"/>
      <c r="AL386" s="3"/>
    </row>
    <row r="387" spans="1:38" x14ac:dyDescent="0.35">
      <c r="A387" s="3" t="s">
        <v>2490</v>
      </c>
      <c r="B387" s="4" t="s">
        <v>2495</v>
      </c>
      <c r="C387" s="4">
        <f>VLOOKUP(A387, [1]Planilha1!$A$3:$B$1015,2,FALSE)</f>
        <v>26910</v>
      </c>
      <c r="D387" s="4">
        <f t="shared" ref="D387:D450" si="6">C387/3600</f>
        <v>7.4749999999999996</v>
      </c>
      <c r="E387" s="4" t="s">
        <v>1125</v>
      </c>
      <c r="F387" s="3" t="s">
        <v>2493</v>
      </c>
      <c r="G387" s="3" t="s">
        <v>2491</v>
      </c>
      <c r="H387" s="3" t="s">
        <v>171</v>
      </c>
      <c r="I387" s="3" t="s">
        <v>33</v>
      </c>
      <c r="J387" s="3" t="s">
        <v>41</v>
      </c>
      <c r="K387" s="3" t="s">
        <v>818</v>
      </c>
      <c r="L387" s="1">
        <v>46043.59547453704</v>
      </c>
      <c r="M387" s="1">
        <v>46043.59547453704</v>
      </c>
      <c r="N387" s="1">
        <v>46043.699293981481</v>
      </c>
      <c r="O387" s="3" t="s">
        <v>170</v>
      </c>
      <c r="P387" s="3" t="s">
        <v>2495</v>
      </c>
      <c r="Q387" s="3" t="s">
        <v>35</v>
      </c>
      <c r="R387" s="3" t="s">
        <v>2494</v>
      </c>
      <c r="S387" s="3" t="s">
        <v>37</v>
      </c>
      <c r="T387" s="3" t="s">
        <v>36</v>
      </c>
      <c r="U387" s="4" t="b">
        <v>1</v>
      </c>
      <c r="V387" s="3" t="s">
        <v>28</v>
      </c>
      <c r="W387" s="1"/>
      <c r="Y387" s="3" t="s">
        <v>29</v>
      </c>
      <c r="Z387" s="3" t="s">
        <v>29</v>
      </c>
      <c r="AA387" s="3"/>
      <c r="AB387" s="3"/>
      <c r="AC387" s="4" t="s">
        <v>30</v>
      </c>
      <c r="AD387" s="3"/>
      <c r="AE387" s="3" t="s">
        <v>2495</v>
      </c>
      <c r="AF387" s="4" t="s">
        <v>30</v>
      </c>
      <c r="AH387" s="4">
        <v>1</v>
      </c>
      <c r="AI387" s="3" t="s">
        <v>2492</v>
      </c>
      <c r="AJ387" s="4"/>
      <c r="AK387" s="4"/>
      <c r="AL387" s="3"/>
    </row>
    <row r="388" spans="1:38" x14ac:dyDescent="0.35">
      <c r="A388" s="3" t="s">
        <v>2496</v>
      </c>
      <c r="B388" s="4" t="s">
        <v>2500</v>
      </c>
      <c r="C388" s="4">
        <f>VLOOKUP(A388, [1]Planilha1!$A$3:$B$1015,2,FALSE)</f>
        <v>5916</v>
      </c>
      <c r="D388" s="4">
        <f t="shared" si="6"/>
        <v>1.6433333333333333</v>
      </c>
      <c r="E388" s="4" t="s">
        <v>1125</v>
      </c>
      <c r="F388" s="3" t="s">
        <v>2498</v>
      </c>
      <c r="G388" s="3" t="s">
        <v>74</v>
      </c>
      <c r="H388" s="3" t="s">
        <v>44</v>
      </c>
      <c r="I388" s="3" t="s">
        <v>33</v>
      </c>
      <c r="J388" s="3" t="s">
        <v>41</v>
      </c>
      <c r="L388" s="1">
        <v>46043.580416666664</v>
      </c>
      <c r="M388" s="1">
        <v>46043.584467592591</v>
      </c>
      <c r="N388" s="1">
        <v>46043.618703703702</v>
      </c>
      <c r="O388" s="3" t="s">
        <v>43</v>
      </c>
      <c r="P388" s="3" t="s">
        <v>2500</v>
      </c>
      <c r="Q388" s="3" t="s">
        <v>42</v>
      </c>
      <c r="R388" s="3" t="s">
        <v>2499</v>
      </c>
      <c r="S388" s="3" t="s">
        <v>80</v>
      </c>
      <c r="T388" s="3" t="s">
        <v>79</v>
      </c>
      <c r="U388" s="4" t="b">
        <v>1</v>
      </c>
      <c r="V388" s="3" t="s">
        <v>31</v>
      </c>
      <c r="W388" s="1"/>
      <c r="Y388" s="3" t="s">
        <v>32</v>
      </c>
      <c r="Z388" s="3" t="s">
        <v>32</v>
      </c>
      <c r="AA388" s="3"/>
      <c r="AB388" s="3"/>
      <c r="AC388" s="4" t="s">
        <v>30</v>
      </c>
      <c r="AD388" s="3"/>
      <c r="AE388" s="3" t="s">
        <v>2500</v>
      </c>
      <c r="AF388" s="4" t="s">
        <v>30</v>
      </c>
      <c r="AH388" s="4">
        <v>1</v>
      </c>
      <c r="AI388" s="3" t="s">
        <v>2497</v>
      </c>
      <c r="AJ388" s="4"/>
      <c r="AK388" s="4"/>
      <c r="AL388" s="3"/>
    </row>
    <row r="389" spans="1:38" x14ac:dyDescent="0.35">
      <c r="A389" s="3" t="s">
        <v>2501</v>
      </c>
      <c r="B389" s="4" t="s">
        <v>2505</v>
      </c>
      <c r="C389" s="4">
        <f>VLOOKUP(A389, [1]Planilha1!$A$3:$B$1015,2,FALSE)</f>
        <v>6256</v>
      </c>
      <c r="D389" s="4">
        <f t="shared" si="6"/>
        <v>1.7377777777777779</v>
      </c>
      <c r="E389" s="4" t="s">
        <v>1125</v>
      </c>
      <c r="F389" s="3" t="s">
        <v>2503</v>
      </c>
      <c r="G389" s="3" t="s">
        <v>74</v>
      </c>
      <c r="H389" s="3" t="s">
        <v>44</v>
      </c>
      <c r="I389" s="3" t="s">
        <v>33</v>
      </c>
      <c r="J389" s="3" t="s">
        <v>41</v>
      </c>
      <c r="L389" s="1">
        <v>46043.580266203702</v>
      </c>
      <c r="M389" s="1">
        <v>46043.583425925928</v>
      </c>
      <c r="N389" s="1">
        <v>46043.619629629633</v>
      </c>
      <c r="O389" s="3" t="s">
        <v>43</v>
      </c>
      <c r="P389" s="3" t="s">
        <v>2505</v>
      </c>
      <c r="Q389" s="3" t="s">
        <v>42</v>
      </c>
      <c r="R389" s="3" t="s">
        <v>2504</v>
      </c>
      <c r="S389" s="3" t="s">
        <v>80</v>
      </c>
      <c r="T389" s="3" t="s">
        <v>79</v>
      </c>
      <c r="U389" s="4" t="b">
        <v>1</v>
      </c>
      <c r="V389" s="3" t="s">
        <v>31</v>
      </c>
      <c r="W389" s="1"/>
      <c r="Y389" s="3" t="s">
        <v>32</v>
      </c>
      <c r="Z389" s="3" t="s">
        <v>32</v>
      </c>
      <c r="AA389" s="3"/>
      <c r="AB389" s="3"/>
      <c r="AC389" s="4" t="s">
        <v>30</v>
      </c>
      <c r="AD389" s="3"/>
      <c r="AE389" s="3" t="s">
        <v>2505</v>
      </c>
      <c r="AF389" s="4" t="s">
        <v>30</v>
      </c>
      <c r="AH389" s="4">
        <v>1</v>
      </c>
      <c r="AI389" s="3" t="s">
        <v>2502</v>
      </c>
      <c r="AJ389" s="4" t="s">
        <v>5869</v>
      </c>
      <c r="AK389" s="4"/>
      <c r="AL389" s="3"/>
    </row>
    <row r="390" spans="1:38" x14ac:dyDescent="0.35">
      <c r="A390" s="3" t="s">
        <v>2506</v>
      </c>
      <c r="B390" s="4" t="s">
        <v>2510</v>
      </c>
      <c r="C390" s="4">
        <f>VLOOKUP(A390, [1]Planilha1!$A$3:$B$1015,2,FALSE)</f>
        <v>6518</v>
      </c>
      <c r="D390" s="4">
        <f t="shared" si="6"/>
        <v>1.8105555555555555</v>
      </c>
      <c r="E390" s="4" t="s">
        <v>1125</v>
      </c>
      <c r="F390" s="3" t="s">
        <v>2508</v>
      </c>
      <c r="G390" s="3" t="s">
        <v>74</v>
      </c>
      <c r="H390" s="3" t="s">
        <v>44</v>
      </c>
      <c r="I390" s="3" t="s">
        <v>33</v>
      </c>
      <c r="J390" s="3" t="s">
        <v>41</v>
      </c>
      <c r="L390" s="1">
        <v>46043.579930555556</v>
      </c>
      <c r="M390" s="1">
        <v>46043.582465277781</v>
      </c>
      <c r="N390" s="1">
        <v>46043.620185185187</v>
      </c>
      <c r="O390" s="3" t="s">
        <v>43</v>
      </c>
      <c r="P390" s="3" t="s">
        <v>2510</v>
      </c>
      <c r="Q390" s="3" t="s">
        <v>42</v>
      </c>
      <c r="R390" s="3" t="s">
        <v>2509</v>
      </c>
      <c r="S390" s="3" t="s">
        <v>80</v>
      </c>
      <c r="T390" s="3" t="s">
        <v>79</v>
      </c>
      <c r="U390" s="4" t="b">
        <v>1</v>
      </c>
      <c r="V390" s="3" t="s">
        <v>31</v>
      </c>
      <c r="W390" s="1"/>
      <c r="Y390" s="3" t="s">
        <v>32</v>
      </c>
      <c r="Z390" s="3" t="s">
        <v>32</v>
      </c>
      <c r="AA390" s="3"/>
      <c r="AB390" s="3"/>
      <c r="AC390" s="4" t="s">
        <v>30</v>
      </c>
      <c r="AD390" s="3"/>
      <c r="AE390" s="3" t="s">
        <v>2510</v>
      </c>
      <c r="AF390" s="4" t="s">
        <v>30</v>
      </c>
      <c r="AH390" s="4">
        <v>1</v>
      </c>
      <c r="AI390" s="3" t="s">
        <v>2507</v>
      </c>
      <c r="AJ390" s="4" t="s">
        <v>5870</v>
      </c>
      <c r="AK390" s="4"/>
      <c r="AL390" s="3"/>
    </row>
    <row r="391" spans="1:38" x14ac:dyDescent="0.35">
      <c r="A391" s="3" t="s">
        <v>2511</v>
      </c>
      <c r="B391" s="4" t="s">
        <v>2510</v>
      </c>
      <c r="C391" s="4">
        <f>VLOOKUP(A391, [1]Planilha1!$A$3:$B$1015,2,FALSE)</f>
        <v>8201</v>
      </c>
      <c r="D391" s="4">
        <f t="shared" si="6"/>
        <v>2.2780555555555555</v>
      </c>
      <c r="E391" s="4" t="s">
        <v>1125</v>
      </c>
      <c r="F391" s="3" t="s">
        <v>2514</v>
      </c>
      <c r="G391" s="3" t="s">
        <v>100</v>
      </c>
      <c r="H391" s="3" t="s">
        <v>44</v>
      </c>
      <c r="I391" s="3" t="s">
        <v>33</v>
      </c>
      <c r="J391" s="3" t="s">
        <v>41</v>
      </c>
      <c r="K391" s="3" t="s">
        <v>2513</v>
      </c>
      <c r="L391" s="1">
        <v>46043.576863425929</v>
      </c>
      <c r="M391" s="1">
        <v>46043.581493055557</v>
      </c>
      <c r="N391" s="1">
        <v>46043.621458333335</v>
      </c>
      <c r="O391" s="3" t="s">
        <v>43</v>
      </c>
      <c r="P391" s="3" t="s">
        <v>2510</v>
      </c>
      <c r="Q391" s="3" t="s">
        <v>42</v>
      </c>
      <c r="R391" s="3" t="s">
        <v>2515</v>
      </c>
      <c r="S391" s="3" t="s">
        <v>98</v>
      </c>
      <c r="T391" s="3" t="s">
        <v>97</v>
      </c>
      <c r="U391" s="4" t="b">
        <v>1</v>
      </c>
      <c r="V391" s="3" t="s">
        <v>31</v>
      </c>
      <c r="W391" s="1"/>
      <c r="Y391" s="3" t="s">
        <v>32</v>
      </c>
      <c r="Z391" s="3" t="s">
        <v>32</v>
      </c>
      <c r="AA391" s="3"/>
      <c r="AB391" s="3"/>
      <c r="AC391" s="4" t="s">
        <v>30</v>
      </c>
      <c r="AD391" s="3"/>
      <c r="AE391" s="3" t="s">
        <v>2510</v>
      </c>
      <c r="AF391" s="4" t="s">
        <v>30</v>
      </c>
      <c r="AH391" s="4">
        <v>1</v>
      </c>
      <c r="AI391" s="3" t="s">
        <v>2512</v>
      </c>
      <c r="AJ391" s="4" t="s">
        <v>5871</v>
      </c>
      <c r="AK391" s="4"/>
      <c r="AL391" s="3"/>
    </row>
    <row r="392" spans="1:38" x14ac:dyDescent="0.35">
      <c r="A392" s="3" t="s">
        <v>2516</v>
      </c>
      <c r="B392" s="4" t="s">
        <v>1652</v>
      </c>
      <c r="C392" s="4">
        <f>VLOOKUP(A392, [1]Planilha1!$A$3:$B$1015,2,FALSE)</f>
        <v>0</v>
      </c>
      <c r="D392" s="4">
        <f t="shared" si="6"/>
        <v>0</v>
      </c>
      <c r="E392" s="4" t="s">
        <v>1125</v>
      </c>
      <c r="F392" s="3" t="s">
        <v>1642</v>
      </c>
      <c r="G392" s="3" t="s">
        <v>214</v>
      </c>
      <c r="H392" s="3" t="s">
        <v>44</v>
      </c>
      <c r="I392" s="3" t="s">
        <v>33</v>
      </c>
      <c r="J392" s="3" t="s">
        <v>60</v>
      </c>
      <c r="K392" s="3" t="s">
        <v>2518</v>
      </c>
      <c r="L392" s="1">
        <v>46043.576365740744</v>
      </c>
      <c r="M392" s="1">
        <v>46043.593356481484</v>
      </c>
      <c r="N392" s="1">
        <v>46046.625011574077</v>
      </c>
      <c r="O392" s="3" t="s">
        <v>43</v>
      </c>
      <c r="P392" s="3" t="s">
        <v>1652</v>
      </c>
      <c r="Q392" s="3" t="s">
        <v>35</v>
      </c>
      <c r="R392" s="3" t="s">
        <v>2520</v>
      </c>
      <c r="S392" s="3" t="s">
        <v>144</v>
      </c>
      <c r="T392" s="3" t="s">
        <v>143</v>
      </c>
      <c r="U392" s="4" t="b">
        <v>1</v>
      </c>
      <c r="V392" s="3" t="s">
        <v>31</v>
      </c>
      <c r="W392" s="1"/>
      <c r="Y392" s="3" t="s">
        <v>32</v>
      </c>
      <c r="Z392" s="3" t="s">
        <v>32</v>
      </c>
      <c r="AA392" s="3"/>
      <c r="AB392" s="3"/>
      <c r="AC392" s="4" t="s">
        <v>30</v>
      </c>
      <c r="AD392" s="3"/>
      <c r="AE392" s="3" t="s">
        <v>1652</v>
      </c>
      <c r="AF392" s="4" t="s">
        <v>30</v>
      </c>
      <c r="AH392" s="4">
        <v>0</v>
      </c>
      <c r="AI392" s="3" t="s">
        <v>2517</v>
      </c>
      <c r="AJ392" s="4" t="s">
        <v>2519</v>
      </c>
      <c r="AK392" s="4"/>
      <c r="AL392" s="3"/>
    </row>
    <row r="393" spans="1:38" x14ac:dyDescent="0.35">
      <c r="A393" s="3" t="s">
        <v>2521</v>
      </c>
      <c r="B393" s="4" t="s">
        <v>1901</v>
      </c>
      <c r="C393" s="4">
        <f>VLOOKUP(A393, [1]Planilha1!$A$3:$B$1015,2,FALSE)</f>
        <v>0</v>
      </c>
      <c r="D393" s="4">
        <f t="shared" si="6"/>
        <v>0</v>
      </c>
      <c r="E393" s="4" t="s">
        <v>1125</v>
      </c>
      <c r="F393" s="3" t="s">
        <v>1898</v>
      </c>
      <c r="G393" s="3" t="s">
        <v>214</v>
      </c>
      <c r="H393" s="3" t="s">
        <v>44</v>
      </c>
      <c r="I393" s="3" t="s">
        <v>33</v>
      </c>
      <c r="J393" s="3" t="s">
        <v>60</v>
      </c>
      <c r="K393" s="3" t="s">
        <v>1897</v>
      </c>
      <c r="L393" s="1">
        <v>46043.570729166669</v>
      </c>
      <c r="M393" s="1">
        <v>46043.595370370371</v>
      </c>
      <c r="N393" s="1">
        <v>46046.625011574077</v>
      </c>
      <c r="O393" s="3" t="s">
        <v>43</v>
      </c>
      <c r="P393" s="3" t="s">
        <v>1901</v>
      </c>
      <c r="Q393" s="3" t="s">
        <v>35</v>
      </c>
      <c r="R393" s="3" t="s">
        <v>1900</v>
      </c>
      <c r="S393" s="3" t="s">
        <v>144</v>
      </c>
      <c r="T393" s="3" t="s">
        <v>143</v>
      </c>
      <c r="U393" s="4" t="b">
        <v>1</v>
      </c>
      <c r="V393" s="3" t="s">
        <v>31</v>
      </c>
      <c r="W393" s="1"/>
      <c r="Y393" s="3" t="s">
        <v>32</v>
      </c>
      <c r="Z393" s="3" t="s">
        <v>32</v>
      </c>
      <c r="AA393" s="3"/>
      <c r="AB393" s="3"/>
      <c r="AC393" s="4" t="s">
        <v>30</v>
      </c>
      <c r="AD393" s="3"/>
      <c r="AE393" s="3" t="s">
        <v>1901</v>
      </c>
      <c r="AF393" s="4" t="s">
        <v>30</v>
      </c>
      <c r="AH393" s="4">
        <v>0</v>
      </c>
      <c r="AI393" s="3" t="s">
        <v>2522</v>
      </c>
      <c r="AJ393" s="4" t="s">
        <v>1899</v>
      </c>
      <c r="AK393" s="4"/>
      <c r="AL393" s="3"/>
    </row>
    <row r="394" spans="1:38" x14ac:dyDescent="0.35">
      <c r="A394" s="3" t="s">
        <v>2523</v>
      </c>
      <c r="B394" s="4" t="s">
        <v>58</v>
      </c>
      <c r="C394" s="4">
        <f>VLOOKUP(A394, [1]Planilha1!$A$3:$B$1015,2,FALSE)</f>
        <v>16236</v>
      </c>
      <c r="D394" s="4">
        <f t="shared" si="6"/>
        <v>4.51</v>
      </c>
      <c r="E394" s="4" t="s">
        <v>1125</v>
      </c>
      <c r="F394" s="3" t="s">
        <v>54</v>
      </c>
      <c r="G394" s="3" t="s">
        <v>2524</v>
      </c>
      <c r="H394" s="3" t="s">
        <v>2411</v>
      </c>
      <c r="I394" s="3" t="s">
        <v>33</v>
      </c>
      <c r="J394" s="3" t="s">
        <v>152</v>
      </c>
      <c r="K394" s="3" t="s">
        <v>2526</v>
      </c>
      <c r="L394" s="1">
        <v>46043.563437500001</v>
      </c>
      <c r="M394" s="1">
        <v>46043.565497685187</v>
      </c>
      <c r="N394" s="1">
        <v>46049.688854166663</v>
      </c>
      <c r="O394" s="3" t="s">
        <v>2527</v>
      </c>
      <c r="P394" s="3" t="s">
        <v>57</v>
      </c>
      <c r="Q394" s="3" t="s">
        <v>35</v>
      </c>
      <c r="R394" s="3" t="s">
        <v>56</v>
      </c>
      <c r="S394" s="3" t="s">
        <v>64</v>
      </c>
      <c r="T394" s="3" t="s">
        <v>63</v>
      </c>
      <c r="U394" s="4" t="b">
        <v>0</v>
      </c>
      <c r="V394" s="3" t="s">
        <v>31</v>
      </c>
      <c r="W394" s="1"/>
      <c r="Y394" s="3" t="s">
        <v>32</v>
      </c>
      <c r="Z394" s="3" t="s">
        <v>32</v>
      </c>
      <c r="AA394" s="3" t="s">
        <v>196</v>
      </c>
      <c r="AB394" s="3" t="s">
        <v>58</v>
      </c>
      <c r="AC394" s="4" t="s">
        <v>30</v>
      </c>
      <c r="AD394" s="3" t="s">
        <v>59</v>
      </c>
      <c r="AE394" s="3" t="s">
        <v>57</v>
      </c>
      <c r="AF394" s="4" t="s">
        <v>30</v>
      </c>
      <c r="AH394" s="4">
        <v>2</v>
      </c>
      <c r="AI394" s="3" t="s">
        <v>2525</v>
      </c>
      <c r="AJ394" s="4" t="s">
        <v>55</v>
      </c>
      <c r="AK394" s="4" t="s">
        <v>197</v>
      </c>
      <c r="AL394" s="3"/>
    </row>
    <row r="395" spans="1:38" x14ac:dyDescent="0.35">
      <c r="A395" s="3" t="s">
        <v>2528</v>
      </c>
      <c r="B395" s="4" t="s">
        <v>2534</v>
      </c>
      <c r="C395" s="4">
        <f>VLOOKUP(A395, [1]Planilha1!$A$3:$B$1015,2,FALSE)</f>
        <v>10089</v>
      </c>
      <c r="D395" s="4">
        <f t="shared" si="6"/>
        <v>2.8025000000000002</v>
      </c>
      <c r="E395" s="4" t="s">
        <v>1125</v>
      </c>
      <c r="F395" s="3" t="s">
        <v>2531</v>
      </c>
      <c r="G395" s="3" t="s">
        <v>2529</v>
      </c>
      <c r="H395" s="3" t="s">
        <v>428</v>
      </c>
      <c r="I395" s="3" t="s">
        <v>33</v>
      </c>
      <c r="J395" s="3" t="s">
        <v>41</v>
      </c>
      <c r="L395" s="1">
        <v>46043.553912037038</v>
      </c>
      <c r="M395" s="1">
        <v>46043.553912037038</v>
      </c>
      <c r="N395" s="1">
        <v>46043.592835648145</v>
      </c>
      <c r="O395" s="3" t="s">
        <v>427</v>
      </c>
      <c r="P395" s="3" t="s">
        <v>2534</v>
      </c>
      <c r="Q395" s="3" t="s">
        <v>35</v>
      </c>
      <c r="R395" s="3" t="s">
        <v>2533</v>
      </c>
      <c r="S395" s="3" t="s">
        <v>37</v>
      </c>
      <c r="T395" s="3" t="s">
        <v>36</v>
      </c>
      <c r="U395" s="4" t="b">
        <v>1</v>
      </c>
      <c r="V395" s="3" t="s">
        <v>28</v>
      </c>
      <c r="W395" s="1"/>
      <c r="Y395" s="3" t="s">
        <v>29</v>
      </c>
      <c r="Z395" s="3" t="s">
        <v>29</v>
      </c>
      <c r="AA395" s="3"/>
      <c r="AB395" s="3"/>
      <c r="AC395" s="4" t="s">
        <v>30</v>
      </c>
      <c r="AD395" s="3"/>
      <c r="AE395" s="3" t="s">
        <v>2534</v>
      </c>
      <c r="AF395" s="4" t="s">
        <v>30</v>
      </c>
      <c r="AH395" s="4">
        <v>0</v>
      </c>
      <c r="AI395" s="3" t="s">
        <v>2530</v>
      </c>
      <c r="AJ395" s="4" t="s">
        <v>2532</v>
      </c>
      <c r="AK395" s="4"/>
      <c r="AL395" s="3"/>
    </row>
    <row r="396" spans="1:38" x14ac:dyDescent="0.35">
      <c r="A396" s="3" t="s">
        <v>2535</v>
      </c>
      <c r="B396" s="4" t="s">
        <v>2541</v>
      </c>
      <c r="C396" s="4">
        <f>VLOOKUP(A396, [1]Planilha1!$A$3:$B$1015,2,FALSE)</f>
        <v>37947</v>
      </c>
      <c r="D396" s="4">
        <f t="shared" si="6"/>
        <v>10.540833333333333</v>
      </c>
      <c r="E396" s="4" t="s">
        <v>1125</v>
      </c>
      <c r="F396" s="3" t="s">
        <v>2538</v>
      </c>
      <c r="G396" s="3" t="s">
        <v>2536</v>
      </c>
      <c r="H396" s="3" t="s">
        <v>224</v>
      </c>
      <c r="I396" s="3" t="s">
        <v>33</v>
      </c>
      <c r="J396" s="3" t="s">
        <v>41</v>
      </c>
      <c r="K396" s="3" t="s">
        <v>818</v>
      </c>
      <c r="L396" s="1">
        <v>46043.551053240742</v>
      </c>
      <c r="M396" s="1">
        <v>46043.551053240742</v>
      </c>
      <c r="N396" s="1">
        <v>46043.697453703702</v>
      </c>
      <c r="O396" s="3" t="s">
        <v>223</v>
      </c>
      <c r="P396" s="3" t="s">
        <v>2541</v>
      </c>
      <c r="Q396" s="3" t="s">
        <v>42</v>
      </c>
      <c r="R396" s="3" t="s">
        <v>2540</v>
      </c>
      <c r="S396" s="3" t="s">
        <v>37</v>
      </c>
      <c r="T396" s="3" t="s">
        <v>36</v>
      </c>
      <c r="U396" s="4" t="b">
        <v>1</v>
      </c>
      <c r="V396" s="3" t="s">
        <v>28</v>
      </c>
      <c r="W396" s="1"/>
      <c r="Y396" s="3" t="s">
        <v>29</v>
      </c>
      <c r="Z396" s="3" t="s">
        <v>29</v>
      </c>
      <c r="AA396" s="3"/>
      <c r="AB396" s="3"/>
      <c r="AC396" s="4" t="s">
        <v>30</v>
      </c>
      <c r="AD396" s="3"/>
      <c r="AE396" s="3" t="s">
        <v>2541</v>
      </c>
      <c r="AF396" s="4" t="s">
        <v>30</v>
      </c>
      <c r="AH396" s="4">
        <v>1</v>
      </c>
      <c r="AI396" s="3" t="s">
        <v>2537</v>
      </c>
      <c r="AJ396" s="4" t="s">
        <v>2539</v>
      </c>
      <c r="AK396" s="4"/>
      <c r="AL396" s="3"/>
    </row>
    <row r="397" spans="1:38" x14ac:dyDescent="0.35">
      <c r="A397" s="3" t="s">
        <v>2542</v>
      </c>
      <c r="B397" s="4" t="s">
        <v>2547</v>
      </c>
      <c r="C397" s="4">
        <f>VLOOKUP(A397, [1]Planilha1!$A$3:$B$1015,2,FALSE)</f>
        <v>6834</v>
      </c>
      <c r="D397" s="4">
        <f t="shared" si="6"/>
        <v>1.8983333333333334</v>
      </c>
      <c r="E397" s="4" t="s">
        <v>1125</v>
      </c>
      <c r="F397" s="3" t="s">
        <v>2545</v>
      </c>
      <c r="G397" s="3" t="s">
        <v>2543</v>
      </c>
      <c r="H397" s="3" t="s">
        <v>677</v>
      </c>
      <c r="I397" s="3" t="s">
        <v>33</v>
      </c>
      <c r="J397" s="3" t="s">
        <v>41</v>
      </c>
      <c r="L397" s="1">
        <v>46043.546666666669</v>
      </c>
      <c r="M397" s="1">
        <v>46043.546666666669</v>
      </c>
      <c r="N397" s="1">
        <v>46043.586215277777</v>
      </c>
      <c r="O397" s="3" t="s">
        <v>1097</v>
      </c>
      <c r="P397" s="3" t="s">
        <v>2547</v>
      </c>
      <c r="Q397" s="3" t="s">
        <v>35</v>
      </c>
      <c r="R397" s="3" t="s">
        <v>2546</v>
      </c>
      <c r="S397" s="3" t="s">
        <v>37</v>
      </c>
      <c r="T397" s="3" t="s">
        <v>36</v>
      </c>
      <c r="U397" s="4" t="b">
        <v>1</v>
      </c>
      <c r="V397" s="3" t="s">
        <v>28</v>
      </c>
      <c r="W397" s="1"/>
      <c r="Y397" s="3" t="s">
        <v>29</v>
      </c>
      <c r="Z397" s="3" t="s">
        <v>29</v>
      </c>
      <c r="AA397" s="3"/>
      <c r="AB397" s="3"/>
      <c r="AC397" s="4" t="s">
        <v>30</v>
      </c>
      <c r="AD397" s="3"/>
      <c r="AE397" s="3" t="s">
        <v>2547</v>
      </c>
      <c r="AF397" s="4" t="s">
        <v>30</v>
      </c>
      <c r="AH397" s="4">
        <v>0</v>
      </c>
      <c r="AI397" s="3" t="s">
        <v>2544</v>
      </c>
      <c r="AJ397" s="4" t="s">
        <v>5872</v>
      </c>
      <c r="AK397" s="4"/>
      <c r="AL397" s="3"/>
    </row>
    <row r="398" spans="1:38" x14ac:dyDescent="0.35">
      <c r="A398" s="3" t="s">
        <v>2548</v>
      </c>
      <c r="B398" s="4" t="s">
        <v>94</v>
      </c>
      <c r="C398" s="4">
        <f>VLOOKUP(A398, [1]Planilha1!$A$3:$B$1015,2,FALSE)</f>
        <v>0</v>
      </c>
      <c r="D398" s="4">
        <f t="shared" si="6"/>
        <v>0</v>
      </c>
      <c r="E398" s="4" t="s">
        <v>1125</v>
      </c>
      <c r="F398" s="3" t="s">
        <v>92</v>
      </c>
      <c r="G398" s="3" t="s">
        <v>2549</v>
      </c>
      <c r="H398" s="3" t="s">
        <v>148</v>
      </c>
      <c r="I398" s="3" t="s">
        <v>33</v>
      </c>
      <c r="J398" s="3" t="s">
        <v>459</v>
      </c>
      <c r="L398" s="1">
        <v>46043.541122685187</v>
      </c>
      <c r="M398" s="1">
        <v>46043.543356481481</v>
      </c>
      <c r="N398" s="1">
        <v>46046.583333333336</v>
      </c>
      <c r="O398" s="3" t="s">
        <v>147</v>
      </c>
      <c r="P398" s="3" t="s">
        <v>94</v>
      </c>
      <c r="Q398" s="3" t="s">
        <v>35</v>
      </c>
      <c r="R398" s="3" t="s">
        <v>93</v>
      </c>
      <c r="S398" s="3" t="s">
        <v>82</v>
      </c>
      <c r="T398" s="3" t="s">
        <v>81</v>
      </c>
      <c r="U398" s="4" t="b">
        <v>1</v>
      </c>
      <c r="V398" s="3" t="s">
        <v>31</v>
      </c>
      <c r="W398" s="1"/>
      <c r="Y398" s="3" t="s">
        <v>32</v>
      </c>
      <c r="Z398" s="3" t="s">
        <v>32</v>
      </c>
      <c r="AA398" s="3"/>
      <c r="AB398" s="3"/>
      <c r="AC398" s="4" t="s">
        <v>30</v>
      </c>
      <c r="AD398" s="3"/>
      <c r="AE398" s="3" t="s">
        <v>94</v>
      </c>
      <c r="AF398" s="4" t="s">
        <v>30</v>
      </c>
      <c r="AH398" s="4">
        <v>0</v>
      </c>
      <c r="AI398" s="3" t="s">
        <v>2550</v>
      </c>
      <c r="AJ398" s="4"/>
      <c r="AK398" s="4"/>
      <c r="AL398" s="3"/>
    </row>
    <row r="399" spans="1:38" x14ac:dyDescent="0.35">
      <c r="A399" s="3" t="s">
        <v>2551</v>
      </c>
      <c r="B399" s="4" t="s">
        <v>2557</v>
      </c>
      <c r="C399" s="4">
        <f>VLOOKUP(A399, [1]Planilha1!$A$3:$B$1015,2,FALSE)</f>
        <v>5820</v>
      </c>
      <c r="D399" s="4">
        <f t="shared" si="6"/>
        <v>1.6166666666666667</v>
      </c>
      <c r="E399" s="4" t="s">
        <v>1125</v>
      </c>
      <c r="F399" s="3" t="s">
        <v>2554</v>
      </c>
      <c r="G399" s="3" t="s">
        <v>2552</v>
      </c>
      <c r="H399" s="3" t="s">
        <v>428</v>
      </c>
      <c r="I399" s="3" t="s">
        <v>33</v>
      </c>
      <c r="J399" s="3" t="s">
        <v>41</v>
      </c>
      <c r="L399" s="1">
        <v>46043.522928240738</v>
      </c>
      <c r="M399" s="1">
        <v>46043.524629629632</v>
      </c>
      <c r="N399" s="1">
        <v>46043.547083333331</v>
      </c>
      <c r="O399" s="3" t="s">
        <v>427</v>
      </c>
      <c r="P399" s="3" t="s">
        <v>2557</v>
      </c>
      <c r="Q399" s="3" t="s">
        <v>42</v>
      </c>
      <c r="R399" s="3" t="s">
        <v>2556</v>
      </c>
      <c r="S399" s="3" t="s">
        <v>339</v>
      </c>
      <c r="T399" s="3" t="s">
        <v>338</v>
      </c>
      <c r="U399" s="4" t="b">
        <v>1</v>
      </c>
      <c r="V399" s="3" t="s">
        <v>31</v>
      </c>
      <c r="W399" s="1"/>
      <c r="Y399" s="3" t="s">
        <v>32</v>
      </c>
      <c r="Z399" s="3" t="s">
        <v>32</v>
      </c>
      <c r="AA399" s="3"/>
      <c r="AB399" s="3"/>
      <c r="AC399" s="4" t="s">
        <v>30</v>
      </c>
      <c r="AD399" s="3"/>
      <c r="AE399" s="3" t="s">
        <v>2557</v>
      </c>
      <c r="AF399" s="4" t="s">
        <v>30</v>
      </c>
      <c r="AH399" s="4">
        <v>0</v>
      </c>
      <c r="AI399" s="3" t="s">
        <v>2553</v>
      </c>
      <c r="AJ399" s="4" t="s">
        <v>2555</v>
      </c>
      <c r="AK399" s="4"/>
      <c r="AL399" s="3"/>
    </row>
    <row r="400" spans="1:38" x14ac:dyDescent="0.35">
      <c r="A400" s="3" t="s">
        <v>2558</v>
      </c>
      <c r="B400" s="4" t="s">
        <v>2563</v>
      </c>
      <c r="C400" s="4">
        <f>VLOOKUP(A400, [1]Planilha1!$A$3:$B$1015,2,FALSE)</f>
        <v>27901</v>
      </c>
      <c r="D400" s="4">
        <f t="shared" si="6"/>
        <v>7.7502777777777778</v>
      </c>
      <c r="E400" s="4" t="s">
        <v>1125</v>
      </c>
      <c r="F400" s="3" t="s">
        <v>2561</v>
      </c>
      <c r="G400" s="3" t="s">
        <v>2559</v>
      </c>
      <c r="H400" s="3" t="s">
        <v>138</v>
      </c>
      <c r="I400" s="3" t="s">
        <v>33</v>
      </c>
      <c r="J400" s="3" t="s">
        <v>41</v>
      </c>
      <c r="L400" s="1">
        <v>46043.510648148149</v>
      </c>
      <c r="M400" s="1">
        <v>46043.510648148149</v>
      </c>
      <c r="N400" s="1">
        <v>46043.636666666665</v>
      </c>
      <c r="O400" s="3" t="s">
        <v>137</v>
      </c>
      <c r="P400" s="3" t="s">
        <v>2563</v>
      </c>
      <c r="Q400" s="3" t="s">
        <v>42</v>
      </c>
      <c r="R400" s="3" t="s">
        <v>2562</v>
      </c>
      <c r="S400" s="3" t="s">
        <v>37</v>
      </c>
      <c r="T400" s="3" t="s">
        <v>36</v>
      </c>
      <c r="U400" s="4" t="b">
        <v>1</v>
      </c>
      <c r="V400" s="3" t="s">
        <v>28</v>
      </c>
      <c r="W400" s="1"/>
      <c r="Y400" s="3" t="s">
        <v>29</v>
      </c>
      <c r="Z400" s="3" t="s">
        <v>29</v>
      </c>
      <c r="AA400" s="3"/>
      <c r="AB400" s="3"/>
      <c r="AC400" s="4" t="s">
        <v>30</v>
      </c>
      <c r="AD400" s="3"/>
      <c r="AE400" s="3" t="s">
        <v>2563</v>
      </c>
      <c r="AF400" s="4" t="s">
        <v>30</v>
      </c>
      <c r="AH400" s="4">
        <v>3</v>
      </c>
      <c r="AI400" s="3" t="s">
        <v>2560</v>
      </c>
      <c r="AJ400" s="4" t="s">
        <v>5873</v>
      </c>
      <c r="AK400" s="4"/>
      <c r="AL400" s="3"/>
    </row>
    <row r="401" spans="1:38" x14ac:dyDescent="0.35">
      <c r="A401" s="3" t="s">
        <v>2564</v>
      </c>
      <c r="B401" s="4" t="s">
        <v>2569</v>
      </c>
      <c r="C401" s="4">
        <f>VLOOKUP(A401, [1]Planilha1!$A$3:$B$1015,2,FALSE)</f>
        <v>10782</v>
      </c>
      <c r="D401" s="4">
        <f t="shared" si="6"/>
        <v>2.9950000000000001</v>
      </c>
      <c r="E401" s="4" t="s">
        <v>1125</v>
      </c>
      <c r="F401" s="3" t="s">
        <v>2566</v>
      </c>
      <c r="G401" s="3" t="s">
        <v>74</v>
      </c>
      <c r="H401" s="3" t="s">
        <v>44</v>
      </c>
      <c r="I401" s="3" t="s">
        <v>33</v>
      </c>
      <c r="J401" s="3" t="s">
        <v>41</v>
      </c>
      <c r="L401" s="1">
        <v>46043.499641203707</v>
      </c>
      <c r="M401" s="1">
        <v>46043.502430555556</v>
      </c>
      <c r="N401" s="1">
        <v>46043.564826388887</v>
      </c>
      <c r="O401" s="3" t="s">
        <v>43</v>
      </c>
      <c r="P401" s="3" t="s">
        <v>2569</v>
      </c>
      <c r="Q401" s="3" t="s">
        <v>42</v>
      </c>
      <c r="R401" s="3" t="s">
        <v>2568</v>
      </c>
      <c r="S401" s="3" t="s">
        <v>80</v>
      </c>
      <c r="T401" s="3" t="s">
        <v>79</v>
      </c>
      <c r="U401" s="4" t="b">
        <v>1</v>
      </c>
      <c r="V401" s="3" t="s">
        <v>31</v>
      </c>
      <c r="W401" s="1"/>
      <c r="Y401" s="3" t="s">
        <v>32</v>
      </c>
      <c r="Z401" s="3" t="s">
        <v>32</v>
      </c>
      <c r="AA401" s="3"/>
      <c r="AB401" s="3"/>
      <c r="AC401" s="4" t="s">
        <v>30</v>
      </c>
      <c r="AD401" s="3"/>
      <c r="AE401" s="3" t="s">
        <v>2569</v>
      </c>
      <c r="AF401" s="4" t="s">
        <v>30</v>
      </c>
      <c r="AH401" s="4">
        <v>1</v>
      </c>
      <c r="AI401" s="3" t="s">
        <v>2565</v>
      </c>
      <c r="AJ401" s="4" t="s">
        <v>2567</v>
      </c>
      <c r="AK401" s="4"/>
      <c r="AL401" s="3"/>
    </row>
    <row r="402" spans="1:38" x14ac:dyDescent="0.35">
      <c r="A402" s="3" t="s">
        <v>2570</v>
      </c>
      <c r="B402" s="4" t="s">
        <v>2575</v>
      </c>
      <c r="C402" s="4">
        <f>VLOOKUP(A402, [1]Planilha1!$A$3:$B$1015,2,FALSE)</f>
        <v>0</v>
      </c>
      <c r="D402" s="4">
        <f t="shared" si="6"/>
        <v>0</v>
      </c>
      <c r="E402" s="4" t="s">
        <v>1125</v>
      </c>
      <c r="F402" s="3" t="s">
        <v>2573</v>
      </c>
      <c r="G402" s="3" t="s">
        <v>2571</v>
      </c>
      <c r="H402" s="3" t="s">
        <v>148</v>
      </c>
      <c r="I402" s="3" t="s">
        <v>33</v>
      </c>
      <c r="J402" s="3" t="s">
        <v>60</v>
      </c>
      <c r="L402" s="1">
        <v>46043.490972222222</v>
      </c>
      <c r="M402" s="1">
        <v>46043.495983796296</v>
      </c>
      <c r="N402" s="1">
        <v>46046.5</v>
      </c>
      <c r="O402" s="3" t="s">
        <v>147</v>
      </c>
      <c r="P402" s="3" t="s">
        <v>2575</v>
      </c>
      <c r="Q402" s="3" t="s">
        <v>35</v>
      </c>
      <c r="R402" s="3" t="s">
        <v>2574</v>
      </c>
      <c r="S402" s="3" t="s">
        <v>82</v>
      </c>
      <c r="T402" s="3" t="s">
        <v>81</v>
      </c>
      <c r="U402" s="4" t="b">
        <v>1</v>
      </c>
      <c r="V402" s="3" t="s">
        <v>31</v>
      </c>
      <c r="W402" s="1"/>
      <c r="Y402" s="3" t="s">
        <v>32</v>
      </c>
      <c r="Z402" s="3" t="s">
        <v>32</v>
      </c>
      <c r="AA402" s="3"/>
      <c r="AB402" s="3"/>
      <c r="AC402" s="4" t="s">
        <v>30</v>
      </c>
      <c r="AD402" s="3"/>
      <c r="AE402" s="3" t="s">
        <v>2575</v>
      </c>
      <c r="AF402" s="4" t="s">
        <v>30</v>
      </c>
      <c r="AH402" s="4">
        <v>0</v>
      </c>
      <c r="AI402" s="3" t="s">
        <v>2572</v>
      </c>
      <c r="AJ402" s="4"/>
      <c r="AK402" s="4"/>
      <c r="AL402" s="3"/>
    </row>
    <row r="403" spans="1:38" x14ac:dyDescent="0.35">
      <c r="A403" s="3" t="s">
        <v>2576</v>
      </c>
      <c r="B403" s="4" t="s">
        <v>2581</v>
      </c>
      <c r="C403" s="4">
        <f>VLOOKUP(A403, [1]Planilha1!$A$3:$B$1015,2,FALSE)</f>
        <v>12934</v>
      </c>
      <c r="D403" s="4">
        <f t="shared" si="6"/>
        <v>3.5927777777777776</v>
      </c>
      <c r="E403" s="4" t="s">
        <v>1125</v>
      </c>
      <c r="F403" s="3" t="s">
        <v>2579</v>
      </c>
      <c r="G403" s="3" t="s">
        <v>2577</v>
      </c>
      <c r="H403" s="3" t="s">
        <v>44</v>
      </c>
      <c r="I403" s="3" t="s">
        <v>33</v>
      </c>
      <c r="J403" s="3" t="s">
        <v>41</v>
      </c>
      <c r="L403" s="1">
        <v>46043.479513888888</v>
      </c>
      <c r="M403" s="1">
        <v>46043.4841087963</v>
      </c>
      <c r="N403" s="1">
        <v>46043.558958333335</v>
      </c>
      <c r="O403" s="3" t="s">
        <v>43</v>
      </c>
      <c r="P403" s="3" t="s">
        <v>2581</v>
      </c>
      <c r="Q403" s="3" t="s">
        <v>42</v>
      </c>
      <c r="R403" s="3" t="s">
        <v>2580</v>
      </c>
      <c r="S403" s="3" t="s">
        <v>62</v>
      </c>
      <c r="T403" s="3" t="s">
        <v>61</v>
      </c>
      <c r="U403" s="4" t="b">
        <v>1</v>
      </c>
      <c r="V403" s="3" t="s">
        <v>31</v>
      </c>
      <c r="W403" s="1"/>
      <c r="Y403" s="3" t="s">
        <v>32</v>
      </c>
      <c r="Z403" s="3" t="s">
        <v>32</v>
      </c>
      <c r="AA403" s="3"/>
      <c r="AB403" s="3"/>
      <c r="AC403" s="4" t="s">
        <v>30</v>
      </c>
      <c r="AD403" s="3"/>
      <c r="AE403" s="3" t="s">
        <v>2581</v>
      </c>
      <c r="AF403" s="4" t="s">
        <v>30</v>
      </c>
      <c r="AH403" s="4">
        <v>1</v>
      </c>
      <c r="AI403" s="3" t="s">
        <v>2578</v>
      </c>
      <c r="AJ403" s="4" t="s">
        <v>5874</v>
      </c>
      <c r="AK403" s="4"/>
      <c r="AL403" s="3"/>
    </row>
    <row r="404" spans="1:38" x14ac:dyDescent="0.35">
      <c r="A404" s="3" t="s">
        <v>2582</v>
      </c>
      <c r="B404" s="4" t="s">
        <v>1894</v>
      </c>
      <c r="C404" s="4">
        <f>VLOOKUP(A404, [1]Planilha1!$A$3:$B$1015,2,FALSE)</f>
        <v>33250</v>
      </c>
      <c r="D404" s="4">
        <f t="shared" si="6"/>
        <v>9.2361111111111107</v>
      </c>
      <c r="E404" s="4" t="s">
        <v>1125</v>
      </c>
      <c r="F404" s="3" t="s">
        <v>1892</v>
      </c>
      <c r="G404" s="3" t="s">
        <v>2583</v>
      </c>
      <c r="H404" s="3" t="s">
        <v>1116</v>
      </c>
      <c r="I404" s="3" t="s">
        <v>33</v>
      </c>
      <c r="J404" s="3" t="s">
        <v>41</v>
      </c>
      <c r="L404" s="1">
        <v>46043.477835648147</v>
      </c>
      <c r="M404" s="1">
        <v>46043.477835648147</v>
      </c>
      <c r="N404" s="1">
        <v>46043.620810185188</v>
      </c>
      <c r="O404" s="3" t="s">
        <v>1115</v>
      </c>
      <c r="P404" s="3" t="s">
        <v>1894</v>
      </c>
      <c r="Q404" s="3" t="s">
        <v>42</v>
      </c>
      <c r="R404" s="3" t="s">
        <v>1893</v>
      </c>
      <c r="S404" s="3" t="s">
        <v>37</v>
      </c>
      <c r="T404" s="3" t="s">
        <v>36</v>
      </c>
      <c r="U404" s="4" t="b">
        <v>1</v>
      </c>
      <c r="V404" s="3" t="s">
        <v>28</v>
      </c>
      <c r="W404" s="1"/>
      <c r="Y404" s="3" t="s">
        <v>29</v>
      </c>
      <c r="Z404" s="3" t="s">
        <v>29</v>
      </c>
      <c r="AA404" s="3"/>
      <c r="AB404" s="3"/>
      <c r="AC404" s="4" t="s">
        <v>30</v>
      </c>
      <c r="AD404" s="3"/>
      <c r="AE404" s="3" t="s">
        <v>1894</v>
      </c>
      <c r="AF404" s="4" t="s">
        <v>30</v>
      </c>
      <c r="AH404" s="4">
        <v>2</v>
      </c>
      <c r="AI404" s="3" t="s">
        <v>2584</v>
      </c>
      <c r="AJ404" s="4"/>
      <c r="AK404" s="4"/>
      <c r="AL404" s="3"/>
    </row>
    <row r="405" spans="1:38" x14ac:dyDescent="0.35">
      <c r="A405" s="3" t="s">
        <v>2585</v>
      </c>
      <c r="B405" s="4" t="s">
        <v>94</v>
      </c>
      <c r="C405" s="4">
        <f>VLOOKUP(A405, [1]Planilha1!$A$3:$B$1015,2,FALSE)</f>
        <v>0</v>
      </c>
      <c r="D405" s="4">
        <f t="shared" si="6"/>
        <v>0</v>
      </c>
      <c r="E405" s="4" t="s">
        <v>1125</v>
      </c>
      <c r="F405" s="3" t="s">
        <v>92</v>
      </c>
      <c r="G405" s="3" t="s">
        <v>433</v>
      </c>
      <c r="H405" s="3" t="s">
        <v>148</v>
      </c>
      <c r="I405" s="3" t="s">
        <v>33</v>
      </c>
      <c r="J405" s="3" t="s">
        <v>60</v>
      </c>
      <c r="L405" s="1">
        <v>46043.470138888886</v>
      </c>
      <c r="M405" s="1">
        <v>46043.470879629633</v>
      </c>
      <c r="N405" s="1">
        <v>46046.5</v>
      </c>
      <c r="O405" s="3" t="s">
        <v>147</v>
      </c>
      <c r="P405" s="3" t="s">
        <v>94</v>
      </c>
      <c r="Q405" s="3" t="s">
        <v>35</v>
      </c>
      <c r="R405" s="3" t="s">
        <v>93</v>
      </c>
      <c r="S405" s="3" t="s">
        <v>82</v>
      </c>
      <c r="T405" s="3" t="s">
        <v>81</v>
      </c>
      <c r="U405" s="4" t="b">
        <v>1</v>
      </c>
      <c r="V405" s="3" t="s">
        <v>31</v>
      </c>
      <c r="W405" s="1"/>
      <c r="Y405" s="3" t="s">
        <v>32</v>
      </c>
      <c r="Z405" s="3" t="s">
        <v>32</v>
      </c>
      <c r="AA405" s="3"/>
      <c r="AB405" s="3"/>
      <c r="AC405" s="4" t="s">
        <v>30</v>
      </c>
      <c r="AD405" s="3"/>
      <c r="AE405" s="3" t="s">
        <v>94</v>
      </c>
      <c r="AF405" s="4" t="s">
        <v>30</v>
      </c>
      <c r="AH405" s="4">
        <v>0</v>
      </c>
      <c r="AI405" s="3" t="s">
        <v>2586</v>
      </c>
      <c r="AJ405" s="4"/>
      <c r="AK405" s="4"/>
      <c r="AL405" s="3"/>
    </row>
    <row r="406" spans="1:38" x14ac:dyDescent="0.35">
      <c r="A406" s="3" t="s">
        <v>2587</v>
      </c>
      <c r="B406" s="4" t="s">
        <v>2592</v>
      </c>
      <c r="C406" s="4">
        <f>VLOOKUP(A406, [1]Planilha1!$A$3:$B$1015,2,FALSE)</f>
        <v>27411</v>
      </c>
      <c r="D406" s="4">
        <f t="shared" si="6"/>
        <v>7.6141666666666667</v>
      </c>
      <c r="E406" s="4" t="s">
        <v>1125</v>
      </c>
      <c r="F406" s="3" t="s">
        <v>2590</v>
      </c>
      <c r="G406" s="3" t="s">
        <v>2588</v>
      </c>
      <c r="H406" s="3" t="s">
        <v>138</v>
      </c>
      <c r="I406" s="3" t="s">
        <v>33</v>
      </c>
      <c r="J406" s="3" t="s">
        <v>41</v>
      </c>
      <c r="L406" s="1">
        <v>46043.467731481483</v>
      </c>
      <c r="M406" s="1">
        <v>46043.467731481483</v>
      </c>
      <c r="N406" s="1">
        <v>46043.573483796295</v>
      </c>
      <c r="O406" s="3" t="s">
        <v>137</v>
      </c>
      <c r="P406" s="3" t="s">
        <v>2592</v>
      </c>
      <c r="Q406" s="3" t="s">
        <v>42</v>
      </c>
      <c r="R406" s="3" t="s">
        <v>2591</v>
      </c>
      <c r="S406" s="3" t="s">
        <v>37</v>
      </c>
      <c r="T406" s="3" t="s">
        <v>36</v>
      </c>
      <c r="U406" s="4" t="b">
        <v>1</v>
      </c>
      <c r="V406" s="3" t="s">
        <v>28</v>
      </c>
      <c r="W406" s="1"/>
      <c r="Y406" s="3" t="s">
        <v>29</v>
      </c>
      <c r="Z406" s="3" t="s">
        <v>29</v>
      </c>
      <c r="AA406" s="3"/>
      <c r="AB406" s="3"/>
      <c r="AC406" s="4" t="s">
        <v>30</v>
      </c>
      <c r="AD406" s="3"/>
      <c r="AE406" s="3" t="s">
        <v>2592</v>
      </c>
      <c r="AF406" s="4" t="s">
        <v>30</v>
      </c>
      <c r="AH406" s="4">
        <v>0</v>
      </c>
      <c r="AI406" s="3" t="s">
        <v>2589</v>
      </c>
      <c r="AJ406" s="4" t="s">
        <v>5875</v>
      </c>
      <c r="AK406" s="4"/>
      <c r="AL406" s="3"/>
    </row>
    <row r="407" spans="1:38" x14ac:dyDescent="0.35">
      <c r="A407" s="3" t="s">
        <v>2593</v>
      </c>
      <c r="B407" s="4" t="s">
        <v>58</v>
      </c>
      <c r="C407" s="4">
        <f>VLOOKUP(A407, [1]Planilha1!$A$3:$B$1015,2,FALSE)</f>
        <v>28470</v>
      </c>
      <c r="D407" s="4">
        <f t="shared" si="6"/>
        <v>7.9083333333333332</v>
      </c>
      <c r="E407" s="4" t="s">
        <v>1125</v>
      </c>
      <c r="F407" s="3" t="s">
        <v>2596</v>
      </c>
      <c r="G407" s="3" t="s">
        <v>2594</v>
      </c>
      <c r="H407" s="3" t="s">
        <v>428</v>
      </c>
      <c r="I407" s="3" t="s">
        <v>33</v>
      </c>
      <c r="J407" s="3" t="s">
        <v>41</v>
      </c>
      <c r="L407" s="1">
        <v>46043.462569444448</v>
      </c>
      <c r="M407" s="1">
        <v>46043.462569444448</v>
      </c>
      <c r="N407" s="1">
        <v>46043.57240740741</v>
      </c>
      <c r="O407" s="3" t="s">
        <v>427</v>
      </c>
      <c r="P407" s="3" t="s">
        <v>58</v>
      </c>
      <c r="Q407" s="3" t="s">
        <v>42</v>
      </c>
      <c r="R407" s="3" t="s">
        <v>2598</v>
      </c>
      <c r="S407" s="3" t="s">
        <v>37</v>
      </c>
      <c r="T407" s="3" t="s">
        <v>36</v>
      </c>
      <c r="U407" s="4" t="b">
        <v>1</v>
      </c>
      <c r="V407" s="3" t="s">
        <v>28</v>
      </c>
      <c r="W407" s="1"/>
      <c r="Y407" s="3" t="s">
        <v>29</v>
      </c>
      <c r="Z407" s="3" t="s">
        <v>29</v>
      </c>
      <c r="AA407" s="3"/>
      <c r="AB407" s="3"/>
      <c r="AC407" s="4" t="s">
        <v>30</v>
      </c>
      <c r="AD407" s="3"/>
      <c r="AE407" s="3" t="s">
        <v>58</v>
      </c>
      <c r="AF407" s="4" t="s">
        <v>30</v>
      </c>
      <c r="AH407" s="4">
        <v>0</v>
      </c>
      <c r="AI407" s="3" t="s">
        <v>2595</v>
      </c>
      <c r="AJ407" s="4" t="s">
        <v>2597</v>
      </c>
      <c r="AK407" s="4"/>
      <c r="AL407" s="3"/>
    </row>
    <row r="408" spans="1:38" x14ac:dyDescent="0.35">
      <c r="A408" s="3" t="s">
        <v>2599</v>
      </c>
      <c r="B408" s="4" t="s">
        <v>2019</v>
      </c>
      <c r="C408" s="4">
        <f>VLOOKUP(A408, [1]Planilha1!$A$3:$B$1015,2,FALSE)</f>
        <v>18664</v>
      </c>
      <c r="D408" s="4">
        <f t="shared" si="6"/>
        <v>5.1844444444444449</v>
      </c>
      <c r="E408" s="4" t="s">
        <v>1125</v>
      </c>
      <c r="F408" s="3" t="s">
        <v>2016</v>
      </c>
      <c r="G408" s="3" t="s">
        <v>214</v>
      </c>
      <c r="H408" s="3" t="s">
        <v>44</v>
      </c>
      <c r="I408" s="3" t="s">
        <v>33</v>
      </c>
      <c r="J408" s="3" t="s">
        <v>41</v>
      </c>
      <c r="K408" s="3" t="s">
        <v>2013</v>
      </c>
      <c r="L408" s="1">
        <v>46043.409479166665</v>
      </c>
      <c r="M408" s="1">
        <v>46043.450381944444</v>
      </c>
      <c r="N408" s="1">
        <v>46043.558391203704</v>
      </c>
      <c r="O408" s="3" t="s">
        <v>43</v>
      </c>
      <c r="P408" s="3" t="s">
        <v>2019</v>
      </c>
      <c r="Q408" s="3" t="s">
        <v>42</v>
      </c>
      <c r="R408" s="3" t="s">
        <v>2018</v>
      </c>
      <c r="S408" s="3" t="s">
        <v>144</v>
      </c>
      <c r="T408" s="3" t="s">
        <v>143</v>
      </c>
      <c r="U408" s="4" t="b">
        <v>1</v>
      </c>
      <c r="V408" s="3" t="s">
        <v>31</v>
      </c>
      <c r="W408" s="1"/>
      <c r="Y408" s="3" t="s">
        <v>32</v>
      </c>
      <c r="Z408" s="3" t="s">
        <v>32</v>
      </c>
      <c r="AA408" s="3"/>
      <c r="AB408" s="3"/>
      <c r="AC408" s="4" t="s">
        <v>30</v>
      </c>
      <c r="AD408" s="3"/>
      <c r="AE408" s="3" t="s">
        <v>2019</v>
      </c>
      <c r="AF408" s="4" t="s">
        <v>30</v>
      </c>
      <c r="AH408" s="4">
        <v>1</v>
      </c>
      <c r="AI408" s="3" t="s">
        <v>2600</v>
      </c>
      <c r="AJ408" s="4" t="s">
        <v>2017</v>
      </c>
      <c r="AK408" s="4"/>
      <c r="AL408" s="3"/>
    </row>
    <row r="409" spans="1:38" x14ac:dyDescent="0.35">
      <c r="A409" s="3" t="s">
        <v>2601</v>
      </c>
      <c r="B409" s="4" t="s">
        <v>2606</v>
      </c>
      <c r="C409" s="4">
        <f>VLOOKUP(A409, [1]Planilha1!$A$3:$B$1015,2,FALSE)</f>
        <v>0</v>
      </c>
      <c r="D409" s="4">
        <f t="shared" si="6"/>
        <v>0</v>
      </c>
      <c r="E409" s="4" t="s">
        <v>1125</v>
      </c>
      <c r="F409" s="3" t="s">
        <v>2604</v>
      </c>
      <c r="G409" s="3" t="s">
        <v>214</v>
      </c>
      <c r="H409" s="3" t="s">
        <v>44</v>
      </c>
      <c r="I409" s="3" t="s">
        <v>33</v>
      </c>
      <c r="J409" s="3" t="s">
        <v>60</v>
      </c>
      <c r="K409" s="3" t="s">
        <v>2603</v>
      </c>
      <c r="L409" s="1">
        <v>46043.408495370371</v>
      </c>
      <c r="M409" s="1">
        <v>46043.434699074074</v>
      </c>
      <c r="N409" s="1">
        <v>46046.458333333336</v>
      </c>
      <c r="O409" s="3" t="s">
        <v>43</v>
      </c>
      <c r="P409" s="3" t="s">
        <v>2606</v>
      </c>
      <c r="Q409" s="3" t="s">
        <v>35</v>
      </c>
      <c r="R409" s="3" t="s">
        <v>2605</v>
      </c>
      <c r="S409" s="3" t="s">
        <v>144</v>
      </c>
      <c r="T409" s="3" t="s">
        <v>143</v>
      </c>
      <c r="U409" s="4" t="b">
        <v>1</v>
      </c>
      <c r="V409" s="3" t="s">
        <v>31</v>
      </c>
      <c r="W409" s="1"/>
      <c r="Y409" s="3" t="s">
        <v>32</v>
      </c>
      <c r="Z409" s="3" t="s">
        <v>32</v>
      </c>
      <c r="AA409" s="3"/>
      <c r="AB409" s="3"/>
      <c r="AC409" s="4" t="s">
        <v>30</v>
      </c>
      <c r="AD409" s="3"/>
      <c r="AE409" s="3" t="s">
        <v>2606</v>
      </c>
      <c r="AF409" s="4" t="s">
        <v>30</v>
      </c>
      <c r="AH409" s="4">
        <v>0</v>
      </c>
      <c r="AI409" s="3" t="s">
        <v>2602</v>
      </c>
      <c r="AJ409" s="4" t="s">
        <v>5876</v>
      </c>
      <c r="AK409" s="4"/>
      <c r="AL409" s="3"/>
    </row>
    <row r="410" spans="1:38" x14ac:dyDescent="0.35">
      <c r="A410" s="3" t="s">
        <v>2607</v>
      </c>
      <c r="B410" s="4" t="s">
        <v>2613</v>
      </c>
      <c r="C410" s="4">
        <f>VLOOKUP(A410, [1]Planilha1!$A$3:$B$1015,2,FALSE)</f>
        <v>0</v>
      </c>
      <c r="D410" s="4">
        <f t="shared" si="6"/>
        <v>0</v>
      </c>
      <c r="E410" s="4" t="s">
        <v>1125</v>
      </c>
      <c r="F410" s="3" t="s">
        <v>2610</v>
      </c>
      <c r="G410" s="3" t="s">
        <v>214</v>
      </c>
      <c r="H410" s="3" t="s">
        <v>44</v>
      </c>
      <c r="I410" s="3" t="s">
        <v>33</v>
      </c>
      <c r="J410" s="3" t="s">
        <v>60</v>
      </c>
      <c r="K410" s="3" t="s">
        <v>2609</v>
      </c>
      <c r="L410" s="1">
        <v>46043.4065625</v>
      </c>
      <c r="M410" s="1">
        <v>46043.418043981481</v>
      </c>
      <c r="N410" s="1">
        <v>46046.458333333336</v>
      </c>
      <c r="O410" s="3" t="s">
        <v>43</v>
      </c>
      <c r="P410" s="3" t="s">
        <v>2613</v>
      </c>
      <c r="Q410" s="3" t="s">
        <v>35</v>
      </c>
      <c r="R410" s="3" t="s">
        <v>2612</v>
      </c>
      <c r="S410" s="3" t="s">
        <v>144</v>
      </c>
      <c r="T410" s="3" t="s">
        <v>143</v>
      </c>
      <c r="U410" s="4" t="b">
        <v>1</v>
      </c>
      <c r="V410" s="3" t="s">
        <v>31</v>
      </c>
      <c r="W410" s="1"/>
      <c r="Y410" s="3" t="s">
        <v>32</v>
      </c>
      <c r="Z410" s="3" t="s">
        <v>32</v>
      </c>
      <c r="AA410" s="3"/>
      <c r="AB410" s="3"/>
      <c r="AC410" s="4" t="s">
        <v>30</v>
      </c>
      <c r="AD410" s="3"/>
      <c r="AE410" s="3" t="s">
        <v>2613</v>
      </c>
      <c r="AF410" s="4" t="s">
        <v>30</v>
      </c>
      <c r="AH410" s="4">
        <v>0</v>
      </c>
      <c r="AI410" s="3" t="s">
        <v>2608</v>
      </c>
      <c r="AJ410" s="4" t="s">
        <v>2611</v>
      </c>
      <c r="AK410" s="4"/>
      <c r="AL410" s="3"/>
    </row>
    <row r="411" spans="1:38" x14ac:dyDescent="0.35">
      <c r="A411" s="3" t="s">
        <v>2614</v>
      </c>
      <c r="B411" s="4" t="s">
        <v>2620</v>
      </c>
      <c r="C411" s="4">
        <f>VLOOKUP(A411, [1]Planilha1!$A$3:$B$1015,2,FALSE)</f>
        <v>0</v>
      </c>
      <c r="D411" s="4">
        <f t="shared" si="6"/>
        <v>0</v>
      </c>
      <c r="E411" s="4" t="s">
        <v>1125</v>
      </c>
      <c r="F411" s="3" t="s">
        <v>2617</v>
      </c>
      <c r="G411" s="3" t="s">
        <v>214</v>
      </c>
      <c r="H411" s="3" t="s">
        <v>44</v>
      </c>
      <c r="I411" s="3" t="s">
        <v>33</v>
      </c>
      <c r="J411" s="3" t="s">
        <v>60</v>
      </c>
      <c r="K411" s="3" t="s">
        <v>2616</v>
      </c>
      <c r="L411" s="1">
        <v>46043.396655092591</v>
      </c>
      <c r="M411" s="1">
        <v>46043.40525462963</v>
      </c>
      <c r="N411" s="1">
        <v>46046.416666666664</v>
      </c>
      <c r="O411" s="3" t="s">
        <v>43</v>
      </c>
      <c r="P411" s="3" t="s">
        <v>2620</v>
      </c>
      <c r="Q411" s="3" t="s">
        <v>35</v>
      </c>
      <c r="R411" s="3" t="s">
        <v>2619</v>
      </c>
      <c r="S411" s="3" t="s">
        <v>144</v>
      </c>
      <c r="T411" s="3" t="s">
        <v>143</v>
      </c>
      <c r="U411" s="4" t="b">
        <v>1</v>
      </c>
      <c r="V411" s="3" t="s">
        <v>31</v>
      </c>
      <c r="W411" s="1"/>
      <c r="Y411" s="3" t="s">
        <v>32</v>
      </c>
      <c r="Z411" s="3" t="s">
        <v>32</v>
      </c>
      <c r="AA411" s="3"/>
      <c r="AB411" s="3"/>
      <c r="AC411" s="4" t="s">
        <v>30</v>
      </c>
      <c r="AD411" s="3"/>
      <c r="AE411" s="3" t="s">
        <v>2620</v>
      </c>
      <c r="AF411" s="4" t="s">
        <v>30</v>
      </c>
      <c r="AH411" s="4">
        <v>0</v>
      </c>
      <c r="AI411" s="3" t="s">
        <v>2615</v>
      </c>
      <c r="AJ411" s="4" t="s">
        <v>2618</v>
      </c>
      <c r="AK411" s="4"/>
      <c r="AL411" s="3"/>
    </row>
    <row r="412" spans="1:38" x14ac:dyDescent="0.35">
      <c r="A412" s="3" t="s">
        <v>2621</v>
      </c>
      <c r="B412" s="4" t="s">
        <v>2433</v>
      </c>
      <c r="C412" s="4">
        <f>VLOOKUP(A412, [1]Planilha1!$A$3:$B$1015,2,FALSE)</f>
        <v>29586</v>
      </c>
      <c r="D412" s="4">
        <f t="shared" si="6"/>
        <v>8.2183333333333337</v>
      </c>
      <c r="E412" s="4" t="s">
        <v>1125</v>
      </c>
      <c r="F412" s="3" t="s">
        <v>2432</v>
      </c>
      <c r="G412" s="3" t="s">
        <v>44</v>
      </c>
      <c r="H412" s="3" t="s">
        <v>44</v>
      </c>
      <c r="I412" s="3" t="s">
        <v>33</v>
      </c>
      <c r="J412" s="3" t="s">
        <v>41</v>
      </c>
      <c r="L412" s="1">
        <v>46043.38380787037</v>
      </c>
      <c r="M412" s="1">
        <v>46043.386643518519</v>
      </c>
      <c r="N412" s="1">
        <v>46043.557858796295</v>
      </c>
      <c r="O412" s="3" t="s">
        <v>43</v>
      </c>
      <c r="P412" s="3" t="s">
        <v>2433</v>
      </c>
      <c r="Q412" s="3" t="s">
        <v>42</v>
      </c>
      <c r="R412" s="3" t="s">
        <v>1963</v>
      </c>
      <c r="S412" s="3" t="s">
        <v>96</v>
      </c>
      <c r="T412" s="3" t="s">
        <v>95</v>
      </c>
      <c r="U412" s="4" t="b">
        <v>1</v>
      </c>
      <c r="V412" s="3" t="s">
        <v>31</v>
      </c>
      <c r="W412" s="1"/>
      <c r="Y412" s="3" t="s">
        <v>32</v>
      </c>
      <c r="Z412" s="3" t="s">
        <v>32</v>
      </c>
      <c r="AA412" s="3"/>
      <c r="AB412" s="3"/>
      <c r="AC412" s="4" t="s">
        <v>30</v>
      </c>
      <c r="AD412" s="3"/>
      <c r="AE412" s="3" t="s">
        <v>2433</v>
      </c>
      <c r="AF412" s="4" t="s">
        <v>30</v>
      </c>
      <c r="AH412" s="4">
        <v>1</v>
      </c>
      <c r="AI412" s="3" t="s">
        <v>2622</v>
      </c>
      <c r="AJ412" s="4" t="s">
        <v>5867</v>
      </c>
      <c r="AK412" s="4"/>
      <c r="AL412" s="3"/>
    </row>
    <row r="413" spans="1:38" x14ac:dyDescent="0.35">
      <c r="A413" s="3" t="s">
        <v>2623</v>
      </c>
      <c r="B413" s="4" t="s">
        <v>1964</v>
      </c>
      <c r="C413" s="4">
        <f>VLOOKUP(A413, [1]Planilha1!$A$3:$B$1015,2,FALSE)</f>
        <v>29496</v>
      </c>
      <c r="D413" s="4">
        <f t="shared" si="6"/>
        <v>8.1933333333333334</v>
      </c>
      <c r="E413" s="4" t="s">
        <v>1125</v>
      </c>
      <c r="F413" s="3" t="s">
        <v>1961</v>
      </c>
      <c r="G413" s="3" t="s">
        <v>44</v>
      </c>
      <c r="H413" s="3" t="s">
        <v>44</v>
      </c>
      <c r="I413" s="3" t="s">
        <v>33</v>
      </c>
      <c r="J413" s="3" t="s">
        <v>41</v>
      </c>
      <c r="L413" s="1">
        <v>46043.378564814811</v>
      </c>
      <c r="M413" s="1">
        <v>46043.386481481481</v>
      </c>
      <c r="N413" s="1">
        <v>46043.557175925926</v>
      </c>
      <c r="O413" s="3" t="s">
        <v>43</v>
      </c>
      <c r="P413" s="3" t="s">
        <v>1964</v>
      </c>
      <c r="Q413" s="3" t="s">
        <v>42</v>
      </c>
      <c r="R413" s="3" t="s">
        <v>1963</v>
      </c>
      <c r="S413" s="3" t="s">
        <v>96</v>
      </c>
      <c r="T413" s="3" t="s">
        <v>95</v>
      </c>
      <c r="U413" s="4" t="b">
        <v>1</v>
      </c>
      <c r="V413" s="3" t="s">
        <v>31</v>
      </c>
      <c r="W413" s="1"/>
      <c r="Y413" s="3" t="s">
        <v>32</v>
      </c>
      <c r="Z413" s="3" t="s">
        <v>32</v>
      </c>
      <c r="AA413" s="3"/>
      <c r="AB413" s="3"/>
      <c r="AC413" s="4" t="s">
        <v>30</v>
      </c>
      <c r="AD413" s="3"/>
      <c r="AE413" s="3" t="s">
        <v>1964</v>
      </c>
      <c r="AF413" s="4" t="s">
        <v>30</v>
      </c>
      <c r="AH413" s="4">
        <v>1</v>
      </c>
      <c r="AI413" s="3" t="s">
        <v>2624</v>
      </c>
      <c r="AJ413" s="4" t="s">
        <v>1962</v>
      </c>
      <c r="AK413" s="4"/>
      <c r="AL413" s="3"/>
    </row>
    <row r="414" spans="1:38" x14ac:dyDescent="0.35">
      <c r="A414" s="3" t="s">
        <v>2625</v>
      </c>
      <c r="B414" s="4" t="s">
        <v>2131</v>
      </c>
      <c r="C414" s="4">
        <f>VLOOKUP(A414, [1]Planilha1!$A$3:$B$1015,2,FALSE)</f>
        <v>33661</v>
      </c>
      <c r="D414" s="4">
        <f t="shared" si="6"/>
        <v>9.3502777777777784</v>
      </c>
      <c r="E414" s="4" t="s">
        <v>1125</v>
      </c>
      <c r="F414" s="3" t="s">
        <v>2628</v>
      </c>
      <c r="G414" s="3" t="s">
        <v>214</v>
      </c>
      <c r="H414" s="3" t="s">
        <v>44</v>
      </c>
      <c r="I414" s="3" t="s">
        <v>33</v>
      </c>
      <c r="J414" s="3" t="s">
        <v>41</v>
      </c>
      <c r="K414" s="3" t="s">
        <v>2627</v>
      </c>
      <c r="L414" s="1">
        <v>46043.357291666667</v>
      </c>
      <c r="M414" s="1">
        <v>46043.357291666667</v>
      </c>
      <c r="N414" s="1">
        <v>46043.556643518517</v>
      </c>
      <c r="O414" s="3" t="s">
        <v>43</v>
      </c>
      <c r="P414" s="3" t="s">
        <v>2131</v>
      </c>
      <c r="Q414" s="3" t="s">
        <v>42</v>
      </c>
      <c r="R414" s="3" t="s">
        <v>2629</v>
      </c>
      <c r="S414" s="3" t="s">
        <v>37</v>
      </c>
      <c r="T414" s="3" t="s">
        <v>36</v>
      </c>
      <c r="U414" s="4" t="b">
        <v>1</v>
      </c>
      <c r="V414" s="3" t="s">
        <v>28</v>
      </c>
      <c r="W414" s="1"/>
      <c r="Y414" s="3" t="s">
        <v>29</v>
      </c>
      <c r="Z414" s="3" t="s">
        <v>29</v>
      </c>
      <c r="AA414" s="3"/>
      <c r="AB414" s="3"/>
      <c r="AC414" s="4" t="s">
        <v>30</v>
      </c>
      <c r="AD414" s="3"/>
      <c r="AE414" s="3" t="s">
        <v>2131</v>
      </c>
      <c r="AF414" s="4" t="s">
        <v>30</v>
      </c>
      <c r="AH414" s="4">
        <v>2</v>
      </c>
      <c r="AI414" s="3" t="s">
        <v>2626</v>
      </c>
      <c r="AJ414" s="4" t="s">
        <v>5877</v>
      </c>
      <c r="AK414" s="4"/>
      <c r="AL414" s="3"/>
    </row>
    <row r="415" spans="1:38" x14ac:dyDescent="0.35">
      <c r="A415" s="3" t="s">
        <v>2630</v>
      </c>
      <c r="B415" s="4" t="s">
        <v>94</v>
      </c>
      <c r="C415" s="4">
        <f>VLOOKUP(A415, [1]Planilha1!$A$3:$B$1015,2,FALSE)</f>
        <v>0</v>
      </c>
      <c r="D415" s="4">
        <f t="shared" si="6"/>
        <v>0</v>
      </c>
      <c r="E415" s="4" t="s">
        <v>1125</v>
      </c>
      <c r="F415" s="3" t="s">
        <v>92</v>
      </c>
      <c r="G415" s="3" t="s">
        <v>2631</v>
      </c>
      <c r="H415" s="3" t="s">
        <v>44</v>
      </c>
      <c r="I415" s="3" t="s">
        <v>33</v>
      </c>
      <c r="J415" s="3" t="s">
        <v>60</v>
      </c>
      <c r="L415" s="1">
        <v>46043.357071759259</v>
      </c>
      <c r="M415" s="1">
        <v>46043.360509259262</v>
      </c>
      <c r="N415" s="1">
        <v>46046.375</v>
      </c>
      <c r="O415" s="3" t="s">
        <v>43</v>
      </c>
      <c r="P415" s="3" t="s">
        <v>94</v>
      </c>
      <c r="Q415" s="3" t="s">
        <v>42</v>
      </c>
      <c r="R415" s="3" t="s">
        <v>93</v>
      </c>
      <c r="S415" s="3" t="s">
        <v>120</v>
      </c>
      <c r="T415" s="3" t="s">
        <v>119</v>
      </c>
      <c r="U415" s="4" t="b">
        <v>1</v>
      </c>
      <c r="V415" s="3" t="s">
        <v>31</v>
      </c>
      <c r="W415" s="1"/>
      <c r="Y415" s="3" t="s">
        <v>32</v>
      </c>
      <c r="Z415" s="3" t="s">
        <v>32</v>
      </c>
      <c r="AA415" s="3"/>
      <c r="AB415" s="3"/>
      <c r="AC415" s="4" t="s">
        <v>30</v>
      </c>
      <c r="AD415" s="3"/>
      <c r="AE415" s="3" t="s">
        <v>94</v>
      </c>
      <c r="AF415" s="4" t="s">
        <v>30</v>
      </c>
      <c r="AH415" s="4">
        <v>0</v>
      </c>
      <c r="AI415" s="3" t="s">
        <v>2632</v>
      </c>
      <c r="AJ415" s="4"/>
      <c r="AK415" s="4"/>
      <c r="AL415" s="3"/>
    </row>
    <row r="416" spans="1:38" x14ac:dyDescent="0.35">
      <c r="A416" s="3" t="s">
        <v>2634</v>
      </c>
      <c r="B416" s="4" t="s">
        <v>2639</v>
      </c>
      <c r="C416" s="4">
        <f>VLOOKUP(A416, [1]Planilha1!$A$3:$B$1015,2,FALSE)</f>
        <v>32694</v>
      </c>
      <c r="D416" s="4">
        <f t="shared" si="6"/>
        <v>9.081666666666667</v>
      </c>
      <c r="E416" s="4" t="s">
        <v>1125</v>
      </c>
      <c r="F416" s="3" t="s">
        <v>2636</v>
      </c>
      <c r="G416" s="3" t="s">
        <v>74</v>
      </c>
      <c r="H416" s="3" t="s">
        <v>44</v>
      </c>
      <c r="I416" s="3" t="s">
        <v>33</v>
      </c>
      <c r="J416" s="3" t="s">
        <v>41</v>
      </c>
      <c r="L416" s="1">
        <v>46042.747557870367</v>
      </c>
      <c r="M416" s="1">
        <v>46042.74962962963</v>
      </c>
      <c r="N416" s="1">
        <v>46043.564201388886</v>
      </c>
      <c r="O416" s="3" t="s">
        <v>43</v>
      </c>
      <c r="P416" s="3" t="s">
        <v>2639</v>
      </c>
      <c r="Q416" s="3" t="s">
        <v>42</v>
      </c>
      <c r="R416" s="3" t="s">
        <v>2638</v>
      </c>
      <c r="S416" s="3" t="s">
        <v>80</v>
      </c>
      <c r="T416" s="3" t="s">
        <v>79</v>
      </c>
      <c r="U416" s="4" t="b">
        <v>1</v>
      </c>
      <c r="V416" s="3" t="s">
        <v>31</v>
      </c>
      <c r="W416" s="1"/>
      <c r="Y416" s="3" t="s">
        <v>32</v>
      </c>
      <c r="Z416" s="3" t="s">
        <v>32</v>
      </c>
      <c r="AA416" s="3"/>
      <c r="AB416" s="3"/>
      <c r="AC416" s="4" t="s">
        <v>30</v>
      </c>
      <c r="AD416" s="3"/>
      <c r="AE416" s="3" t="s">
        <v>2639</v>
      </c>
      <c r="AF416" s="4" t="s">
        <v>30</v>
      </c>
      <c r="AH416" s="4">
        <v>1</v>
      </c>
      <c r="AI416" s="3" t="s">
        <v>2635</v>
      </c>
      <c r="AJ416" s="4" t="s">
        <v>2637</v>
      </c>
      <c r="AK416" s="4"/>
      <c r="AL416" s="3"/>
    </row>
    <row r="417" spans="1:38" x14ac:dyDescent="0.35">
      <c r="A417" s="3" t="s">
        <v>2640</v>
      </c>
      <c r="B417" s="4" t="s">
        <v>2646</v>
      </c>
      <c r="C417" s="4">
        <f>VLOOKUP(A417, [1]Planilha1!$A$3:$B$1015,2,FALSE)</f>
        <v>40958</v>
      </c>
      <c r="D417" s="4">
        <f t="shared" si="6"/>
        <v>11.377222222222223</v>
      </c>
      <c r="E417" s="4" t="s">
        <v>1125</v>
      </c>
      <c r="F417" s="3" t="s">
        <v>2643</v>
      </c>
      <c r="G417" s="3" t="s">
        <v>2641</v>
      </c>
      <c r="H417" s="3" t="s">
        <v>224</v>
      </c>
      <c r="I417" s="3" t="s">
        <v>33</v>
      </c>
      <c r="J417" s="3" t="s">
        <v>41</v>
      </c>
      <c r="L417" s="1">
        <v>46042.728136574071</v>
      </c>
      <c r="M417" s="1">
        <v>46042.728136574071</v>
      </c>
      <c r="N417" s="1">
        <v>46043.5703587963</v>
      </c>
      <c r="O417" s="3" t="s">
        <v>223</v>
      </c>
      <c r="P417" s="3" t="s">
        <v>2646</v>
      </c>
      <c r="Q417" s="3" t="s">
        <v>42</v>
      </c>
      <c r="R417" s="3" t="s">
        <v>2645</v>
      </c>
      <c r="S417" s="3" t="s">
        <v>37</v>
      </c>
      <c r="T417" s="3" t="s">
        <v>36</v>
      </c>
      <c r="U417" s="4" t="b">
        <v>1</v>
      </c>
      <c r="V417" s="3" t="s">
        <v>28</v>
      </c>
      <c r="W417" s="1"/>
      <c r="Y417" s="3" t="s">
        <v>29</v>
      </c>
      <c r="Z417" s="3" t="s">
        <v>29</v>
      </c>
      <c r="AA417" s="3"/>
      <c r="AB417" s="3"/>
      <c r="AC417" s="4" t="s">
        <v>30</v>
      </c>
      <c r="AD417" s="3"/>
      <c r="AE417" s="3" t="s">
        <v>2646</v>
      </c>
      <c r="AF417" s="4" t="s">
        <v>30</v>
      </c>
      <c r="AH417" s="4">
        <v>1</v>
      </c>
      <c r="AI417" s="3" t="s">
        <v>2642</v>
      </c>
      <c r="AJ417" s="4" t="s">
        <v>2644</v>
      </c>
      <c r="AK417" s="4"/>
      <c r="AL417" s="3"/>
    </row>
    <row r="418" spans="1:38" x14ac:dyDescent="0.35">
      <c r="A418" s="3" t="s">
        <v>2369</v>
      </c>
      <c r="B418" s="4" t="s">
        <v>2372</v>
      </c>
      <c r="C418" s="4">
        <f>VLOOKUP(A418, [1]Planilha1!$A$3:$B$1015,2,FALSE)</f>
        <v>32584</v>
      </c>
      <c r="D418" s="4">
        <f t="shared" si="6"/>
        <v>9.051111111111112</v>
      </c>
      <c r="E418" s="4" t="s">
        <v>1125</v>
      </c>
      <c r="F418" s="3" t="s">
        <v>2370</v>
      </c>
      <c r="G418" s="3" t="s">
        <v>74</v>
      </c>
      <c r="H418" s="3" t="s">
        <v>44</v>
      </c>
      <c r="I418" s="3" t="s">
        <v>33</v>
      </c>
      <c r="J418" s="3" t="s">
        <v>41</v>
      </c>
      <c r="L418" s="1">
        <v>46042.701226851852</v>
      </c>
      <c r="M418" s="1">
        <v>46042.703032407408</v>
      </c>
      <c r="N418" s="1">
        <v>46043.563564814816</v>
      </c>
      <c r="O418" s="3" t="s">
        <v>43</v>
      </c>
      <c r="P418" s="3" t="s">
        <v>2372</v>
      </c>
      <c r="Q418" s="3" t="s">
        <v>42</v>
      </c>
      <c r="R418" s="3" t="s">
        <v>2371</v>
      </c>
      <c r="S418" s="3" t="s">
        <v>80</v>
      </c>
      <c r="T418" s="3" t="s">
        <v>79</v>
      </c>
      <c r="U418" s="4" t="b">
        <v>1</v>
      </c>
      <c r="V418" s="3" t="s">
        <v>31</v>
      </c>
      <c r="W418" s="1"/>
      <c r="Y418" s="3" t="s">
        <v>32</v>
      </c>
      <c r="Z418" s="3" t="s">
        <v>32</v>
      </c>
      <c r="AA418" s="3"/>
      <c r="AB418" s="3"/>
      <c r="AC418" s="4" t="s">
        <v>30</v>
      </c>
      <c r="AD418" s="3"/>
      <c r="AE418" s="3" t="s">
        <v>2372</v>
      </c>
      <c r="AF418" s="4" t="s">
        <v>30</v>
      </c>
      <c r="AH418" s="4">
        <v>1</v>
      </c>
      <c r="AI418" s="3" t="s">
        <v>2647</v>
      </c>
      <c r="AJ418" s="4" t="s">
        <v>5864</v>
      </c>
      <c r="AK418" s="4"/>
      <c r="AL418" s="3"/>
    </row>
    <row r="419" spans="1:38" x14ac:dyDescent="0.35">
      <c r="A419" s="3" t="s">
        <v>2648</v>
      </c>
      <c r="B419" s="4" t="s">
        <v>94</v>
      </c>
      <c r="C419" s="4">
        <f>VLOOKUP(A419, [1]Planilha1!$A$3:$B$1015,2,FALSE)</f>
        <v>0</v>
      </c>
      <c r="D419" s="4">
        <f t="shared" si="6"/>
        <v>0</v>
      </c>
      <c r="E419" s="4" t="s">
        <v>1125</v>
      </c>
      <c r="F419" s="3" t="s">
        <v>92</v>
      </c>
      <c r="G419" s="3" t="s">
        <v>2649</v>
      </c>
      <c r="H419" s="3" t="s">
        <v>148</v>
      </c>
      <c r="I419" s="3" t="s">
        <v>33</v>
      </c>
      <c r="J419" s="3" t="s">
        <v>459</v>
      </c>
      <c r="L419" s="1">
        <v>46042.684699074074</v>
      </c>
      <c r="M419" s="1">
        <v>46042.685694444444</v>
      </c>
      <c r="N419" s="1">
        <v>46045.708333333336</v>
      </c>
      <c r="O419" s="3" t="s">
        <v>147</v>
      </c>
      <c r="P419" s="3" t="s">
        <v>94</v>
      </c>
      <c r="Q419" s="3" t="s">
        <v>35</v>
      </c>
      <c r="R419" s="3" t="s">
        <v>93</v>
      </c>
      <c r="S419" s="3" t="s">
        <v>82</v>
      </c>
      <c r="T419" s="3" t="s">
        <v>81</v>
      </c>
      <c r="U419" s="4" t="b">
        <v>1</v>
      </c>
      <c r="V419" s="3" t="s">
        <v>31</v>
      </c>
      <c r="W419" s="1"/>
      <c r="Y419" s="3" t="s">
        <v>32</v>
      </c>
      <c r="Z419" s="3" t="s">
        <v>32</v>
      </c>
      <c r="AA419" s="3"/>
      <c r="AB419" s="3"/>
      <c r="AC419" s="4" t="s">
        <v>30</v>
      </c>
      <c r="AD419" s="3"/>
      <c r="AE419" s="3" t="s">
        <v>94</v>
      </c>
      <c r="AF419" s="4" t="s">
        <v>30</v>
      </c>
      <c r="AH419" s="4">
        <v>0</v>
      </c>
      <c r="AI419" s="3" t="s">
        <v>2650</v>
      </c>
      <c r="AJ419" s="4"/>
      <c r="AK419" s="4"/>
      <c r="AL419" s="3"/>
    </row>
    <row r="420" spans="1:38" x14ac:dyDescent="0.35">
      <c r="A420" s="3" t="s">
        <v>2651</v>
      </c>
      <c r="B420" s="4" t="s">
        <v>2656</v>
      </c>
      <c r="C420" s="4">
        <f>VLOOKUP(A420, [1]Planilha1!$A$3:$B$1015,2,FALSE)</f>
        <v>31028</v>
      </c>
      <c r="D420" s="4">
        <f t="shared" si="6"/>
        <v>8.6188888888888897</v>
      </c>
      <c r="E420" s="4" t="s">
        <v>1125</v>
      </c>
      <c r="F420" s="3" t="s">
        <v>2653</v>
      </c>
      <c r="G420" s="3" t="s">
        <v>100</v>
      </c>
      <c r="H420" s="3" t="s">
        <v>44</v>
      </c>
      <c r="I420" s="3" t="s">
        <v>33</v>
      </c>
      <c r="J420" s="3" t="s">
        <v>41</v>
      </c>
      <c r="L420" s="1">
        <v>46042.682881944442</v>
      </c>
      <c r="M420" s="1">
        <v>46042.688414351855</v>
      </c>
      <c r="N420" s="1">
        <v>46043.554560185185</v>
      </c>
      <c r="O420" s="3" t="s">
        <v>43</v>
      </c>
      <c r="P420" s="3" t="s">
        <v>2656</v>
      </c>
      <c r="Q420" s="3" t="s">
        <v>42</v>
      </c>
      <c r="R420" s="3" t="s">
        <v>2655</v>
      </c>
      <c r="S420" s="3" t="s">
        <v>62</v>
      </c>
      <c r="T420" s="3" t="s">
        <v>61</v>
      </c>
      <c r="U420" s="4" t="b">
        <v>1</v>
      </c>
      <c r="V420" s="3" t="s">
        <v>31</v>
      </c>
      <c r="W420" s="1"/>
      <c r="Y420" s="3" t="s">
        <v>32</v>
      </c>
      <c r="Z420" s="3" t="s">
        <v>32</v>
      </c>
      <c r="AA420" s="3"/>
      <c r="AB420" s="3"/>
      <c r="AC420" s="4" t="s">
        <v>30</v>
      </c>
      <c r="AD420" s="3"/>
      <c r="AE420" s="3" t="s">
        <v>2656</v>
      </c>
      <c r="AF420" s="4" t="s">
        <v>30</v>
      </c>
      <c r="AH420" s="4">
        <v>1</v>
      </c>
      <c r="AI420" s="3" t="s">
        <v>2652</v>
      </c>
      <c r="AJ420" s="4" t="s">
        <v>2654</v>
      </c>
      <c r="AK420" s="4"/>
      <c r="AL420" s="3"/>
    </row>
    <row r="421" spans="1:38" x14ac:dyDescent="0.35">
      <c r="A421" s="3" t="s">
        <v>2657</v>
      </c>
      <c r="B421" s="4" t="s">
        <v>2131</v>
      </c>
      <c r="C421" s="4">
        <f>VLOOKUP(A421, [1]Planilha1!$A$3:$B$1015,2,FALSE)</f>
        <v>0</v>
      </c>
      <c r="D421" s="4">
        <f t="shared" si="6"/>
        <v>0</v>
      </c>
      <c r="E421" s="4" t="s">
        <v>1125</v>
      </c>
      <c r="F421" s="3" t="s">
        <v>2659</v>
      </c>
      <c r="G421" s="3" t="s">
        <v>352</v>
      </c>
      <c r="H421" s="3" t="s">
        <v>195</v>
      </c>
      <c r="I421" s="3" t="s">
        <v>33</v>
      </c>
      <c r="J421" s="3" t="s">
        <v>459</v>
      </c>
      <c r="K421" s="3" t="s">
        <v>2627</v>
      </c>
      <c r="L421" s="1">
        <v>46042.65384259259</v>
      </c>
      <c r="M421" s="1">
        <v>46042.65384259259</v>
      </c>
      <c r="N421" s="1">
        <v>46045.708333333336</v>
      </c>
      <c r="O421" s="3" t="s">
        <v>194</v>
      </c>
      <c r="P421" s="3" t="s">
        <v>2131</v>
      </c>
      <c r="Q421" s="3" t="s">
        <v>35</v>
      </c>
      <c r="R421" s="3" t="s">
        <v>2660</v>
      </c>
      <c r="S421" s="3" t="s">
        <v>37</v>
      </c>
      <c r="T421" s="3" t="s">
        <v>36</v>
      </c>
      <c r="U421" s="4" t="b">
        <v>0</v>
      </c>
      <c r="V421" s="3" t="s">
        <v>28</v>
      </c>
      <c r="W421" s="1"/>
      <c r="Y421" s="3" t="s">
        <v>29</v>
      </c>
      <c r="Z421" s="3" t="s">
        <v>29</v>
      </c>
      <c r="AA421" s="3"/>
      <c r="AB421" s="3"/>
      <c r="AC421" s="4" t="s">
        <v>30</v>
      </c>
      <c r="AD421" s="3"/>
      <c r="AE421" s="3" t="s">
        <v>2131</v>
      </c>
      <c r="AF421" s="4" t="s">
        <v>30</v>
      </c>
      <c r="AH421" s="4">
        <v>0</v>
      </c>
      <c r="AI421" s="3" t="s">
        <v>2658</v>
      </c>
      <c r="AJ421" s="4">
        <v>13725</v>
      </c>
      <c r="AK421" s="4"/>
      <c r="AL421" s="3"/>
    </row>
    <row r="422" spans="1:38" x14ac:dyDescent="0.35">
      <c r="A422" s="3" t="s">
        <v>2661</v>
      </c>
      <c r="B422" s="4" t="s">
        <v>94</v>
      </c>
      <c r="C422" s="4">
        <f>VLOOKUP(A422, [1]Planilha1!$A$3:$B$1015,2,FALSE)</f>
        <v>0</v>
      </c>
      <c r="D422" s="4">
        <f t="shared" si="6"/>
        <v>0</v>
      </c>
      <c r="E422" s="4" t="s">
        <v>1125</v>
      </c>
      <c r="F422" s="3" t="s">
        <v>92</v>
      </c>
      <c r="G422" s="3" t="s">
        <v>42</v>
      </c>
      <c r="H422" s="3" t="s">
        <v>42</v>
      </c>
      <c r="I422" s="3" t="s">
        <v>33</v>
      </c>
      <c r="J422" s="3" t="s">
        <v>459</v>
      </c>
      <c r="L422" s="1">
        <v>46042.653611111113</v>
      </c>
      <c r="M422" s="1">
        <v>46042.655659722222</v>
      </c>
      <c r="N422" s="1">
        <v>46045.666678240741</v>
      </c>
      <c r="O422" s="3" t="s">
        <v>1079</v>
      </c>
      <c r="P422" s="3" t="s">
        <v>94</v>
      </c>
      <c r="Q422" s="3" t="s">
        <v>35</v>
      </c>
      <c r="R422" s="3" t="s">
        <v>93</v>
      </c>
      <c r="S422" s="3" t="s">
        <v>82</v>
      </c>
      <c r="T422" s="3" t="s">
        <v>81</v>
      </c>
      <c r="U422" s="4" t="b">
        <v>1</v>
      </c>
      <c r="V422" s="3" t="s">
        <v>31</v>
      </c>
      <c r="W422" s="1"/>
      <c r="Y422" s="3" t="s">
        <v>32</v>
      </c>
      <c r="Z422" s="3" t="s">
        <v>32</v>
      </c>
      <c r="AA422" s="3"/>
      <c r="AB422" s="3"/>
      <c r="AC422" s="4" t="s">
        <v>30</v>
      </c>
      <c r="AD422" s="3"/>
      <c r="AE422" s="3" t="s">
        <v>94</v>
      </c>
      <c r="AF422" s="4" t="s">
        <v>30</v>
      </c>
      <c r="AH422" s="4">
        <v>0</v>
      </c>
      <c r="AI422" s="3" t="s">
        <v>2662</v>
      </c>
      <c r="AJ422" s="4"/>
      <c r="AK422" s="4"/>
      <c r="AL422" s="3"/>
    </row>
    <row r="423" spans="1:38" x14ac:dyDescent="0.35">
      <c r="A423" s="3" t="s">
        <v>2663</v>
      </c>
      <c r="B423" s="4" t="s">
        <v>2667</v>
      </c>
      <c r="C423" s="4">
        <f>VLOOKUP(A423, [1]Planilha1!$A$3:$B$1015,2,FALSE)</f>
        <v>32466</v>
      </c>
      <c r="D423" s="4">
        <f t="shared" si="6"/>
        <v>9.0183333333333326</v>
      </c>
      <c r="E423" s="4" t="s">
        <v>1125</v>
      </c>
      <c r="F423" s="3" t="s">
        <v>2665</v>
      </c>
      <c r="G423" s="3" t="s">
        <v>74</v>
      </c>
      <c r="H423" s="3" t="s">
        <v>44</v>
      </c>
      <c r="I423" s="3" t="s">
        <v>33</v>
      </c>
      <c r="J423" s="3" t="s">
        <v>41</v>
      </c>
      <c r="L423" s="1">
        <v>46042.642407407409</v>
      </c>
      <c r="M423" s="1">
        <v>46042.64398148148</v>
      </c>
      <c r="N423" s="1">
        <v>46043.562881944446</v>
      </c>
      <c r="O423" s="3" t="s">
        <v>43</v>
      </c>
      <c r="P423" s="3" t="s">
        <v>2667</v>
      </c>
      <c r="Q423" s="3" t="s">
        <v>42</v>
      </c>
      <c r="R423" s="3" t="s">
        <v>2666</v>
      </c>
      <c r="S423" s="3" t="s">
        <v>80</v>
      </c>
      <c r="T423" s="3" t="s">
        <v>79</v>
      </c>
      <c r="U423" s="4" t="b">
        <v>1</v>
      </c>
      <c r="V423" s="3" t="s">
        <v>31</v>
      </c>
      <c r="W423" s="1"/>
      <c r="Y423" s="3" t="s">
        <v>32</v>
      </c>
      <c r="Z423" s="3" t="s">
        <v>32</v>
      </c>
      <c r="AA423" s="3"/>
      <c r="AB423" s="3"/>
      <c r="AC423" s="4" t="s">
        <v>30</v>
      </c>
      <c r="AD423" s="3"/>
      <c r="AE423" s="3" t="s">
        <v>2667</v>
      </c>
      <c r="AF423" s="4" t="s">
        <v>30</v>
      </c>
      <c r="AH423" s="4">
        <v>1</v>
      </c>
      <c r="AI423" s="3" t="s">
        <v>2664</v>
      </c>
      <c r="AJ423" s="4"/>
      <c r="AK423" s="4"/>
      <c r="AL423" s="3"/>
    </row>
    <row r="424" spans="1:38" x14ac:dyDescent="0.35">
      <c r="A424" s="3" t="s">
        <v>2668</v>
      </c>
      <c r="B424" s="4" t="s">
        <v>2674</v>
      </c>
      <c r="C424" s="4">
        <f>VLOOKUP(A424, [1]Planilha1!$A$3:$B$1015,2,FALSE)</f>
        <v>30912</v>
      </c>
      <c r="D424" s="4">
        <f t="shared" si="6"/>
        <v>8.586666666666666</v>
      </c>
      <c r="E424" s="4" t="s">
        <v>1125</v>
      </c>
      <c r="F424" s="3" t="s">
        <v>2671</v>
      </c>
      <c r="G424" s="3" t="s">
        <v>214</v>
      </c>
      <c r="H424" s="3" t="s">
        <v>44</v>
      </c>
      <c r="I424" s="3" t="s">
        <v>33</v>
      </c>
      <c r="J424" s="3" t="s">
        <v>41</v>
      </c>
      <c r="K424" s="3" t="s">
        <v>2670</v>
      </c>
      <c r="L424" s="1">
        <v>46042.642083333332</v>
      </c>
      <c r="M424" s="1">
        <v>46042.669479166667</v>
      </c>
      <c r="N424" s="1">
        <v>46043.553888888891</v>
      </c>
      <c r="O424" s="3" t="s">
        <v>43</v>
      </c>
      <c r="P424" s="3" t="s">
        <v>2674</v>
      </c>
      <c r="Q424" s="3" t="s">
        <v>42</v>
      </c>
      <c r="R424" s="3" t="s">
        <v>2673</v>
      </c>
      <c r="S424" s="3" t="s">
        <v>144</v>
      </c>
      <c r="T424" s="3" t="s">
        <v>143</v>
      </c>
      <c r="U424" s="4" t="b">
        <v>1</v>
      </c>
      <c r="V424" s="3" t="s">
        <v>31</v>
      </c>
      <c r="W424" s="1"/>
      <c r="Y424" s="3" t="s">
        <v>32</v>
      </c>
      <c r="Z424" s="3" t="s">
        <v>32</v>
      </c>
      <c r="AA424" s="3"/>
      <c r="AB424" s="3"/>
      <c r="AC424" s="4" t="s">
        <v>30</v>
      </c>
      <c r="AD424" s="3"/>
      <c r="AE424" s="3" t="s">
        <v>2674</v>
      </c>
      <c r="AF424" s="4" t="s">
        <v>30</v>
      </c>
      <c r="AH424" s="4">
        <v>1</v>
      </c>
      <c r="AI424" s="3" t="s">
        <v>2669</v>
      </c>
      <c r="AJ424" s="4" t="s">
        <v>2672</v>
      </c>
      <c r="AK424" s="4"/>
      <c r="AL424" s="3"/>
    </row>
    <row r="425" spans="1:38" x14ac:dyDescent="0.35">
      <c r="A425" s="3" t="s">
        <v>2675</v>
      </c>
      <c r="B425" s="4" t="s">
        <v>2681</v>
      </c>
      <c r="C425" s="4">
        <f>VLOOKUP(A425, [1]Planilha1!$A$3:$B$1015,2,FALSE)</f>
        <v>0</v>
      </c>
      <c r="D425" s="4">
        <f t="shared" si="6"/>
        <v>0</v>
      </c>
      <c r="E425" s="4" t="s">
        <v>1125</v>
      </c>
      <c r="F425" s="3" t="s">
        <v>2678</v>
      </c>
      <c r="G425" s="3" t="s">
        <v>134</v>
      </c>
      <c r="H425" s="3" t="s">
        <v>138</v>
      </c>
      <c r="I425" s="3" t="s">
        <v>33</v>
      </c>
      <c r="J425" s="3" t="s">
        <v>60</v>
      </c>
      <c r="K425" s="3" t="s">
        <v>2677</v>
      </c>
      <c r="L425" s="1">
        <v>46042.635127314818</v>
      </c>
      <c r="M425" s="1">
        <v>46042.643287037034</v>
      </c>
      <c r="N425" s="1">
        <v>46045.666678240741</v>
      </c>
      <c r="O425" s="3" t="s">
        <v>137</v>
      </c>
      <c r="P425" s="3" t="s">
        <v>2681</v>
      </c>
      <c r="Q425" s="3" t="s">
        <v>35</v>
      </c>
      <c r="R425" s="3" t="s">
        <v>2680</v>
      </c>
      <c r="S425" s="3" t="s">
        <v>144</v>
      </c>
      <c r="T425" s="3" t="s">
        <v>143</v>
      </c>
      <c r="U425" s="4" t="b">
        <v>1</v>
      </c>
      <c r="V425" s="3" t="s">
        <v>31</v>
      </c>
      <c r="W425" s="1"/>
      <c r="Y425" s="3" t="s">
        <v>32</v>
      </c>
      <c r="Z425" s="3" t="s">
        <v>32</v>
      </c>
      <c r="AA425" s="3"/>
      <c r="AB425" s="3"/>
      <c r="AC425" s="4" t="s">
        <v>30</v>
      </c>
      <c r="AD425" s="3"/>
      <c r="AE425" s="3" t="s">
        <v>2681</v>
      </c>
      <c r="AF425" s="4" t="s">
        <v>30</v>
      </c>
      <c r="AH425" s="4">
        <v>0</v>
      </c>
      <c r="AI425" s="3" t="s">
        <v>2676</v>
      </c>
      <c r="AJ425" s="4" t="s">
        <v>2679</v>
      </c>
      <c r="AK425" s="4"/>
      <c r="AL425" s="3"/>
    </row>
    <row r="426" spans="1:38" x14ac:dyDescent="0.35">
      <c r="A426" s="3" t="s">
        <v>2682</v>
      </c>
      <c r="B426" s="4" t="s">
        <v>94</v>
      </c>
      <c r="C426" s="4">
        <f>VLOOKUP(A426, [1]Planilha1!$A$3:$B$1015,2,FALSE)</f>
        <v>0</v>
      </c>
      <c r="D426" s="4">
        <f t="shared" si="6"/>
        <v>0</v>
      </c>
      <c r="E426" s="4" t="s">
        <v>1125</v>
      </c>
      <c r="F426" s="3" t="s">
        <v>92</v>
      </c>
      <c r="G426" s="3" t="s">
        <v>2683</v>
      </c>
      <c r="H426" s="3" t="s">
        <v>44</v>
      </c>
      <c r="I426" s="3" t="s">
        <v>33</v>
      </c>
      <c r="J426" s="3" t="s">
        <v>60</v>
      </c>
      <c r="L426" s="1">
        <v>46042.631122685183</v>
      </c>
      <c r="M426" s="1">
        <v>46042.637858796297</v>
      </c>
      <c r="N426" s="1">
        <v>46045.666678240741</v>
      </c>
      <c r="O426" s="3" t="s">
        <v>43</v>
      </c>
      <c r="P426" s="3" t="s">
        <v>94</v>
      </c>
      <c r="Q426" s="3" t="s">
        <v>35</v>
      </c>
      <c r="R426" s="3" t="s">
        <v>93</v>
      </c>
      <c r="S426" s="3" t="s">
        <v>62</v>
      </c>
      <c r="T426" s="3" t="s">
        <v>61</v>
      </c>
      <c r="U426" s="4" t="b">
        <v>1</v>
      </c>
      <c r="V426" s="3" t="s">
        <v>31</v>
      </c>
      <c r="W426" s="1"/>
      <c r="Y426" s="3" t="s">
        <v>32</v>
      </c>
      <c r="Z426" s="3" t="s">
        <v>32</v>
      </c>
      <c r="AA426" s="3"/>
      <c r="AB426" s="3"/>
      <c r="AC426" s="4" t="s">
        <v>30</v>
      </c>
      <c r="AD426" s="3"/>
      <c r="AE426" s="3" t="s">
        <v>94</v>
      </c>
      <c r="AF426" s="4" t="s">
        <v>30</v>
      </c>
      <c r="AH426" s="4">
        <v>0</v>
      </c>
      <c r="AI426" s="3" t="s">
        <v>2684</v>
      </c>
      <c r="AJ426" s="4"/>
      <c r="AK426" s="4"/>
      <c r="AL426" s="3"/>
    </row>
    <row r="427" spans="1:38" x14ac:dyDescent="0.35">
      <c r="A427" s="3" t="s">
        <v>2685</v>
      </c>
      <c r="B427" s="4" t="s">
        <v>2691</v>
      </c>
      <c r="C427" s="4">
        <f>VLOOKUP(A427, [1]Planilha1!$A$3:$B$1015,2,FALSE)</f>
        <v>0</v>
      </c>
      <c r="D427" s="4">
        <f t="shared" si="6"/>
        <v>0</v>
      </c>
      <c r="E427" s="4" t="s">
        <v>1125</v>
      </c>
      <c r="F427" s="3" t="s">
        <v>2688</v>
      </c>
      <c r="G427" s="3" t="s">
        <v>214</v>
      </c>
      <c r="H427" s="3" t="s">
        <v>44</v>
      </c>
      <c r="I427" s="3" t="s">
        <v>33</v>
      </c>
      <c r="J427" s="3" t="s">
        <v>60</v>
      </c>
      <c r="K427" s="3" t="s">
        <v>2687</v>
      </c>
      <c r="L427" s="1">
        <v>46042.617766203701</v>
      </c>
      <c r="M427" s="1">
        <v>46042.645613425928</v>
      </c>
      <c r="N427" s="1">
        <v>46045.666678240741</v>
      </c>
      <c r="O427" s="3" t="s">
        <v>43</v>
      </c>
      <c r="P427" s="3" t="s">
        <v>2691</v>
      </c>
      <c r="Q427" s="3" t="s">
        <v>35</v>
      </c>
      <c r="R427" s="3" t="s">
        <v>2690</v>
      </c>
      <c r="S427" s="3" t="s">
        <v>144</v>
      </c>
      <c r="T427" s="3" t="s">
        <v>143</v>
      </c>
      <c r="U427" s="4" t="b">
        <v>1</v>
      </c>
      <c r="V427" s="3" t="s">
        <v>31</v>
      </c>
      <c r="W427" s="1"/>
      <c r="Y427" s="3" t="s">
        <v>32</v>
      </c>
      <c r="Z427" s="3" t="s">
        <v>32</v>
      </c>
      <c r="AA427" s="3"/>
      <c r="AB427" s="3"/>
      <c r="AC427" s="4" t="s">
        <v>30</v>
      </c>
      <c r="AD427" s="3"/>
      <c r="AE427" s="3" t="s">
        <v>2691</v>
      </c>
      <c r="AF427" s="4" t="s">
        <v>30</v>
      </c>
      <c r="AH427" s="4">
        <v>0</v>
      </c>
      <c r="AI427" s="3" t="s">
        <v>2686</v>
      </c>
      <c r="AJ427" s="4" t="s">
        <v>2689</v>
      </c>
      <c r="AK427" s="4"/>
      <c r="AL427" s="3"/>
    </row>
    <row r="428" spans="1:38" x14ac:dyDescent="0.35">
      <c r="A428" s="3" t="s">
        <v>2692</v>
      </c>
      <c r="B428" s="4" t="s">
        <v>2697</v>
      </c>
      <c r="C428" s="4">
        <f>VLOOKUP(A428, [1]Planilha1!$A$3:$B$1015,2,FALSE)</f>
        <v>32380</v>
      </c>
      <c r="D428" s="4">
        <f t="shared" si="6"/>
        <v>8.9944444444444436</v>
      </c>
      <c r="E428" s="4" t="s">
        <v>1125</v>
      </c>
      <c r="F428" s="3" t="s">
        <v>2694</v>
      </c>
      <c r="G428" s="3" t="s">
        <v>74</v>
      </c>
      <c r="H428" s="3" t="s">
        <v>44</v>
      </c>
      <c r="I428" s="3" t="s">
        <v>33</v>
      </c>
      <c r="J428" s="3" t="s">
        <v>41</v>
      </c>
      <c r="L428" s="1">
        <v>46042.59002314815</v>
      </c>
      <c r="M428" s="1">
        <v>46042.591828703706</v>
      </c>
      <c r="N428" s="1">
        <v>46043.562384259261</v>
      </c>
      <c r="O428" s="3" t="s">
        <v>43</v>
      </c>
      <c r="P428" s="3" t="s">
        <v>2697</v>
      </c>
      <c r="Q428" s="3" t="s">
        <v>42</v>
      </c>
      <c r="R428" s="3" t="s">
        <v>2696</v>
      </c>
      <c r="S428" s="3" t="s">
        <v>80</v>
      </c>
      <c r="T428" s="3" t="s">
        <v>79</v>
      </c>
      <c r="U428" s="4" t="b">
        <v>1</v>
      </c>
      <c r="V428" s="3" t="s">
        <v>31</v>
      </c>
      <c r="W428" s="1"/>
      <c r="Y428" s="3" t="s">
        <v>32</v>
      </c>
      <c r="Z428" s="3" t="s">
        <v>32</v>
      </c>
      <c r="AA428" s="3"/>
      <c r="AB428" s="3"/>
      <c r="AC428" s="4" t="s">
        <v>30</v>
      </c>
      <c r="AD428" s="3"/>
      <c r="AE428" s="3" t="s">
        <v>2697</v>
      </c>
      <c r="AF428" s="4" t="s">
        <v>30</v>
      </c>
      <c r="AH428" s="4">
        <v>1</v>
      </c>
      <c r="AI428" s="3" t="s">
        <v>2693</v>
      </c>
      <c r="AJ428" s="4" t="s">
        <v>2695</v>
      </c>
      <c r="AK428" s="4"/>
      <c r="AL428" s="3"/>
    </row>
    <row r="429" spans="1:38" x14ac:dyDescent="0.35">
      <c r="A429" s="3" t="s">
        <v>2699</v>
      </c>
      <c r="B429" s="4" t="s">
        <v>2452</v>
      </c>
      <c r="C429" s="4">
        <f>VLOOKUP(A429, [1]Planilha1!$A$3:$B$1015,2,FALSE)</f>
        <v>1906</v>
      </c>
      <c r="D429" s="4">
        <f t="shared" si="6"/>
        <v>0.5294444444444445</v>
      </c>
      <c r="E429" s="4" t="s">
        <v>1125</v>
      </c>
      <c r="F429" s="3" t="s">
        <v>2449</v>
      </c>
      <c r="G429" s="3" t="s">
        <v>800</v>
      </c>
      <c r="H429" s="3" t="s">
        <v>44</v>
      </c>
      <c r="I429" s="3" t="s">
        <v>33</v>
      </c>
      <c r="J429" s="3" t="s">
        <v>34</v>
      </c>
      <c r="L429" s="1">
        <v>46042.583564814813</v>
      </c>
      <c r="M429" s="1">
        <v>46042.587048611109</v>
      </c>
      <c r="N429" s="1">
        <v>46046.416666666664</v>
      </c>
      <c r="O429" s="3" t="s">
        <v>43</v>
      </c>
      <c r="P429" s="3" t="s">
        <v>2452</v>
      </c>
      <c r="Q429" s="3" t="s">
        <v>35</v>
      </c>
      <c r="R429" s="3" t="s">
        <v>2451</v>
      </c>
      <c r="S429" s="3" t="s">
        <v>80</v>
      </c>
      <c r="T429" s="3" t="s">
        <v>79</v>
      </c>
      <c r="U429" s="4" t="b">
        <v>1</v>
      </c>
      <c r="V429" s="3" t="s">
        <v>31</v>
      </c>
      <c r="W429" s="1"/>
      <c r="Y429" s="3" t="s">
        <v>32</v>
      </c>
      <c r="Z429" s="3" t="s">
        <v>32</v>
      </c>
      <c r="AA429" s="3"/>
      <c r="AB429" s="3"/>
      <c r="AC429" s="4" t="s">
        <v>30</v>
      </c>
      <c r="AD429" s="3"/>
      <c r="AE429" s="3" t="s">
        <v>2452</v>
      </c>
      <c r="AF429" s="4" t="s">
        <v>30</v>
      </c>
      <c r="AH429" s="4">
        <v>1</v>
      </c>
      <c r="AI429" s="3" t="s">
        <v>2700</v>
      </c>
      <c r="AJ429" s="4" t="s">
        <v>2450</v>
      </c>
      <c r="AK429" s="4"/>
      <c r="AL429" s="3"/>
    </row>
    <row r="430" spans="1:38" x14ac:dyDescent="0.35">
      <c r="A430" s="3" t="s">
        <v>2701</v>
      </c>
      <c r="B430" s="4" t="s">
        <v>2705</v>
      </c>
      <c r="C430" s="4">
        <f>VLOOKUP(A430, [1]Planilha1!$A$3:$B$1015,2,FALSE)</f>
        <v>32264</v>
      </c>
      <c r="D430" s="4">
        <f t="shared" si="6"/>
        <v>8.9622222222222216</v>
      </c>
      <c r="E430" s="4" t="s">
        <v>1125</v>
      </c>
      <c r="F430" s="3" t="s">
        <v>2703</v>
      </c>
      <c r="G430" s="3" t="s">
        <v>74</v>
      </c>
      <c r="H430" s="3" t="s">
        <v>44</v>
      </c>
      <c r="I430" s="3" t="s">
        <v>33</v>
      </c>
      <c r="J430" s="3" t="s">
        <v>41</v>
      </c>
      <c r="L430" s="1">
        <v>46042.579965277779</v>
      </c>
      <c r="M430" s="1">
        <v>46042.581284722219</v>
      </c>
      <c r="N430" s="1">
        <v>46043.561712962961</v>
      </c>
      <c r="O430" s="3" t="s">
        <v>43</v>
      </c>
      <c r="P430" s="3" t="s">
        <v>2705</v>
      </c>
      <c r="Q430" s="3" t="s">
        <v>42</v>
      </c>
      <c r="R430" s="3" t="s">
        <v>2704</v>
      </c>
      <c r="S430" s="3" t="s">
        <v>80</v>
      </c>
      <c r="T430" s="3" t="s">
        <v>79</v>
      </c>
      <c r="U430" s="4" t="b">
        <v>1</v>
      </c>
      <c r="V430" s="3" t="s">
        <v>31</v>
      </c>
      <c r="W430" s="1"/>
      <c r="Y430" s="3" t="s">
        <v>32</v>
      </c>
      <c r="Z430" s="3" t="s">
        <v>32</v>
      </c>
      <c r="AA430" s="3"/>
      <c r="AB430" s="3"/>
      <c r="AC430" s="4" t="s">
        <v>30</v>
      </c>
      <c r="AD430" s="3"/>
      <c r="AE430" s="3" t="s">
        <v>2705</v>
      </c>
      <c r="AF430" s="4" t="s">
        <v>30</v>
      </c>
      <c r="AH430" s="4">
        <v>1</v>
      </c>
      <c r="AI430" s="3" t="s">
        <v>2702</v>
      </c>
      <c r="AJ430" s="4" t="s">
        <v>5878</v>
      </c>
      <c r="AK430" s="4"/>
      <c r="AL430" s="3"/>
    </row>
    <row r="431" spans="1:38" x14ac:dyDescent="0.35">
      <c r="A431" s="3" t="s">
        <v>2706</v>
      </c>
      <c r="B431" s="4" t="s">
        <v>2712</v>
      </c>
      <c r="C431" s="4">
        <f>VLOOKUP(A431, [1]Planilha1!$A$3:$B$1015,2,FALSE)</f>
        <v>83110</v>
      </c>
      <c r="D431" s="4">
        <f t="shared" si="6"/>
        <v>23.086111111111112</v>
      </c>
      <c r="E431" s="4" t="s">
        <v>1125</v>
      </c>
      <c r="F431" s="3" t="s">
        <v>2709</v>
      </c>
      <c r="G431" s="3" t="s">
        <v>2707</v>
      </c>
      <c r="H431" s="3" t="s">
        <v>722</v>
      </c>
      <c r="I431" s="3" t="s">
        <v>33</v>
      </c>
      <c r="J431" s="3" t="s">
        <v>607</v>
      </c>
      <c r="L431" s="1">
        <v>46042.573599537034</v>
      </c>
      <c r="M431" s="1">
        <v>46042.573599537034</v>
      </c>
      <c r="N431" s="1">
        <v>46047.458344907405</v>
      </c>
      <c r="O431" s="3" t="s">
        <v>745</v>
      </c>
      <c r="P431" s="3" t="s">
        <v>2712</v>
      </c>
      <c r="Q431" s="3" t="s">
        <v>35</v>
      </c>
      <c r="R431" s="3" t="s">
        <v>2711</v>
      </c>
      <c r="S431" s="3" t="s">
        <v>37</v>
      </c>
      <c r="T431" s="3" t="s">
        <v>36</v>
      </c>
      <c r="U431" s="4" t="b">
        <v>1</v>
      </c>
      <c r="V431" s="3" t="s">
        <v>28</v>
      </c>
      <c r="W431" s="1"/>
      <c r="Y431" s="3" t="s">
        <v>29</v>
      </c>
      <c r="Z431" s="3" t="s">
        <v>29</v>
      </c>
      <c r="AA431" s="3"/>
      <c r="AB431" s="3"/>
      <c r="AC431" s="4" t="s">
        <v>30</v>
      </c>
      <c r="AD431" s="3"/>
      <c r="AE431" s="3" t="s">
        <v>2712</v>
      </c>
      <c r="AF431" s="4" t="s">
        <v>30</v>
      </c>
      <c r="AH431" s="4">
        <v>3</v>
      </c>
      <c r="AI431" s="3" t="s">
        <v>2708</v>
      </c>
      <c r="AJ431" s="4" t="s">
        <v>2710</v>
      </c>
      <c r="AK431" s="4"/>
      <c r="AL431" s="3"/>
    </row>
    <row r="432" spans="1:38" x14ac:dyDescent="0.35">
      <c r="A432" s="3" t="s">
        <v>2713</v>
      </c>
      <c r="B432" s="4" t="s">
        <v>2719</v>
      </c>
      <c r="C432" s="4">
        <f>VLOOKUP(A432, [1]Planilha1!$A$3:$B$1015,2,FALSE)</f>
        <v>30788</v>
      </c>
      <c r="D432" s="4">
        <f t="shared" si="6"/>
        <v>8.5522222222222215</v>
      </c>
      <c r="E432" s="4" t="s">
        <v>1125</v>
      </c>
      <c r="F432" s="3" t="s">
        <v>2716</v>
      </c>
      <c r="G432" s="3" t="s">
        <v>214</v>
      </c>
      <c r="H432" s="3" t="s">
        <v>44</v>
      </c>
      <c r="I432" s="3" t="s">
        <v>33</v>
      </c>
      <c r="J432" s="3" t="s">
        <v>41</v>
      </c>
      <c r="K432" s="3" t="s">
        <v>2715</v>
      </c>
      <c r="L432" s="1">
        <v>46042.545231481483</v>
      </c>
      <c r="M432" s="1">
        <v>46042.560763888891</v>
      </c>
      <c r="N432" s="1">
        <v>46043.553171296298</v>
      </c>
      <c r="O432" s="3" t="s">
        <v>43</v>
      </c>
      <c r="P432" s="3" t="s">
        <v>2719</v>
      </c>
      <c r="Q432" s="3" t="s">
        <v>42</v>
      </c>
      <c r="R432" s="3" t="s">
        <v>2718</v>
      </c>
      <c r="S432" s="3" t="s">
        <v>144</v>
      </c>
      <c r="T432" s="3" t="s">
        <v>143</v>
      </c>
      <c r="U432" s="4" t="b">
        <v>1</v>
      </c>
      <c r="V432" s="3" t="s">
        <v>31</v>
      </c>
      <c r="W432" s="1"/>
      <c r="Y432" s="3" t="s">
        <v>32</v>
      </c>
      <c r="Z432" s="3" t="s">
        <v>32</v>
      </c>
      <c r="AA432" s="3"/>
      <c r="AB432" s="3"/>
      <c r="AC432" s="4" t="s">
        <v>30</v>
      </c>
      <c r="AD432" s="3"/>
      <c r="AE432" s="3" t="s">
        <v>2719</v>
      </c>
      <c r="AF432" s="4" t="s">
        <v>30</v>
      </c>
      <c r="AH432" s="4">
        <v>1</v>
      </c>
      <c r="AI432" s="3" t="s">
        <v>2714</v>
      </c>
      <c r="AJ432" s="4" t="s">
        <v>2717</v>
      </c>
      <c r="AK432" s="4"/>
      <c r="AL432" s="3"/>
    </row>
    <row r="433" spans="1:38" x14ac:dyDescent="0.35">
      <c r="A433" s="3" t="s">
        <v>2720</v>
      </c>
      <c r="B433" s="4" t="s">
        <v>2131</v>
      </c>
      <c r="C433" s="4">
        <f>VLOOKUP(A433, [1]Planilha1!$A$3:$B$1015,2,FALSE)</f>
        <v>1638</v>
      </c>
      <c r="D433" s="4">
        <f t="shared" si="6"/>
        <v>0.45500000000000002</v>
      </c>
      <c r="E433" s="4" t="s">
        <v>1125</v>
      </c>
      <c r="F433" s="3" t="s">
        <v>2659</v>
      </c>
      <c r="G433" s="3" t="s">
        <v>74</v>
      </c>
      <c r="H433" s="3" t="s">
        <v>44</v>
      </c>
      <c r="I433" s="3" t="s">
        <v>33</v>
      </c>
      <c r="J433" s="3" t="s">
        <v>60</v>
      </c>
      <c r="K433" s="3" t="s">
        <v>2625</v>
      </c>
      <c r="L433" s="1">
        <v>46042.505914351852</v>
      </c>
      <c r="M433" s="1">
        <v>46042.507337962961</v>
      </c>
      <c r="N433" s="1">
        <v>46046.416666666664</v>
      </c>
      <c r="O433" s="3" t="s">
        <v>43</v>
      </c>
      <c r="P433" s="3" t="s">
        <v>2131</v>
      </c>
      <c r="Q433" s="3" t="s">
        <v>35</v>
      </c>
      <c r="R433" s="3" t="s">
        <v>2660</v>
      </c>
      <c r="S433" s="3" t="s">
        <v>80</v>
      </c>
      <c r="T433" s="3" t="s">
        <v>79</v>
      </c>
      <c r="U433" s="4" t="b">
        <v>1</v>
      </c>
      <c r="V433" s="3" t="s">
        <v>31</v>
      </c>
      <c r="W433" s="1"/>
      <c r="Y433" s="3" t="s">
        <v>32</v>
      </c>
      <c r="Z433" s="3" t="s">
        <v>32</v>
      </c>
      <c r="AA433" s="3"/>
      <c r="AB433" s="3"/>
      <c r="AC433" s="4" t="s">
        <v>30</v>
      </c>
      <c r="AD433" s="3"/>
      <c r="AE433" s="3" t="s">
        <v>2131</v>
      </c>
      <c r="AF433" s="4" t="s">
        <v>30</v>
      </c>
      <c r="AH433" s="4">
        <v>1</v>
      </c>
      <c r="AI433" s="3" t="s">
        <v>2721</v>
      </c>
      <c r="AJ433" s="4">
        <v>13725</v>
      </c>
      <c r="AK433" s="4"/>
      <c r="AL433" s="3"/>
    </row>
    <row r="434" spans="1:38" x14ac:dyDescent="0.35">
      <c r="A434" s="3" t="s">
        <v>2723</v>
      </c>
      <c r="B434" s="4" t="s">
        <v>2232</v>
      </c>
      <c r="C434" s="4">
        <f>VLOOKUP(A434, [1]Planilha1!$A$3:$B$1015,2,FALSE)</f>
        <v>32088</v>
      </c>
      <c r="D434" s="4">
        <f t="shared" si="6"/>
        <v>8.913333333333334</v>
      </c>
      <c r="E434" s="4" t="s">
        <v>1125</v>
      </c>
      <c r="F434" s="3" t="s">
        <v>2229</v>
      </c>
      <c r="G434" s="3" t="s">
        <v>74</v>
      </c>
      <c r="H434" s="3" t="s">
        <v>44</v>
      </c>
      <c r="I434" s="3" t="s">
        <v>33</v>
      </c>
      <c r="J434" s="3" t="s">
        <v>41</v>
      </c>
      <c r="L434" s="1">
        <v>46042.499178240738</v>
      </c>
      <c r="M434" s="1">
        <v>46042.501354166663</v>
      </c>
      <c r="N434" s="1">
        <v>46043.560694444444</v>
      </c>
      <c r="O434" s="3" t="s">
        <v>43</v>
      </c>
      <c r="P434" s="3" t="s">
        <v>2232</v>
      </c>
      <c r="Q434" s="3" t="s">
        <v>42</v>
      </c>
      <c r="R434" s="3" t="s">
        <v>2231</v>
      </c>
      <c r="S434" s="3" t="s">
        <v>80</v>
      </c>
      <c r="T434" s="3" t="s">
        <v>79</v>
      </c>
      <c r="U434" s="4" t="b">
        <v>1</v>
      </c>
      <c r="V434" s="3" t="s">
        <v>31</v>
      </c>
      <c r="W434" s="1"/>
      <c r="Y434" s="3" t="s">
        <v>32</v>
      </c>
      <c r="Z434" s="3" t="s">
        <v>32</v>
      </c>
      <c r="AA434" s="3"/>
      <c r="AB434" s="3"/>
      <c r="AC434" s="4" t="s">
        <v>30</v>
      </c>
      <c r="AD434" s="3"/>
      <c r="AE434" s="3" t="s">
        <v>2232</v>
      </c>
      <c r="AF434" s="4" t="s">
        <v>30</v>
      </c>
      <c r="AH434" s="4">
        <v>1</v>
      </c>
      <c r="AI434" s="3" t="s">
        <v>2724</v>
      </c>
      <c r="AJ434" s="4" t="s">
        <v>2230</v>
      </c>
      <c r="AK434" s="4"/>
      <c r="AL434" s="3"/>
    </row>
    <row r="435" spans="1:38" x14ac:dyDescent="0.35">
      <c r="A435" s="3" t="s">
        <v>2725</v>
      </c>
      <c r="B435" s="4" t="s">
        <v>94</v>
      </c>
      <c r="C435" s="4">
        <f>VLOOKUP(A435, [1]Planilha1!$A$3:$B$1015,2,FALSE)</f>
        <v>0</v>
      </c>
      <c r="D435" s="4">
        <f t="shared" si="6"/>
        <v>0</v>
      </c>
      <c r="E435" s="4" t="s">
        <v>1125</v>
      </c>
      <c r="F435" s="3" t="s">
        <v>92</v>
      </c>
      <c r="G435" s="3" t="s">
        <v>2726</v>
      </c>
      <c r="H435" s="3" t="s">
        <v>1125</v>
      </c>
      <c r="I435" s="3" t="s">
        <v>33</v>
      </c>
      <c r="J435" s="3" t="s">
        <v>60</v>
      </c>
      <c r="L435" s="1">
        <v>46042.492928240739</v>
      </c>
      <c r="M435" s="1">
        <v>46042.495891203704</v>
      </c>
      <c r="N435" s="1">
        <v>46045.5</v>
      </c>
      <c r="O435" s="3" t="s">
        <v>2728</v>
      </c>
      <c r="P435" s="3" t="s">
        <v>94</v>
      </c>
      <c r="Q435" s="3" t="s">
        <v>35</v>
      </c>
      <c r="R435" s="3" t="s">
        <v>93</v>
      </c>
      <c r="S435" s="3" t="s">
        <v>82</v>
      </c>
      <c r="T435" s="3" t="s">
        <v>81</v>
      </c>
      <c r="U435" s="4" t="b">
        <v>1</v>
      </c>
      <c r="V435" s="3" t="s">
        <v>31</v>
      </c>
      <c r="W435" s="1"/>
      <c r="Y435" s="3" t="s">
        <v>32</v>
      </c>
      <c r="Z435" s="3" t="s">
        <v>32</v>
      </c>
      <c r="AA435" s="3"/>
      <c r="AB435" s="3"/>
      <c r="AC435" s="4" t="s">
        <v>30</v>
      </c>
      <c r="AD435" s="3"/>
      <c r="AE435" s="3" t="s">
        <v>94</v>
      </c>
      <c r="AF435" s="4" t="s">
        <v>30</v>
      </c>
      <c r="AH435" s="4">
        <v>0</v>
      </c>
      <c r="AI435" s="3" t="s">
        <v>2727</v>
      </c>
      <c r="AJ435" s="4"/>
      <c r="AK435" s="4"/>
      <c r="AL435" s="3"/>
    </row>
    <row r="436" spans="1:38" x14ac:dyDescent="0.35">
      <c r="A436" s="3" t="s">
        <v>2729</v>
      </c>
      <c r="B436" s="4" t="s">
        <v>2734</v>
      </c>
      <c r="C436" s="4">
        <f>VLOOKUP(A436, [1]Planilha1!$A$3:$B$1015,2,FALSE)</f>
        <v>22732</v>
      </c>
      <c r="D436" s="4">
        <f t="shared" si="6"/>
        <v>6.3144444444444447</v>
      </c>
      <c r="E436" s="4" t="s">
        <v>1125</v>
      </c>
      <c r="F436" s="3" t="s">
        <v>2731</v>
      </c>
      <c r="G436" s="3" t="s">
        <v>74</v>
      </c>
      <c r="H436" s="3" t="s">
        <v>44</v>
      </c>
      <c r="I436" s="3" t="s">
        <v>33</v>
      </c>
      <c r="J436" s="3" t="s">
        <v>41</v>
      </c>
      <c r="L436" s="1">
        <v>46042.481064814812</v>
      </c>
      <c r="M436" s="1">
        <v>46042.482777777775</v>
      </c>
      <c r="N436" s="1">
        <v>46046.541666666664</v>
      </c>
      <c r="O436" s="3" t="s">
        <v>43</v>
      </c>
      <c r="P436" s="3" t="s">
        <v>2734</v>
      </c>
      <c r="Q436" s="3" t="s">
        <v>35</v>
      </c>
      <c r="R436" s="3" t="s">
        <v>2733</v>
      </c>
      <c r="S436" s="3" t="s">
        <v>80</v>
      </c>
      <c r="T436" s="3" t="s">
        <v>79</v>
      </c>
      <c r="U436" s="4" t="b">
        <v>1</v>
      </c>
      <c r="V436" s="3" t="s">
        <v>31</v>
      </c>
      <c r="W436" s="1"/>
      <c r="Y436" s="3" t="s">
        <v>32</v>
      </c>
      <c r="Z436" s="3" t="s">
        <v>32</v>
      </c>
      <c r="AA436" s="3"/>
      <c r="AB436" s="3"/>
      <c r="AC436" s="4" t="s">
        <v>30</v>
      </c>
      <c r="AD436" s="3"/>
      <c r="AE436" s="3" t="s">
        <v>2734</v>
      </c>
      <c r="AF436" s="4" t="s">
        <v>30</v>
      </c>
      <c r="AH436" s="4">
        <v>1</v>
      </c>
      <c r="AI436" s="3" t="s">
        <v>2730</v>
      </c>
      <c r="AJ436" s="4" t="s">
        <v>2732</v>
      </c>
      <c r="AK436" s="4"/>
      <c r="AL436" s="3"/>
    </row>
    <row r="437" spans="1:38" x14ac:dyDescent="0.35">
      <c r="A437" s="3" t="s">
        <v>2735</v>
      </c>
      <c r="B437" s="4" t="s">
        <v>1291</v>
      </c>
      <c r="C437" s="4">
        <f>VLOOKUP(A437, [1]Planilha1!$A$3:$B$1015,2,FALSE)</f>
        <v>31996</v>
      </c>
      <c r="D437" s="4">
        <f t="shared" si="6"/>
        <v>8.887777777777778</v>
      </c>
      <c r="E437" s="4" t="s">
        <v>1125</v>
      </c>
      <c r="F437" s="3" t="s">
        <v>1289</v>
      </c>
      <c r="G437" s="3" t="s">
        <v>74</v>
      </c>
      <c r="H437" s="3" t="s">
        <v>44</v>
      </c>
      <c r="I437" s="3" t="s">
        <v>33</v>
      </c>
      <c r="J437" s="3" t="s">
        <v>41</v>
      </c>
      <c r="L437" s="1">
        <v>46042.471354166664</v>
      </c>
      <c r="M437" s="1">
        <v>46042.472581018519</v>
      </c>
      <c r="N437" s="1">
        <v>46043.560162037036</v>
      </c>
      <c r="O437" s="3" t="s">
        <v>43</v>
      </c>
      <c r="P437" s="3" t="s">
        <v>1291</v>
      </c>
      <c r="Q437" s="3" t="s">
        <v>42</v>
      </c>
      <c r="R437" s="3" t="s">
        <v>1290</v>
      </c>
      <c r="S437" s="3" t="s">
        <v>80</v>
      </c>
      <c r="T437" s="3" t="s">
        <v>79</v>
      </c>
      <c r="U437" s="4" t="b">
        <v>1</v>
      </c>
      <c r="V437" s="3" t="s">
        <v>31</v>
      </c>
      <c r="W437" s="1"/>
      <c r="Y437" s="3" t="s">
        <v>32</v>
      </c>
      <c r="Z437" s="3" t="s">
        <v>32</v>
      </c>
      <c r="AA437" s="3"/>
      <c r="AB437" s="3"/>
      <c r="AC437" s="4" t="s">
        <v>30</v>
      </c>
      <c r="AD437" s="3"/>
      <c r="AE437" s="3" t="s">
        <v>1291</v>
      </c>
      <c r="AF437" s="4" t="s">
        <v>30</v>
      </c>
      <c r="AH437" s="4">
        <v>1</v>
      </c>
      <c r="AI437" s="3" t="s">
        <v>2736</v>
      </c>
      <c r="AJ437" s="4"/>
      <c r="AK437" s="4"/>
      <c r="AL437" s="3"/>
    </row>
    <row r="438" spans="1:38" x14ac:dyDescent="0.35">
      <c r="A438" s="3" t="s">
        <v>2737</v>
      </c>
      <c r="B438" s="4" t="s">
        <v>1515</v>
      </c>
      <c r="C438" s="4">
        <f>VLOOKUP(A438, [1]Planilha1!$A$3:$B$1015,2,FALSE)</f>
        <v>0</v>
      </c>
      <c r="D438" s="4">
        <f t="shared" si="6"/>
        <v>0</v>
      </c>
      <c r="E438" s="4" t="s">
        <v>1125</v>
      </c>
      <c r="F438" s="3" t="s">
        <v>1512</v>
      </c>
      <c r="G438" s="3" t="s">
        <v>1056</v>
      </c>
      <c r="H438" s="3" t="s">
        <v>44</v>
      </c>
      <c r="I438" s="3" t="s">
        <v>33</v>
      </c>
      <c r="J438" s="3" t="s">
        <v>60</v>
      </c>
      <c r="L438" s="1">
        <v>46042.46665509259</v>
      </c>
      <c r="M438" s="1">
        <v>46042.46665509259</v>
      </c>
      <c r="N438" s="1">
        <v>46045.5</v>
      </c>
      <c r="O438" s="3" t="s">
        <v>43</v>
      </c>
      <c r="P438" s="3" t="s">
        <v>1515</v>
      </c>
      <c r="Q438" s="3" t="s">
        <v>35</v>
      </c>
      <c r="R438" s="3" t="s">
        <v>1514</v>
      </c>
      <c r="S438" s="3" t="s">
        <v>37</v>
      </c>
      <c r="T438" s="3" t="s">
        <v>36</v>
      </c>
      <c r="U438" s="4" t="b">
        <v>1</v>
      </c>
      <c r="V438" s="3" t="s">
        <v>28</v>
      </c>
      <c r="W438" s="1"/>
      <c r="Y438" s="3" t="s">
        <v>29</v>
      </c>
      <c r="Z438" s="3" t="s">
        <v>29</v>
      </c>
      <c r="AA438" s="3"/>
      <c r="AB438" s="3"/>
      <c r="AC438" s="4" t="s">
        <v>30</v>
      </c>
      <c r="AD438" s="3"/>
      <c r="AE438" s="3" t="s">
        <v>1515</v>
      </c>
      <c r="AF438" s="4" t="s">
        <v>30</v>
      </c>
      <c r="AH438" s="4">
        <v>0</v>
      </c>
      <c r="AI438" s="3" t="s">
        <v>2738</v>
      </c>
      <c r="AJ438" s="4" t="s">
        <v>1513</v>
      </c>
      <c r="AK438" s="4"/>
      <c r="AL438" s="3"/>
    </row>
    <row r="439" spans="1:38" x14ac:dyDescent="0.35">
      <c r="A439" s="3" t="s">
        <v>2739</v>
      </c>
      <c r="B439" s="4" t="s">
        <v>94</v>
      </c>
      <c r="C439" s="4">
        <f>VLOOKUP(A439, [1]Planilha1!$A$3:$B$1015,2,FALSE)</f>
        <v>0</v>
      </c>
      <c r="D439" s="4">
        <f t="shared" si="6"/>
        <v>0</v>
      </c>
      <c r="E439" s="4" t="s">
        <v>1125</v>
      </c>
      <c r="F439" s="3" t="s">
        <v>92</v>
      </c>
      <c r="G439" s="3" t="s">
        <v>237</v>
      </c>
      <c r="H439" s="3" t="s">
        <v>237</v>
      </c>
      <c r="I439" s="3" t="s">
        <v>33</v>
      </c>
      <c r="J439" s="3" t="s">
        <v>60</v>
      </c>
      <c r="L439" s="1">
        <v>46042.46234953704</v>
      </c>
      <c r="M439" s="1">
        <v>46042.464791666665</v>
      </c>
      <c r="N439" s="1">
        <v>46045.5</v>
      </c>
      <c r="O439" s="3" t="s">
        <v>1370</v>
      </c>
      <c r="P439" s="3" t="s">
        <v>94</v>
      </c>
      <c r="Q439" s="3" t="s">
        <v>42</v>
      </c>
      <c r="R439" s="3" t="s">
        <v>93</v>
      </c>
      <c r="S439" s="3" t="s">
        <v>120</v>
      </c>
      <c r="T439" s="3" t="s">
        <v>119</v>
      </c>
      <c r="U439" s="4" t="b">
        <v>1</v>
      </c>
      <c r="V439" s="3" t="s">
        <v>31</v>
      </c>
      <c r="W439" s="1"/>
      <c r="Y439" s="3" t="s">
        <v>32</v>
      </c>
      <c r="Z439" s="3" t="s">
        <v>32</v>
      </c>
      <c r="AA439" s="3"/>
      <c r="AB439" s="3"/>
      <c r="AC439" s="4" t="s">
        <v>30</v>
      </c>
      <c r="AD439" s="3"/>
      <c r="AE439" s="3" t="s">
        <v>94</v>
      </c>
      <c r="AF439" s="4" t="s">
        <v>30</v>
      </c>
      <c r="AH439" s="4">
        <v>0</v>
      </c>
      <c r="AI439" s="3" t="s">
        <v>2740</v>
      </c>
      <c r="AJ439" s="4"/>
      <c r="AK439" s="4"/>
      <c r="AL439" s="3"/>
    </row>
    <row r="440" spans="1:38" x14ac:dyDescent="0.35">
      <c r="A440" s="3" t="s">
        <v>2741</v>
      </c>
      <c r="B440" s="4" t="s">
        <v>2746</v>
      </c>
      <c r="C440" s="4">
        <f>VLOOKUP(A440, [1]Planilha1!$A$3:$B$1015,2,FALSE)</f>
        <v>31896</v>
      </c>
      <c r="D440" s="4">
        <f t="shared" si="6"/>
        <v>8.86</v>
      </c>
      <c r="E440" s="4" t="s">
        <v>1125</v>
      </c>
      <c r="F440" s="3" t="s">
        <v>2743</v>
      </c>
      <c r="G440" s="3" t="s">
        <v>74</v>
      </c>
      <c r="H440" s="3" t="s">
        <v>44</v>
      </c>
      <c r="I440" s="3" t="s">
        <v>33</v>
      </c>
      <c r="J440" s="3" t="s">
        <v>41</v>
      </c>
      <c r="L440" s="1">
        <v>46042.453634259262</v>
      </c>
      <c r="M440" s="1">
        <v>46042.456944444442</v>
      </c>
      <c r="N440" s="1">
        <v>46043.559594907405</v>
      </c>
      <c r="O440" s="3" t="s">
        <v>43</v>
      </c>
      <c r="P440" s="3" t="s">
        <v>2746</v>
      </c>
      <c r="Q440" s="3" t="s">
        <v>42</v>
      </c>
      <c r="R440" s="3" t="s">
        <v>2745</v>
      </c>
      <c r="S440" s="3" t="s">
        <v>80</v>
      </c>
      <c r="T440" s="3" t="s">
        <v>79</v>
      </c>
      <c r="U440" s="4" t="b">
        <v>1</v>
      </c>
      <c r="V440" s="3" t="s">
        <v>31</v>
      </c>
      <c r="W440" s="1"/>
      <c r="Y440" s="3" t="s">
        <v>32</v>
      </c>
      <c r="Z440" s="3" t="s">
        <v>32</v>
      </c>
      <c r="AA440" s="3"/>
      <c r="AB440" s="3"/>
      <c r="AC440" s="4" t="s">
        <v>30</v>
      </c>
      <c r="AD440" s="3"/>
      <c r="AE440" s="3" t="s">
        <v>2746</v>
      </c>
      <c r="AF440" s="4" t="s">
        <v>30</v>
      </c>
      <c r="AH440" s="4">
        <v>1</v>
      </c>
      <c r="AI440" s="3" t="s">
        <v>2742</v>
      </c>
      <c r="AJ440" s="4" t="s">
        <v>2744</v>
      </c>
      <c r="AK440" s="4"/>
      <c r="AL440" s="3"/>
    </row>
    <row r="441" spans="1:38" x14ac:dyDescent="0.35">
      <c r="A441" s="3" t="s">
        <v>2747</v>
      </c>
      <c r="B441" s="4" t="s">
        <v>2489</v>
      </c>
      <c r="C441" s="4">
        <f>VLOOKUP(A441, [1]Planilha1!$A$3:$B$1015,2,FALSE)</f>
        <v>0</v>
      </c>
      <c r="D441" s="4">
        <f t="shared" si="6"/>
        <v>0</v>
      </c>
      <c r="E441" s="4" t="s">
        <v>1125</v>
      </c>
      <c r="F441" s="3" t="s">
        <v>2486</v>
      </c>
      <c r="G441" s="3" t="s">
        <v>214</v>
      </c>
      <c r="H441" s="3" t="s">
        <v>44</v>
      </c>
      <c r="I441" s="3" t="s">
        <v>33</v>
      </c>
      <c r="J441" s="3" t="s">
        <v>60</v>
      </c>
      <c r="K441" s="3" t="s">
        <v>2485</v>
      </c>
      <c r="L441" s="1">
        <v>46042.448703703703</v>
      </c>
      <c r="M441" s="1">
        <v>46042.458692129629</v>
      </c>
      <c r="N441" s="1">
        <v>46045.5</v>
      </c>
      <c r="O441" s="3" t="s">
        <v>43</v>
      </c>
      <c r="P441" s="3" t="s">
        <v>2489</v>
      </c>
      <c r="Q441" s="3" t="s">
        <v>35</v>
      </c>
      <c r="R441" s="3" t="s">
        <v>2488</v>
      </c>
      <c r="S441" s="3" t="s">
        <v>144</v>
      </c>
      <c r="T441" s="3" t="s">
        <v>143</v>
      </c>
      <c r="U441" s="4" t="b">
        <v>1</v>
      </c>
      <c r="V441" s="3" t="s">
        <v>31</v>
      </c>
      <c r="W441" s="1"/>
      <c r="Y441" s="3" t="s">
        <v>32</v>
      </c>
      <c r="Z441" s="3" t="s">
        <v>32</v>
      </c>
      <c r="AA441" s="3"/>
      <c r="AB441" s="3"/>
      <c r="AC441" s="4" t="s">
        <v>30</v>
      </c>
      <c r="AD441" s="3"/>
      <c r="AE441" s="3" t="s">
        <v>2489</v>
      </c>
      <c r="AF441" s="4" t="s">
        <v>30</v>
      </c>
      <c r="AH441" s="4">
        <v>0</v>
      </c>
      <c r="AI441" s="3" t="s">
        <v>2748</v>
      </c>
      <c r="AJ441" s="4" t="s">
        <v>2487</v>
      </c>
      <c r="AK441" s="4"/>
      <c r="AL441" s="3"/>
    </row>
    <row r="442" spans="1:38" x14ac:dyDescent="0.35">
      <c r="A442" s="3" t="s">
        <v>2749</v>
      </c>
      <c r="B442" s="4" t="s">
        <v>2754</v>
      </c>
      <c r="C442" s="4">
        <f>VLOOKUP(A442, [1]Planilha1!$A$3:$B$1015,2,FALSE)</f>
        <v>30524</v>
      </c>
      <c r="D442" s="4">
        <f t="shared" si="6"/>
        <v>8.4788888888888891</v>
      </c>
      <c r="E442" s="4" t="s">
        <v>1125</v>
      </c>
      <c r="F442" s="3" t="s">
        <v>2751</v>
      </c>
      <c r="G442" s="3" t="s">
        <v>44</v>
      </c>
      <c r="H442" s="3" t="s">
        <v>44</v>
      </c>
      <c r="I442" s="3" t="s">
        <v>33</v>
      </c>
      <c r="J442" s="3" t="s">
        <v>41</v>
      </c>
      <c r="L442" s="1">
        <v>46042.436932870369</v>
      </c>
      <c r="M442" s="1">
        <v>46042.437708333331</v>
      </c>
      <c r="N442" s="1">
        <v>46043.55164351852</v>
      </c>
      <c r="O442" s="3" t="s">
        <v>43</v>
      </c>
      <c r="P442" s="3" t="s">
        <v>2754</v>
      </c>
      <c r="Q442" s="3" t="s">
        <v>42</v>
      </c>
      <c r="R442" s="3" t="s">
        <v>2753</v>
      </c>
      <c r="S442" s="3" t="s">
        <v>96</v>
      </c>
      <c r="T442" s="3" t="s">
        <v>95</v>
      </c>
      <c r="U442" s="4" t="b">
        <v>1</v>
      </c>
      <c r="V442" s="3" t="s">
        <v>31</v>
      </c>
      <c r="W442" s="1"/>
      <c r="Y442" s="3" t="s">
        <v>32</v>
      </c>
      <c r="Z442" s="3" t="s">
        <v>32</v>
      </c>
      <c r="AA442" s="3"/>
      <c r="AB442" s="3"/>
      <c r="AC442" s="4" t="s">
        <v>30</v>
      </c>
      <c r="AD442" s="3"/>
      <c r="AE442" s="3" t="s">
        <v>2754</v>
      </c>
      <c r="AF442" s="4" t="s">
        <v>30</v>
      </c>
      <c r="AH442" s="4">
        <v>1</v>
      </c>
      <c r="AI442" s="3" t="s">
        <v>2750</v>
      </c>
      <c r="AJ442" s="4" t="s">
        <v>2752</v>
      </c>
      <c r="AK442" s="4"/>
      <c r="AL442" s="3"/>
    </row>
    <row r="443" spans="1:38" x14ac:dyDescent="0.35">
      <c r="A443" s="3" t="s">
        <v>2633</v>
      </c>
      <c r="B443" s="4" t="s">
        <v>2087</v>
      </c>
      <c r="C443" s="4">
        <f>VLOOKUP(A443, [1]Planilha1!$A$3:$B$1015,2,FALSE)</f>
        <v>30404</v>
      </c>
      <c r="D443" s="4">
        <f t="shared" si="6"/>
        <v>8.4455555555555559</v>
      </c>
      <c r="E443" s="4" t="s">
        <v>1125</v>
      </c>
      <c r="F443" s="3" t="s">
        <v>2084</v>
      </c>
      <c r="G443" s="3" t="s">
        <v>44</v>
      </c>
      <c r="H443" s="3" t="s">
        <v>44</v>
      </c>
      <c r="I443" s="3" t="s">
        <v>33</v>
      </c>
      <c r="J443" s="3" t="s">
        <v>41</v>
      </c>
      <c r="K443" s="3" t="s">
        <v>2759</v>
      </c>
      <c r="L443" s="1">
        <v>46042.416319444441</v>
      </c>
      <c r="M443" s="1">
        <v>46042.417326388888</v>
      </c>
      <c r="N443" s="1">
        <v>46043.550949074073</v>
      </c>
      <c r="O443" s="3" t="s">
        <v>43</v>
      </c>
      <c r="P443" s="3" t="s">
        <v>2087</v>
      </c>
      <c r="Q443" s="3" t="s">
        <v>42</v>
      </c>
      <c r="R443" s="3" t="s">
        <v>2086</v>
      </c>
      <c r="S443" s="3" t="s">
        <v>96</v>
      </c>
      <c r="T443" s="3" t="s">
        <v>95</v>
      </c>
      <c r="U443" s="4" t="b">
        <v>1</v>
      </c>
      <c r="V443" s="3" t="s">
        <v>31</v>
      </c>
      <c r="W443" s="1"/>
      <c r="Y443" s="3" t="s">
        <v>32</v>
      </c>
      <c r="Z443" s="3" t="s">
        <v>32</v>
      </c>
      <c r="AA443" s="3"/>
      <c r="AB443" s="3"/>
      <c r="AC443" s="4" t="s">
        <v>30</v>
      </c>
      <c r="AD443" s="3"/>
      <c r="AE443" s="3" t="s">
        <v>2087</v>
      </c>
      <c r="AF443" s="4" t="s">
        <v>30</v>
      </c>
      <c r="AH443" s="4">
        <v>1</v>
      </c>
      <c r="AI443" s="3" t="s">
        <v>2758</v>
      </c>
      <c r="AJ443" s="4" t="s">
        <v>2085</v>
      </c>
      <c r="AK443" s="4"/>
      <c r="AL443" s="3"/>
    </row>
    <row r="444" spans="1:38" x14ac:dyDescent="0.35">
      <c r="A444" s="3" t="s">
        <v>2760</v>
      </c>
      <c r="B444" s="4" t="s">
        <v>2765</v>
      </c>
      <c r="C444" s="4">
        <f>VLOOKUP(A444, [1]Planilha1!$A$3:$B$1015,2,FALSE)</f>
        <v>0</v>
      </c>
      <c r="D444" s="4">
        <f t="shared" si="6"/>
        <v>0</v>
      </c>
      <c r="E444" s="4" t="s">
        <v>1125</v>
      </c>
      <c r="F444" s="3" t="s">
        <v>2763</v>
      </c>
      <c r="G444" s="3" t="s">
        <v>214</v>
      </c>
      <c r="H444" s="3" t="s">
        <v>44</v>
      </c>
      <c r="I444" s="3" t="s">
        <v>33</v>
      </c>
      <c r="J444" s="3" t="s">
        <v>60</v>
      </c>
      <c r="K444" s="3" t="s">
        <v>2762</v>
      </c>
      <c r="L444" s="1">
        <v>46042.415590277778</v>
      </c>
      <c r="M444" s="1">
        <v>46042.427361111113</v>
      </c>
      <c r="N444" s="1">
        <v>46045.458333333336</v>
      </c>
      <c r="O444" s="3" t="s">
        <v>43</v>
      </c>
      <c r="P444" s="3" t="s">
        <v>2765</v>
      </c>
      <c r="Q444" s="3" t="s">
        <v>35</v>
      </c>
      <c r="R444" s="3" t="s">
        <v>2764</v>
      </c>
      <c r="S444" s="3" t="s">
        <v>144</v>
      </c>
      <c r="T444" s="3" t="s">
        <v>143</v>
      </c>
      <c r="U444" s="4" t="b">
        <v>1</v>
      </c>
      <c r="V444" s="3" t="s">
        <v>31</v>
      </c>
      <c r="W444" s="1"/>
      <c r="Y444" s="3" t="s">
        <v>32</v>
      </c>
      <c r="Z444" s="3" t="s">
        <v>32</v>
      </c>
      <c r="AA444" s="3"/>
      <c r="AB444" s="3"/>
      <c r="AC444" s="4" t="s">
        <v>30</v>
      </c>
      <c r="AD444" s="3"/>
      <c r="AE444" s="3" t="s">
        <v>2765</v>
      </c>
      <c r="AF444" s="4" t="s">
        <v>30</v>
      </c>
      <c r="AH444" s="4">
        <v>0</v>
      </c>
      <c r="AI444" s="3" t="s">
        <v>2761</v>
      </c>
      <c r="AJ444" s="4" t="s">
        <v>5879</v>
      </c>
      <c r="AK444" s="4"/>
      <c r="AL444" s="3"/>
    </row>
    <row r="445" spans="1:38" x14ac:dyDescent="0.35">
      <c r="A445" s="3" t="s">
        <v>2769</v>
      </c>
      <c r="B445" s="4" t="s">
        <v>2774</v>
      </c>
      <c r="C445" s="4">
        <f>VLOOKUP(A445, [1]Planilha1!$A$3:$B$1015,2,FALSE)</f>
        <v>0</v>
      </c>
      <c r="D445" s="4">
        <f t="shared" si="6"/>
        <v>0</v>
      </c>
      <c r="E445" s="4" t="s">
        <v>1125</v>
      </c>
      <c r="F445" s="3" t="s">
        <v>2772</v>
      </c>
      <c r="G445" s="3" t="s">
        <v>214</v>
      </c>
      <c r="H445" s="3" t="s">
        <v>44</v>
      </c>
      <c r="I445" s="3" t="s">
        <v>33</v>
      </c>
      <c r="J445" s="3" t="s">
        <v>60</v>
      </c>
      <c r="K445" s="3" t="s">
        <v>2771</v>
      </c>
      <c r="L445" s="1">
        <v>46042.405451388891</v>
      </c>
      <c r="M445" s="1">
        <v>46042.425462962965</v>
      </c>
      <c r="N445" s="1">
        <v>46045.458333333336</v>
      </c>
      <c r="O445" s="3" t="s">
        <v>43</v>
      </c>
      <c r="P445" s="3" t="s">
        <v>2774</v>
      </c>
      <c r="Q445" s="3" t="s">
        <v>35</v>
      </c>
      <c r="R445" s="3" t="s">
        <v>2773</v>
      </c>
      <c r="S445" s="3" t="s">
        <v>144</v>
      </c>
      <c r="T445" s="3" t="s">
        <v>143</v>
      </c>
      <c r="U445" s="4" t="b">
        <v>1</v>
      </c>
      <c r="V445" s="3" t="s">
        <v>31</v>
      </c>
      <c r="W445" s="1"/>
      <c r="Y445" s="3" t="s">
        <v>32</v>
      </c>
      <c r="Z445" s="3" t="s">
        <v>32</v>
      </c>
      <c r="AA445" s="3"/>
      <c r="AB445" s="3"/>
      <c r="AC445" s="4" t="s">
        <v>30</v>
      </c>
      <c r="AD445" s="3"/>
      <c r="AE445" s="3" t="s">
        <v>2774</v>
      </c>
      <c r="AF445" s="4" t="s">
        <v>30</v>
      </c>
      <c r="AH445" s="4">
        <v>0</v>
      </c>
      <c r="AI445" s="3" t="s">
        <v>2770</v>
      </c>
      <c r="AJ445" s="4" t="s">
        <v>5880</v>
      </c>
      <c r="AK445" s="4"/>
      <c r="AL445" s="3"/>
    </row>
    <row r="446" spans="1:38" x14ac:dyDescent="0.35">
      <c r="A446" s="3" t="s">
        <v>2775</v>
      </c>
      <c r="B446" s="4" t="s">
        <v>1793</v>
      </c>
      <c r="C446" s="4">
        <f>VLOOKUP(A446, [1]Planilha1!$A$3:$B$1015,2,FALSE)</f>
        <v>30248</v>
      </c>
      <c r="D446" s="4">
        <f t="shared" si="6"/>
        <v>8.4022222222222229</v>
      </c>
      <c r="E446" s="4" t="s">
        <v>1125</v>
      </c>
      <c r="F446" s="3" t="s">
        <v>1790</v>
      </c>
      <c r="G446" s="3" t="s">
        <v>2776</v>
      </c>
      <c r="H446" s="3" t="s">
        <v>44</v>
      </c>
      <c r="I446" s="3" t="s">
        <v>33</v>
      </c>
      <c r="J446" s="3" t="s">
        <v>41</v>
      </c>
      <c r="L446" s="1">
        <v>46042.405439814815</v>
      </c>
      <c r="M446" s="1">
        <v>46042.405439814815</v>
      </c>
      <c r="N446" s="1">
        <v>46043.550046296295</v>
      </c>
      <c r="O446" s="3" t="s">
        <v>43</v>
      </c>
      <c r="P446" s="3" t="s">
        <v>1793</v>
      </c>
      <c r="Q446" s="3" t="s">
        <v>42</v>
      </c>
      <c r="R446" s="3" t="s">
        <v>1792</v>
      </c>
      <c r="S446" s="3" t="s">
        <v>37</v>
      </c>
      <c r="T446" s="3" t="s">
        <v>36</v>
      </c>
      <c r="U446" s="4" t="b">
        <v>1</v>
      </c>
      <c r="V446" s="3" t="s">
        <v>28</v>
      </c>
      <c r="W446" s="1"/>
      <c r="Y446" s="3" t="s">
        <v>29</v>
      </c>
      <c r="Z446" s="3" t="s">
        <v>29</v>
      </c>
      <c r="AA446" s="3"/>
      <c r="AB446" s="3"/>
      <c r="AC446" s="4" t="s">
        <v>30</v>
      </c>
      <c r="AD446" s="3"/>
      <c r="AE446" s="3" t="s">
        <v>1793</v>
      </c>
      <c r="AF446" s="4" t="s">
        <v>30</v>
      </c>
      <c r="AH446" s="4">
        <v>2</v>
      </c>
      <c r="AI446" s="3" t="s">
        <v>2777</v>
      </c>
      <c r="AJ446" s="4" t="s">
        <v>1791</v>
      </c>
      <c r="AK446" s="4"/>
      <c r="AL446" s="3"/>
    </row>
    <row r="447" spans="1:38" x14ac:dyDescent="0.35">
      <c r="A447" s="3" t="s">
        <v>2778</v>
      </c>
      <c r="B447" s="4" t="s">
        <v>1688</v>
      </c>
      <c r="C447" s="4">
        <f>VLOOKUP(A447, [1]Planilha1!$A$3:$B$1015,2,FALSE)</f>
        <v>27502</v>
      </c>
      <c r="D447" s="4">
        <f t="shared" si="6"/>
        <v>7.639444444444444</v>
      </c>
      <c r="E447" s="4" t="s">
        <v>1125</v>
      </c>
      <c r="F447" s="3" t="s">
        <v>1685</v>
      </c>
      <c r="G447" s="3" t="s">
        <v>72</v>
      </c>
      <c r="H447" s="3" t="s">
        <v>44</v>
      </c>
      <c r="I447" s="3" t="s">
        <v>33</v>
      </c>
      <c r="J447" s="3" t="s">
        <v>41</v>
      </c>
      <c r="L447" s="1">
        <v>46042.402395833335</v>
      </c>
      <c r="M447" s="1">
        <v>46042.402395833335</v>
      </c>
      <c r="N447" s="1">
        <v>46043.534155092595</v>
      </c>
      <c r="O447" s="3" t="s">
        <v>43</v>
      </c>
      <c r="P447" s="3" t="s">
        <v>1688</v>
      </c>
      <c r="Q447" s="3" t="s">
        <v>42</v>
      </c>
      <c r="R447" s="3" t="s">
        <v>1687</v>
      </c>
      <c r="S447" s="3" t="s">
        <v>37</v>
      </c>
      <c r="T447" s="3" t="s">
        <v>36</v>
      </c>
      <c r="U447" s="4" t="b">
        <v>1</v>
      </c>
      <c r="V447" s="3" t="s">
        <v>28</v>
      </c>
      <c r="W447" s="1"/>
      <c r="Y447" s="3" t="s">
        <v>29</v>
      </c>
      <c r="Z447" s="3" t="s">
        <v>29</v>
      </c>
      <c r="AA447" s="3"/>
      <c r="AB447" s="3"/>
      <c r="AC447" s="4" t="s">
        <v>30</v>
      </c>
      <c r="AD447" s="3"/>
      <c r="AE447" s="3" t="s">
        <v>1688</v>
      </c>
      <c r="AF447" s="4" t="s">
        <v>30</v>
      </c>
      <c r="AH447" s="4">
        <v>2</v>
      </c>
      <c r="AI447" s="3" t="s">
        <v>2779</v>
      </c>
      <c r="AJ447" s="4" t="s">
        <v>1686</v>
      </c>
      <c r="AK447" s="4"/>
      <c r="AL447" s="3"/>
    </row>
    <row r="448" spans="1:38" x14ac:dyDescent="0.35">
      <c r="A448" s="3" t="s">
        <v>2780</v>
      </c>
      <c r="B448" s="4" t="s">
        <v>2439</v>
      </c>
      <c r="C448" s="4">
        <f>VLOOKUP(A448, [1]Planilha1!$A$3:$B$1015,2,FALSE)</f>
        <v>27122</v>
      </c>
      <c r="D448" s="4">
        <f t="shared" si="6"/>
        <v>7.5338888888888889</v>
      </c>
      <c r="E448" s="4" t="s">
        <v>1125</v>
      </c>
      <c r="F448" s="3" t="s">
        <v>2436</v>
      </c>
      <c r="G448" s="3" t="s">
        <v>214</v>
      </c>
      <c r="H448" s="3" t="s">
        <v>44</v>
      </c>
      <c r="I448" s="3" t="s">
        <v>33</v>
      </c>
      <c r="J448" s="3" t="s">
        <v>41</v>
      </c>
      <c r="K448" s="3" t="s">
        <v>2782</v>
      </c>
      <c r="L448" s="1">
        <v>46042.401493055557</v>
      </c>
      <c r="M448" s="1">
        <v>46042.401493055557</v>
      </c>
      <c r="N448" s="1">
        <v>46043.531956018516</v>
      </c>
      <c r="O448" s="3" t="s">
        <v>43</v>
      </c>
      <c r="P448" s="3" t="s">
        <v>2439</v>
      </c>
      <c r="Q448" s="3" t="s">
        <v>42</v>
      </c>
      <c r="R448" s="3" t="s">
        <v>2438</v>
      </c>
      <c r="S448" s="3" t="s">
        <v>37</v>
      </c>
      <c r="T448" s="3" t="s">
        <v>36</v>
      </c>
      <c r="U448" s="4" t="b">
        <v>1</v>
      </c>
      <c r="V448" s="3" t="s">
        <v>28</v>
      </c>
      <c r="W448" s="1"/>
      <c r="Y448" s="3" t="s">
        <v>29</v>
      </c>
      <c r="Z448" s="3" t="s">
        <v>29</v>
      </c>
      <c r="AA448" s="3"/>
      <c r="AB448" s="3"/>
      <c r="AC448" s="4" t="s">
        <v>30</v>
      </c>
      <c r="AD448" s="3"/>
      <c r="AE448" s="3" t="s">
        <v>2439</v>
      </c>
      <c r="AF448" s="4" t="s">
        <v>30</v>
      </c>
      <c r="AH448" s="4">
        <v>2</v>
      </c>
      <c r="AI448" s="3" t="s">
        <v>2781</v>
      </c>
      <c r="AJ448" s="4" t="s">
        <v>2437</v>
      </c>
      <c r="AK448" s="4"/>
      <c r="AL448" s="3"/>
    </row>
    <row r="449" spans="1:38" x14ac:dyDescent="0.35">
      <c r="A449" s="3" t="s">
        <v>2783</v>
      </c>
      <c r="B449" s="4" t="s">
        <v>2789</v>
      </c>
      <c r="C449" s="4">
        <f>VLOOKUP(A449, [1]Planilha1!$A$3:$B$1015,2,FALSE)</f>
        <v>28338</v>
      </c>
      <c r="D449" s="4">
        <f t="shared" si="6"/>
        <v>7.871666666666667</v>
      </c>
      <c r="E449" s="4" t="s">
        <v>1125</v>
      </c>
      <c r="F449" s="3" t="s">
        <v>2786</v>
      </c>
      <c r="G449" s="3" t="s">
        <v>214</v>
      </c>
      <c r="H449" s="3" t="s">
        <v>44</v>
      </c>
      <c r="I449" s="3" t="s">
        <v>33</v>
      </c>
      <c r="J449" s="3" t="s">
        <v>41</v>
      </c>
      <c r="K449" s="3" t="s">
        <v>2785</v>
      </c>
      <c r="L449" s="1">
        <v>46042.397037037037</v>
      </c>
      <c r="M449" s="1">
        <v>46042.405243055553</v>
      </c>
      <c r="N449" s="1">
        <v>46043.538993055554</v>
      </c>
      <c r="O449" s="3" t="s">
        <v>43</v>
      </c>
      <c r="P449" s="3" t="s">
        <v>2789</v>
      </c>
      <c r="Q449" s="3" t="s">
        <v>42</v>
      </c>
      <c r="R449" s="3" t="s">
        <v>2788</v>
      </c>
      <c r="S449" s="3" t="s">
        <v>144</v>
      </c>
      <c r="T449" s="3" t="s">
        <v>143</v>
      </c>
      <c r="U449" s="4" t="b">
        <v>1</v>
      </c>
      <c r="V449" s="3" t="s">
        <v>31</v>
      </c>
      <c r="W449" s="1"/>
      <c r="Y449" s="3" t="s">
        <v>32</v>
      </c>
      <c r="Z449" s="3" t="s">
        <v>32</v>
      </c>
      <c r="AA449" s="3"/>
      <c r="AB449" s="3"/>
      <c r="AC449" s="4" t="s">
        <v>30</v>
      </c>
      <c r="AD449" s="3"/>
      <c r="AE449" s="3" t="s">
        <v>2789</v>
      </c>
      <c r="AF449" s="4" t="s">
        <v>30</v>
      </c>
      <c r="AH449" s="4">
        <v>1</v>
      </c>
      <c r="AI449" s="3" t="s">
        <v>2784</v>
      </c>
      <c r="AJ449" s="4" t="s">
        <v>2787</v>
      </c>
      <c r="AK449" s="4"/>
      <c r="AL449" s="3"/>
    </row>
    <row r="450" spans="1:38" x14ac:dyDescent="0.35">
      <c r="A450" s="3" t="s">
        <v>2790</v>
      </c>
      <c r="B450" s="4" t="s">
        <v>1736</v>
      </c>
      <c r="C450" s="4">
        <f>VLOOKUP(A450, [1]Planilha1!$A$3:$B$1015,2,FALSE)</f>
        <v>0</v>
      </c>
      <c r="D450" s="4">
        <f t="shared" si="6"/>
        <v>0</v>
      </c>
      <c r="E450" s="4" t="s">
        <v>1125</v>
      </c>
      <c r="F450" s="3" t="s">
        <v>1733</v>
      </c>
      <c r="G450" s="3" t="s">
        <v>2791</v>
      </c>
      <c r="H450" s="3" t="s">
        <v>44</v>
      </c>
      <c r="I450" s="3" t="s">
        <v>33</v>
      </c>
      <c r="J450" s="3" t="s">
        <v>41</v>
      </c>
      <c r="L450" s="1">
        <v>46042.392013888886</v>
      </c>
      <c r="M450" s="1">
        <v>46042.392013888886</v>
      </c>
      <c r="N450" s="1">
        <v>46042.470300925925</v>
      </c>
      <c r="O450" s="3" t="s">
        <v>43</v>
      </c>
      <c r="P450" s="3" t="s">
        <v>1736</v>
      </c>
      <c r="Q450" s="3" t="s">
        <v>42</v>
      </c>
      <c r="R450" s="3" t="s">
        <v>1735</v>
      </c>
      <c r="S450" s="3" t="s">
        <v>37</v>
      </c>
      <c r="T450" s="3" t="s">
        <v>36</v>
      </c>
      <c r="U450" s="4" t="b">
        <v>1</v>
      </c>
      <c r="V450" s="3" t="s">
        <v>28</v>
      </c>
      <c r="W450" s="1"/>
      <c r="Y450" s="3" t="s">
        <v>29</v>
      </c>
      <c r="Z450" s="3" t="s">
        <v>29</v>
      </c>
      <c r="AA450" s="3"/>
      <c r="AB450" s="3"/>
      <c r="AC450" s="4" t="s">
        <v>30</v>
      </c>
      <c r="AD450" s="3"/>
      <c r="AE450" s="3" t="s">
        <v>1736</v>
      </c>
      <c r="AF450" s="4" t="s">
        <v>30</v>
      </c>
      <c r="AH450" s="4">
        <v>0</v>
      </c>
      <c r="AI450" s="3" t="s">
        <v>2792</v>
      </c>
      <c r="AJ450" s="4" t="s">
        <v>1734</v>
      </c>
      <c r="AK450" s="4"/>
      <c r="AL450" s="3"/>
    </row>
    <row r="451" spans="1:38" x14ac:dyDescent="0.35">
      <c r="A451" s="3" t="s">
        <v>2795</v>
      </c>
      <c r="B451" s="4" t="s">
        <v>58</v>
      </c>
      <c r="C451" s="4">
        <f>VLOOKUP(A451, [1]Planilha1!$A$3:$B$1015,2,FALSE)</f>
        <v>47634</v>
      </c>
      <c r="D451" s="4">
        <f t="shared" ref="D451:D514" si="7">C451/3600</f>
        <v>13.231666666666667</v>
      </c>
      <c r="E451" s="4" t="s">
        <v>1125</v>
      </c>
      <c r="F451" s="3" t="s">
        <v>54</v>
      </c>
      <c r="G451" s="3" t="s">
        <v>2796</v>
      </c>
      <c r="H451" s="3" t="s">
        <v>2411</v>
      </c>
      <c r="I451" s="3" t="s">
        <v>33</v>
      </c>
      <c r="J451" s="3" t="s">
        <v>152</v>
      </c>
      <c r="K451" s="3" t="s">
        <v>2798</v>
      </c>
      <c r="L451" s="1">
        <v>46042.358877314815</v>
      </c>
      <c r="M451" s="1">
        <v>46042.363657407404</v>
      </c>
      <c r="N451" s="1">
        <v>46051.511203703703</v>
      </c>
      <c r="O451" s="3" t="s">
        <v>2527</v>
      </c>
      <c r="P451" s="3" t="s">
        <v>57</v>
      </c>
      <c r="Q451" s="3" t="s">
        <v>52</v>
      </c>
      <c r="R451" s="3" t="s">
        <v>56</v>
      </c>
      <c r="S451" s="3" t="s">
        <v>68</v>
      </c>
      <c r="T451" s="3" t="s">
        <v>69</v>
      </c>
      <c r="U451" s="4" t="b">
        <v>0</v>
      </c>
      <c r="V451" s="3" t="s">
        <v>28</v>
      </c>
      <c r="W451" s="1"/>
      <c r="Y451" s="3" t="s">
        <v>29</v>
      </c>
      <c r="Z451" s="3" t="s">
        <v>29</v>
      </c>
      <c r="AA451" s="3" t="s">
        <v>2799</v>
      </c>
      <c r="AB451" s="3" t="s">
        <v>58</v>
      </c>
      <c r="AC451" s="4" t="s">
        <v>30</v>
      </c>
      <c r="AD451" s="3" t="s">
        <v>59</v>
      </c>
      <c r="AE451" s="3" t="s">
        <v>57</v>
      </c>
      <c r="AF451" s="4" t="s">
        <v>30</v>
      </c>
      <c r="AH451" s="4">
        <v>4</v>
      </c>
      <c r="AI451" s="3" t="s">
        <v>2797</v>
      </c>
      <c r="AJ451" s="4" t="s">
        <v>55</v>
      </c>
      <c r="AK451" s="4" t="s">
        <v>2800</v>
      </c>
      <c r="AL451" s="3"/>
    </row>
    <row r="452" spans="1:38" x14ac:dyDescent="0.35">
      <c r="A452" s="3" t="s">
        <v>2801</v>
      </c>
      <c r="B452" s="4" t="s">
        <v>2734</v>
      </c>
      <c r="C452" s="4">
        <f>VLOOKUP(A452, [1]Planilha1!$A$3:$B$1015,2,FALSE)</f>
        <v>0</v>
      </c>
      <c r="D452" s="4">
        <f t="shared" si="7"/>
        <v>0</v>
      </c>
      <c r="E452" s="4" t="s">
        <v>1125</v>
      </c>
      <c r="F452" s="3" t="s">
        <v>2731</v>
      </c>
      <c r="G452" s="3" t="s">
        <v>214</v>
      </c>
      <c r="H452" s="3" t="s">
        <v>44</v>
      </c>
      <c r="I452" s="3" t="s">
        <v>33</v>
      </c>
      <c r="J452" s="3" t="s">
        <v>60</v>
      </c>
      <c r="K452" s="3" t="s">
        <v>2803</v>
      </c>
      <c r="L452" s="1">
        <v>46042.353715277779</v>
      </c>
      <c r="M452" s="1">
        <v>46042.370787037034</v>
      </c>
      <c r="N452" s="1">
        <v>46045.375</v>
      </c>
      <c r="O452" s="3" t="s">
        <v>43</v>
      </c>
      <c r="P452" s="3" t="s">
        <v>2734</v>
      </c>
      <c r="Q452" s="3" t="s">
        <v>35</v>
      </c>
      <c r="R452" s="3" t="s">
        <v>2733</v>
      </c>
      <c r="S452" s="3" t="s">
        <v>144</v>
      </c>
      <c r="T452" s="3" t="s">
        <v>143</v>
      </c>
      <c r="U452" s="4" t="b">
        <v>1</v>
      </c>
      <c r="V452" s="3" t="s">
        <v>31</v>
      </c>
      <c r="W452" s="1"/>
      <c r="Y452" s="3" t="s">
        <v>32</v>
      </c>
      <c r="Z452" s="3" t="s">
        <v>32</v>
      </c>
      <c r="AA452" s="3"/>
      <c r="AB452" s="3"/>
      <c r="AC452" s="4" t="s">
        <v>30</v>
      </c>
      <c r="AD452" s="3"/>
      <c r="AE452" s="3" t="s">
        <v>2734</v>
      </c>
      <c r="AF452" s="4" t="s">
        <v>30</v>
      </c>
      <c r="AH452" s="4">
        <v>0</v>
      </c>
      <c r="AI452" s="3" t="s">
        <v>2802</v>
      </c>
      <c r="AJ452" s="4" t="s">
        <v>2732</v>
      </c>
      <c r="AK452" s="4"/>
      <c r="AL452" s="3"/>
    </row>
    <row r="453" spans="1:38" x14ac:dyDescent="0.35">
      <c r="A453" s="3" t="s">
        <v>2804</v>
      </c>
      <c r="B453" s="4" t="s">
        <v>1498</v>
      </c>
      <c r="C453" s="4">
        <f>VLOOKUP(A453, [1]Planilha1!$A$3:$B$1015,2,FALSE)</f>
        <v>0</v>
      </c>
      <c r="D453" s="4">
        <f t="shared" si="7"/>
        <v>0</v>
      </c>
      <c r="E453" s="4" t="s">
        <v>1125</v>
      </c>
      <c r="F453" s="3" t="s">
        <v>1495</v>
      </c>
      <c r="G453" s="3" t="s">
        <v>2805</v>
      </c>
      <c r="H453" s="3" t="s">
        <v>622</v>
      </c>
      <c r="I453" s="3" t="s">
        <v>33</v>
      </c>
      <c r="J453" s="3" t="s">
        <v>41</v>
      </c>
      <c r="L453" s="1">
        <v>46042.047800925924</v>
      </c>
      <c r="M453" s="1">
        <v>46042.047800925924</v>
      </c>
      <c r="N453" s="1">
        <v>46042.33021990741</v>
      </c>
      <c r="O453" s="3" t="s">
        <v>621</v>
      </c>
      <c r="P453" s="3" t="s">
        <v>1498</v>
      </c>
      <c r="Q453" s="3" t="s">
        <v>42</v>
      </c>
      <c r="R453" s="3" t="s">
        <v>1497</v>
      </c>
      <c r="S453" s="3" t="s">
        <v>37</v>
      </c>
      <c r="T453" s="3" t="s">
        <v>36</v>
      </c>
      <c r="U453" s="4" t="b">
        <v>1</v>
      </c>
      <c r="V453" s="3" t="s">
        <v>28</v>
      </c>
      <c r="W453" s="1"/>
      <c r="Y453" s="3" t="s">
        <v>29</v>
      </c>
      <c r="Z453" s="3" t="s">
        <v>29</v>
      </c>
      <c r="AA453" s="3"/>
      <c r="AB453" s="3"/>
      <c r="AC453" s="4" t="s">
        <v>30</v>
      </c>
      <c r="AD453" s="3"/>
      <c r="AE453" s="3" t="s">
        <v>1498</v>
      </c>
      <c r="AF453" s="4" t="s">
        <v>30</v>
      </c>
      <c r="AH453" s="4">
        <v>0</v>
      </c>
      <c r="AI453" s="3" t="s">
        <v>2806</v>
      </c>
      <c r="AJ453" s="4" t="s">
        <v>1496</v>
      </c>
      <c r="AK453" s="4"/>
      <c r="AL453" s="3"/>
    </row>
    <row r="454" spans="1:38" x14ac:dyDescent="0.35">
      <c r="A454" s="3" t="s">
        <v>2807</v>
      </c>
      <c r="B454" s="4"/>
      <c r="C454" s="4">
        <f>VLOOKUP(A454, [1]Planilha1!$A$3:$B$1015,2,FALSE)</f>
        <v>3948</v>
      </c>
      <c r="D454" s="4">
        <f t="shared" si="7"/>
        <v>1.0966666666666667</v>
      </c>
      <c r="E454" s="4" t="s">
        <v>1125</v>
      </c>
      <c r="F454" s="3" t="s">
        <v>2810</v>
      </c>
      <c r="G454" s="3" t="s">
        <v>2808</v>
      </c>
      <c r="H454" s="3" t="s">
        <v>428</v>
      </c>
      <c r="I454" s="3" t="s">
        <v>33</v>
      </c>
      <c r="J454" s="3" t="s">
        <v>41</v>
      </c>
      <c r="L454" s="1">
        <v>46041.747986111113</v>
      </c>
      <c r="M454" s="1">
        <v>46041.747986111113</v>
      </c>
      <c r="N454" s="1">
        <v>46042.461793981478</v>
      </c>
      <c r="O454" s="3" t="s">
        <v>427</v>
      </c>
      <c r="Q454" s="3" t="s">
        <v>35</v>
      </c>
      <c r="R454" s="3" t="s">
        <v>2812</v>
      </c>
      <c r="S454" s="3" t="s">
        <v>37</v>
      </c>
      <c r="T454" s="3" t="s">
        <v>36</v>
      </c>
      <c r="U454" s="4" t="b">
        <v>1</v>
      </c>
      <c r="V454" s="3" t="s">
        <v>28</v>
      </c>
      <c r="W454" s="1"/>
      <c r="Y454" s="3" t="s">
        <v>29</v>
      </c>
      <c r="Z454" s="3" t="s">
        <v>29</v>
      </c>
      <c r="AA454" s="3"/>
      <c r="AB454" s="3"/>
      <c r="AC454" s="4" t="s">
        <v>30</v>
      </c>
      <c r="AD454" s="3"/>
      <c r="AE454" s="3"/>
      <c r="AF454" s="4" t="s">
        <v>30</v>
      </c>
      <c r="AH454" s="4">
        <v>1</v>
      </c>
      <c r="AI454" s="3" t="s">
        <v>2809</v>
      </c>
      <c r="AJ454" s="4" t="s">
        <v>2811</v>
      </c>
      <c r="AK454" s="4"/>
      <c r="AL454" s="3"/>
    </row>
    <row r="455" spans="1:38" x14ac:dyDescent="0.35">
      <c r="A455" s="3" t="s">
        <v>2818</v>
      </c>
      <c r="B455" s="4" t="s">
        <v>2823</v>
      </c>
      <c r="C455" s="4">
        <f>VLOOKUP(A455, [1]Planilha1!$A$3:$B$1015,2,FALSE)</f>
        <v>9255</v>
      </c>
      <c r="D455" s="4">
        <f t="shared" si="7"/>
        <v>2.5708333333333333</v>
      </c>
      <c r="E455" s="4" t="s">
        <v>1125</v>
      </c>
      <c r="F455" s="3" t="s">
        <v>2820</v>
      </c>
      <c r="G455" s="3" t="s">
        <v>269</v>
      </c>
      <c r="H455" s="3" t="s">
        <v>44</v>
      </c>
      <c r="I455" s="3" t="s">
        <v>33</v>
      </c>
      <c r="J455" s="3" t="s">
        <v>41</v>
      </c>
      <c r="L455" s="1">
        <v>46041.70784722222</v>
      </c>
      <c r="M455" s="1">
        <v>46041.70784722222</v>
      </c>
      <c r="N455" s="1">
        <v>46041.746504629627</v>
      </c>
      <c r="O455" s="3" t="s">
        <v>43</v>
      </c>
      <c r="P455" s="3" t="s">
        <v>2823</v>
      </c>
      <c r="Q455" s="3" t="s">
        <v>42</v>
      </c>
      <c r="R455" s="3" t="s">
        <v>2822</v>
      </c>
      <c r="S455" s="3" t="s">
        <v>37</v>
      </c>
      <c r="T455" s="3" t="s">
        <v>36</v>
      </c>
      <c r="U455" s="4" t="b">
        <v>1</v>
      </c>
      <c r="V455" s="3" t="s">
        <v>28</v>
      </c>
      <c r="W455" s="1"/>
      <c r="Y455" s="3" t="s">
        <v>29</v>
      </c>
      <c r="Z455" s="3" t="s">
        <v>29</v>
      </c>
      <c r="AA455" s="3"/>
      <c r="AB455" s="3"/>
      <c r="AC455" s="4" t="s">
        <v>30</v>
      </c>
      <c r="AD455" s="3"/>
      <c r="AE455" s="3" t="s">
        <v>2823</v>
      </c>
      <c r="AF455" s="4" t="s">
        <v>30</v>
      </c>
      <c r="AH455" s="4">
        <v>2</v>
      </c>
      <c r="AI455" s="3" t="s">
        <v>2819</v>
      </c>
      <c r="AJ455" s="4" t="s">
        <v>2821</v>
      </c>
      <c r="AK455" s="4"/>
      <c r="AL455" s="3"/>
    </row>
    <row r="456" spans="1:38" x14ac:dyDescent="0.35">
      <c r="A456" s="3" t="s">
        <v>2824</v>
      </c>
      <c r="B456" s="4" t="s">
        <v>2829</v>
      </c>
      <c r="C456" s="4">
        <f>VLOOKUP(A456, [1]Planilha1!$A$3:$B$1015,2,FALSE)</f>
        <v>1218</v>
      </c>
      <c r="D456" s="4">
        <f t="shared" si="7"/>
        <v>0.33833333333333332</v>
      </c>
      <c r="E456" s="4" t="s">
        <v>1125</v>
      </c>
      <c r="F456" s="3" t="s">
        <v>2826</v>
      </c>
      <c r="G456" s="3" t="s">
        <v>74</v>
      </c>
      <c r="H456" s="3" t="s">
        <v>44</v>
      </c>
      <c r="I456" s="3" t="s">
        <v>33</v>
      </c>
      <c r="J456" s="3" t="s">
        <v>41</v>
      </c>
      <c r="L456" s="1">
        <v>46041.691030092596</v>
      </c>
      <c r="M456" s="1">
        <v>46041.693888888891</v>
      </c>
      <c r="N456" s="1">
        <v>46041.700937499998</v>
      </c>
      <c r="O456" s="3" t="s">
        <v>43</v>
      </c>
      <c r="P456" s="3" t="s">
        <v>2829</v>
      </c>
      <c r="Q456" s="3" t="s">
        <v>42</v>
      </c>
      <c r="R456" s="3" t="s">
        <v>2828</v>
      </c>
      <c r="S456" s="3" t="s">
        <v>80</v>
      </c>
      <c r="T456" s="3" t="s">
        <v>79</v>
      </c>
      <c r="U456" s="4" t="b">
        <v>1</v>
      </c>
      <c r="V456" s="3" t="s">
        <v>31</v>
      </c>
      <c r="W456" s="1"/>
      <c r="Y456" s="3" t="s">
        <v>32</v>
      </c>
      <c r="Z456" s="3" t="s">
        <v>32</v>
      </c>
      <c r="AA456" s="3"/>
      <c r="AB456" s="3"/>
      <c r="AC456" s="4" t="s">
        <v>30</v>
      </c>
      <c r="AD456" s="3"/>
      <c r="AE456" s="3" t="s">
        <v>2829</v>
      </c>
      <c r="AF456" s="4" t="s">
        <v>30</v>
      </c>
      <c r="AH456" s="4">
        <v>1</v>
      </c>
      <c r="AI456" s="3" t="s">
        <v>2825</v>
      </c>
      <c r="AJ456" s="4" t="s">
        <v>2827</v>
      </c>
      <c r="AK456" s="4"/>
      <c r="AL456" s="3"/>
    </row>
    <row r="457" spans="1:38" x14ac:dyDescent="0.35">
      <c r="A457" s="3" t="s">
        <v>2830</v>
      </c>
      <c r="B457" s="4" t="s">
        <v>2836</v>
      </c>
      <c r="C457" s="4">
        <f>VLOOKUP(A457, [1]Planilha1!$A$3:$B$1015,2,FALSE)</f>
        <v>0</v>
      </c>
      <c r="D457" s="4">
        <f t="shared" si="7"/>
        <v>0</v>
      </c>
      <c r="E457" s="4" t="s">
        <v>1125</v>
      </c>
      <c r="F457" s="3" t="s">
        <v>2833</v>
      </c>
      <c r="G457" s="3" t="s">
        <v>2831</v>
      </c>
      <c r="H457" s="3" t="s">
        <v>237</v>
      </c>
      <c r="I457" s="3" t="s">
        <v>33</v>
      </c>
      <c r="J457" s="3" t="s">
        <v>60</v>
      </c>
      <c r="L457" s="1">
        <v>46041.681134259263</v>
      </c>
      <c r="M457" s="1">
        <v>46041.690497685187</v>
      </c>
      <c r="N457" s="1">
        <v>46044.708344907405</v>
      </c>
      <c r="O457" s="3" t="s">
        <v>1370</v>
      </c>
      <c r="P457" s="3" t="s">
        <v>2836</v>
      </c>
      <c r="Q457" s="3" t="s">
        <v>35</v>
      </c>
      <c r="R457" s="3" t="s">
        <v>2835</v>
      </c>
      <c r="S457" s="3" t="s">
        <v>80</v>
      </c>
      <c r="T457" s="3" t="s">
        <v>79</v>
      </c>
      <c r="U457" s="4" t="b">
        <v>1</v>
      </c>
      <c r="V457" s="3" t="s">
        <v>31</v>
      </c>
      <c r="W457" s="1"/>
      <c r="Y457" s="3" t="s">
        <v>32</v>
      </c>
      <c r="Z457" s="3" t="s">
        <v>32</v>
      </c>
      <c r="AA457" s="3"/>
      <c r="AB457" s="3"/>
      <c r="AC457" s="4" t="s">
        <v>30</v>
      </c>
      <c r="AD457" s="3"/>
      <c r="AE457" s="3" t="s">
        <v>2836</v>
      </c>
      <c r="AF457" s="4" t="s">
        <v>30</v>
      </c>
      <c r="AH457" s="4">
        <v>0</v>
      </c>
      <c r="AI457" s="3" t="s">
        <v>2832</v>
      </c>
      <c r="AJ457" s="4" t="s">
        <v>2834</v>
      </c>
      <c r="AK457" s="4"/>
      <c r="AL457" s="3"/>
    </row>
    <row r="458" spans="1:38" x14ac:dyDescent="0.35">
      <c r="A458" s="3" t="s">
        <v>2837</v>
      </c>
      <c r="B458" s="4" t="s">
        <v>2843</v>
      </c>
      <c r="C458" s="4">
        <f>VLOOKUP(A458, [1]Planilha1!$A$3:$B$1015,2,FALSE)</f>
        <v>0</v>
      </c>
      <c r="D458" s="4">
        <f t="shared" si="7"/>
        <v>0</v>
      </c>
      <c r="E458" s="4" t="s">
        <v>1125</v>
      </c>
      <c r="F458" s="3" t="s">
        <v>2840</v>
      </c>
      <c r="G458" s="3" t="s">
        <v>1522</v>
      </c>
      <c r="H458" s="3" t="s">
        <v>622</v>
      </c>
      <c r="I458" s="3" t="s">
        <v>33</v>
      </c>
      <c r="J458" s="3" t="s">
        <v>60</v>
      </c>
      <c r="K458" s="3" t="s">
        <v>2839</v>
      </c>
      <c r="L458" s="1">
        <v>46041.665671296294</v>
      </c>
      <c r="M458" s="1">
        <v>46041.672962962963</v>
      </c>
      <c r="N458" s="1">
        <v>46044.708344907405</v>
      </c>
      <c r="O458" s="3" t="s">
        <v>621</v>
      </c>
      <c r="P458" s="3" t="s">
        <v>2843</v>
      </c>
      <c r="Q458" s="3" t="s">
        <v>35</v>
      </c>
      <c r="R458" s="3" t="s">
        <v>2842</v>
      </c>
      <c r="S458" s="3" t="s">
        <v>144</v>
      </c>
      <c r="T458" s="3" t="s">
        <v>143</v>
      </c>
      <c r="U458" s="4" t="b">
        <v>1</v>
      </c>
      <c r="V458" s="3" t="s">
        <v>31</v>
      </c>
      <c r="W458" s="1"/>
      <c r="Y458" s="3" t="s">
        <v>32</v>
      </c>
      <c r="Z458" s="3" t="s">
        <v>32</v>
      </c>
      <c r="AA458" s="3"/>
      <c r="AB458" s="3"/>
      <c r="AC458" s="4" t="s">
        <v>30</v>
      </c>
      <c r="AD458" s="3"/>
      <c r="AE458" s="3" t="s">
        <v>2843</v>
      </c>
      <c r="AF458" s="4" t="s">
        <v>30</v>
      </c>
      <c r="AH458" s="4">
        <v>0</v>
      </c>
      <c r="AI458" s="3" t="s">
        <v>2838</v>
      </c>
      <c r="AJ458" s="4" t="s">
        <v>2841</v>
      </c>
      <c r="AK458" s="4"/>
      <c r="AL458" s="3"/>
    </row>
    <row r="459" spans="1:38" x14ac:dyDescent="0.35">
      <c r="A459" s="3" t="s">
        <v>2844</v>
      </c>
      <c r="B459" s="4" t="s">
        <v>2850</v>
      </c>
      <c r="C459" s="4">
        <f>VLOOKUP(A459, [1]Planilha1!$A$3:$B$1015,2,FALSE)</f>
        <v>18476</v>
      </c>
      <c r="D459" s="4">
        <f t="shared" si="7"/>
        <v>5.1322222222222225</v>
      </c>
      <c r="E459" s="4" t="s">
        <v>1125</v>
      </c>
      <c r="F459" s="3" t="s">
        <v>2847</v>
      </c>
      <c r="G459" s="3" t="s">
        <v>2845</v>
      </c>
      <c r="H459" s="3" t="s">
        <v>171</v>
      </c>
      <c r="I459" s="3" t="s">
        <v>33</v>
      </c>
      <c r="J459" s="3" t="s">
        <v>41</v>
      </c>
      <c r="L459" s="1">
        <v>46041.652465277781</v>
      </c>
      <c r="M459" s="1">
        <v>46041.652465277781</v>
      </c>
      <c r="N459" s="1">
        <v>46041.726365740738</v>
      </c>
      <c r="O459" s="3" t="s">
        <v>170</v>
      </c>
      <c r="P459" s="3" t="s">
        <v>2850</v>
      </c>
      <c r="Q459" s="3" t="s">
        <v>42</v>
      </c>
      <c r="R459" s="3" t="s">
        <v>2849</v>
      </c>
      <c r="S459" s="3" t="s">
        <v>37</v>
      </c>
      <c r="T459" s="3" t="s">
        <v>36</v>
      </c>
      <c r="U459" s="4" t="b">
        <v>1</v>
      </c>
      <c r="V459" s="3" t="s">
        <v>28</v>
      </c>
      <c r="W459" s="1"/>
      <c r="Y459" s="3" t="s">
        <v>29</v>
      </c>
      <c r="Z459" s="3" t="s">
        <v>29</v>
      </c>
      <c r="AA459" s="3"/>
      <c r="AB459" s="3"/>
      <c r="AC459" s="4" t="s">
        <v>30</v>
      </c>
      <c r="AD459" s="3"/>
      <c r="AE459" s="3" t="s">
        <v>2850</v>
      </c>
      <c r="AF459" s="4" t="s">
        <v>30</v>
      </c>
      <c r="AH459" s="4">
        <v>1</v>
      </c>
      <c r="AI459" s="3" t="s">
        <v>2846</v>
      </c>
      <c r="AJ459" s="4" t="s">
        <v>2848</v>
      </c>
      <c r="AK459" s="4"/>
      <c r="AL459" s="3"/>
    </row>
    <row r="460" spans="1:38" x14ac:dyDescent="0.35">
      <c r="A460" s="3" t="s">
        <v>2851</v>
      </c>
      <c r="B460" s="4" t="s">
        <v>1973</v>
      </c>
      <c r="C460" s="4">
        <f>VLOOKUP(A460, [1]Planilha1!$A$3:$B$1015,2,FALSE)</f>
        <v>0</v>
      </c>
      <c r="D460" s="4">
        <f t="shared" si="7"/>
        <v>0</v>
      </c>
      <c r="E460" s="4" t="s">
        <v>1125</v>
      </c>
      <c r="F460" s="3" t="s">
        <v>1971</v>
      </c>
      <c r="G460" s="3" t="s">
        <v>134</v>
      </c>
      <c r="H460" s="3" t="s">
        <v>138</v>
      </c>
      <c r="I460" s="3" t="s">
        <v>33</v>
      </c>
      <c r="J460" s="3" t="s">
        <v>60</v>
      </c>
      <c r="K460" s="3" t="s">
        <v>2853</v>
      </c>
      <c r="L460" s="1">
        <v>46041.650902777779</v>
      </c>
      <c r="M460" s="1">
        <v>46041.656736111108</v>
      </c>
      <c r="N460" s="1">
        <v>46044.666666666664</v>
      </c>
      <c r="O460" s="3" t="s">
        <v>137</v>
      </c>
      <c r="P460" s="3" t="s">
        <v>1973</v>
      </c>
      <c r="Q460" s="3" t="s">
        <v>35</v>
      </c>
      <c r="R460" s="3" t="s">
        <v>1972</v>
      </c>
      <c r="S460" s="3" t="s">
        <v>144</v>
      </c>
      <c r="T460" s="3" t="s">
        <v>143</v>
      </c>
      <c r="U460" s="4" t="b">
        <v>1</v>
      </c>
      <c r="V460" s="3" t="s">
        <v>31</v>
      </c>
      <c r="W460" s="1"/>
      <c r="Y460" s="3" t="s">
        <v>32</v>
      </c>
      <c r="Z460" s="3" t="s">
        <v>32</v>
      </c>
      <c r="AA460" s="3"/>
      <c r="AB460" s="3"/>
      <c r="AC460" s="4" t="s">
        <v>30</v>
      </c>
      <c r="AD460" s="3"/>
      <c r="AE460" s="3" t="s">
        <v>1973</v>
      </c>
      <c r="AF460" s="4" t="s">
        <v>30</v>
      </c>
      <c r="AH460" s="4">
        <v>0</v>
      </c>
      <c r="AI460" s="3" t="s">
        <v>2852</v>
      </c>
      <c r="AJ460" s="4" t="s">
        <v>5859</v>
      </c>
      <c r="AK460" s="4"/>
      <c r="AL460" s="3"/>
    </row>
    <row r="461" spans="1:38" x14ac:dyDescent="0.35">
      <c r="A461" s="3" t="s">
        <v>2855</v>
      </c>
      <c r="B461" s="4" t="s">
        <v>2861</v>
      </c>
      <c r="C461" s="4">
        <f>VLOOKUP(A461, [1]Planilha1!$A$3:$B$1015,2,FALSE)</f>
        <v>8610</v>
      </c>
      <c r="D461" s="4">
        <f t="shared" si="7"/>
        <v>2.3916666666666666</v>
      </c>
      <c r="E461" s="4" t="s">
        <v>1125</v>
      </c>
      <c r="F461" s="3" t="s">
        <v>2858</v>
      </c>
      <c r="G461" s="3" t="s">
        <v>2856</v>
      </c>
      <c r="H461" s="3" t="s">
        <v>44</v>
      </c>
      <c r="I461" s="3" t="s">
        <v>33</v>
      </c>
      <c r="J461" s="3" t="s">
        <v>41</v>
      </c>
      <c r="L461" s="1">
        <v>46041.647870370369</v>
      </c>
      <c r="M461" s="1">
        <v>46041.650370370371</v>
      </c>
      <c r="N461" s="1">
        <v>46041.700196759259</v>
      </c>
      <c r="O461" s="3" t="s">
        <v>43</v>
      </c>
      <c r="P461" s="3" t="s">
        <v>2861</v>
      </c>
      <c r="Q461" s="3" t="s">
        <v>42</v>
      </c>
      <c r="R461" s="3" t="s">
        <v>2860</v>
      </c>
      <c r="S461" s="3" t="s">
        <v>80</v>
      </c>
      <c r="T461" s="3" t="s">
        <v>79</v>
      </c>
      <c r="U461" s="4" t="b">
        <v>1</v>
      </c>
      <c r="V461" s="3" t="s">
        <v>31</v>
      </c>
      <c r="W461" s="1"/>
      <c r="Y461" s="3" t="s">
        <v>32</v>
      </c>
      <c r="Z461" s="3" t="s">
        <v>32</v>
      </c>
      <c r="AA461" s="3"/>
      <c r="AB461" s="3"/>
      <c r="AC461" s="4" t="s">
        <v>30</v>
      </c>
      <c r="AD461" s="3"/>
      <c r="AE461" s="3" t="s">
        <v>2861</v>
      </c>
      <c r="AF461" s="4" t="s">
        <v>30</v>
      </c>
      <c r="AH461" s="4">
        <v>1</v>
      </c>
      <c r="AI461" s="3" t="s">
        <v>2857</v>
      </c>
      <c r="AJ461" s="4" t="s">
        <v>2859</v>
      </c>
      <c r="AK461" s="4"/>
      <c r="AL461" s="3"/>
    </row>
    <row r="462" spans="1:38" x14ac:dyDescent="0.35">
      <c r="A462" s="3" t="s">
        <v>2862</v>
      </c>
      <c r="B462" s="4" t="s">
        <v>2867</v>
      </c>
      <c r="C462" s="4">
        <f>VLOOKUP(A462, [1]Planilha1!$A$3:$B$1015,2,FALSE)</f>
        <v>11749</v>
      </c>
      <c r="D462" s="4">
        <f t="shared" si="7"/>
        <v>3.263611111111111</v>
      </c>
      <c r="E462" s="4" t="s">
        <v>1125</v>
      </c>
      <c r="F462" s="3" t="s">
        <v>2865</v>
      </c>
      <c r="G462" s="3" t="s">
        <v>2863</v>
      </c>
      <c r="H462" s="3" t="s">
        <v>428</v>
      </c>
      <c r="I462" s="3" t="s">
        <v>33</v>
      </c>
      <c r="J462" s="3" t="s">
        <v>41</v>
      </c>
      <c r="K462" s="3" t="s">
        <v>362</v>
      </c>
      <c r="L462" s="1">
        <v>46041.643738425926</v>
      </c>
      <c r="M462" s="1">
        <v>46041.643738425926</v>
      </c>
      <c r="N462" s="1">
        <v>46041.696875000001</v>
      </c>
      <c r="O462" s="3" t="s">
        <v>427</v>
      </c>
      <c r="P462" s="3" t="s">
        <v>2867</v>
      </c>
      <c r="Q462" s="3" t="s">
        <v>42</v>
      </c>
      <c r="R462" s="3" t="s">
        <v>2866</v>
      </c>
      <c r="S462" s="3" t="s">
        <v>37</v>
      </c>
      <c r="T462" s="3" t="s">
        <v>36</v>
      </c>
      <c r="U462" s="4" t="b">
        <v>1</v>
      </c>
      <c r="V462" s="3" t="s">
        <v>28</v>
      </c>
      <c r="W462" s="1"/>
      <c r="Y462" s="3" t="s">
        <v>29</v>
      </c>
      <c r="Z462" s="3" t="s">
        <v>29</v>
      </c>
      <c r="AA462" s="3"/>
      <c r="AB462" s="3"/>
      <c r="AC462" s="4" t="s">
        <v>30</v>
      </c>
      <c r="AD462" s="3"/>
      <c r="AE462" s="3" t="s">
        <v>2867</v>
      </c>
      <c r="AF462" s="4" t="s">
        <v>30</v>
      </c>
      <c r="AH462" s="4">
        <v>1</v>
      </c>
      <c r="AI462" s="3" t="s">
        <v>2864</v>
      </c>
      <c r="AJ462" s="4" t="s">
        <v>5881</v>
      </c>
      <c r="AK462" s="4"/>
      <c r="AL462" s="3"/>
    </row>
    <row r="463" spans="1:38" x14ac:dyDescent="0.35">
      <c r="A463" s="3" t="s">
        <v>2868</v>
      </c>
      <c r="B463" s="4" t="s">
        <v>2872</v>
      </c>
      <c r="C463" s="4">
        <f>VLOOKUP(A463, [1]Planilha1!$A$3:$B$1015,2,FALSE)</f>
        <v>4822</v>
      </c>
      <c r="D463" s="4">
        <f t="shared" si="7"/>
        <v>1.3394444444444444</v>
      </c>
      <c r="E463" s="4" t="s">
        <v>1125</v>
      </c>
      <c r="F463" s="3" t="s">
        <v>2870</v>
      </c>
      <c r="G463" s="3" t="s">
        <v>74</v>
      </c>
      <c r="H463" s="3" t="s">
        <v>44</v>
      </c>
      <c r="I463" s="3" t="s">
        <v>33</v>
      </c>
      <c r="J463" s="3" t="s">
        <v>41</v>
      </c>
      <c r="L463" s="1">
        <v>46041.642071759263</v>
      </c>
      <c r="M463" s="1">
        <v>46041.643310185187</v>
      </c>
      <c r="N463" s="1">
        <v>46041.671215277776</v>
      </c>
      <c r="O463" s="3" t="s">
        <v>43</v>
      </c>
      <c r="P463" s="3" t="s">
        <v>2872</v>
      </c>
      <c r="Q463" s="3" t="s">
        <v>42</v>
      </c>
      <c r="R463" s="3" t="s">
        <v>2871</v>
      </c>
      <c r="S463" s="3" t="s">
        <v>80</v>
      </c>
      <c r="T463" s="3" t="s">
        <v>79</v>
      </c>
      <c r="U463" s="4" t="b">
        <v>1</v>
      </c>
      <c r="V463" s="3" t="s">
        <v>31</v>
      </c>
      <c r="W463" s="1"/>
      <c r="Y463" s="3" t="s">
        <v>32</v>
      </c>
      <c r="Z463" s="3" t="s">
        <v>32</v>
      </c>
      <c r="AA463" s="3"/>
      <c r="AB463" s="3"/>
      <c r="AC463" s="4" t="s">
        <v>30</v>
      </c>
      <c r="AD463" s="3"/>
      <c r="AE463" s="3" t="s">
        <v>2872</v>
      </c>
      <c r="AF463" s="4" t="s">
        <v>30</v>
      </c>
      <c r="AH463" s="4">
        <v>1</v>
      </c>
      <c r="AI463" s="3" t="s">
        <v>2869</v>
      </c>
      <c r="AJ463" s="4" t="s">
        <v>5882</v>
      </c>
      <c r="AK463" s="4"/>
      <c r="AL463" s="3"/>
    </row>
    <row r="464" spans="1:38" x14ac:dyDescent="0.35">
      <c r="A464" s="3" t="s">
        <v>2873</v>
      </c>
      <c r="B464" s="4" t="s">
        <v>2722</v>
      </c>
      <c r="C464" s="4">
        <f>VLOOKUP(A464, [1]Planilha1!$A$3:$B$1015,2,FALSE)</f>
        <v>2044</v>
      </c>
      <c r="D464" s="4">
        <f t="shared" si="7"/>
        <v>0.56777777777777783</v>
      </c>
      <c r="E464" s="4" t="s">
        <v>1125</v>
      </c>
      <c r="F464" s="3" t="s">
        <v>2875</v>
      </c>
      <c r="G464" s="3" t="s">
        <v>74</v>
      </c>
      <c r="H464" s="3" t="s">
        <v>44</v>
      </c>
      <c r="I464" s="3" t="s">
        <v>33</v>
      </c>
      <c r="J464" s="3" t="s">
        <v>41</v>
      </c>
      <c r="L464" s="1">
        <v>46041.638865740744</v>
      </c>
      <c r="M464" s="1">
        <v>46041.6403587963</v>
      </c>
      <c r="N464" s="1">
        <v>46044.666666666664</v>
      </c>
      <c r="O464" s="3" t="s">
        <v>43</v>
      </c>
      <c r="P464" s="3" t="s">
        <v>2722</v>
      </c>
      <c r="Q464" s="3" t="s">
        <v>35</v>
      </c>
      <c r="R464" s="3" t="s">
        <v>2877</v>
      </c>
      <c r="S464" s="3" t="s">
        <v>80</v>
      </c>
      <c r="T464" s="3" t="s">
        <v>79</v>
      </c>
      <c r="U464" s="4" t="b">
        <v>1</v>
      </c>
      <c r="V464" s="3" t="s">
        <v>31</v>
      </c>
      <c r="W464" s="1"/>
      <c r="Y464" s="3" t="s">
        <v>32</v>
      </c>
      <c r="Z464" s="3" t="s">
        <v>32</v>
      </c>
      <c r="AA464" s="3"/>
      <c r="AB464" s="3"/>
      <c r="AC464" s="4" t="s">
        <v>30</v>
      </c>
      <c r="AD464" s="3"/>
      <c r="AE464" s="3" t="s">
        <v>2722</v>
      </c>
      <c r="AF464" s="4" t="s">
        <v>30</v>
      </c>
      <c r="AH464" s="4">
        <v>1</v>
      </c>
      <c r="AI464" s="3" t="s">
        <v>2874</v>
      </c>
      <c r="AJ464" s="4" t="s">
        <v>2876</v>
      </c>
      <c r="AK464" s="4"/>
      <c r="AL464" s="3"/>
    </row>
    <row r="465" spans="1:38" x14ac:dyDescent="0.35">
      <c r="A465" s="3" t="s">
        <v>2882</v>
      </c>
      <c r="B465" s="4" t="s">
        <v>2887</v>
      </c>
      <c r="C465" s="4">
        <f>VLOOKUP(A465, [1]Planilha1!$A$3:$B$1015,2,FALSE)</f>
        <v>4620</v>
      </c>
      <c r="D465" s="4">
        <f t="shared" si="7"/>
        <v>1.2833333333333334</v>
      </c>
      <c r="E465" s="4" t="s">
        <v>1125</v>
      </c>
      <c r="F465" s="3" t="s">
        <v>2885</v>
      </c>
      <c r="G465" s="3" t="s">
        <v>214</v>
      </c>
      <c r="H465" s="3" t="s">
        <v>44</v>
      </c>
      <c r="I465" s="3" t="s">
        <v>33</v>
      </c>
      <c r="J465" s="3" t="s">
        <v>41</v>
      </c>
      <c r="K465" s="3" t="s">
        <v>2884</v>
      </c>
      <c r="L465" s="1">
        <v>46041.634814814817</v>
      </c>
      <c r="M465" s="1">
        <v>46041.641782407409</v>
      </c>
      <c r="N465" s="1">
        <v>46041.66851851852</v>
      </c>
      <c r="O465" s="3" t="s">
        <v>43</v>
      </c>
      <c r="P465" s="3" t="s">
        <v>2887</v>
      </c>
      <c r="Q465" s="3" t="s">
        <v>42</v>
      </c>
      <c r="R465" s="3" t="s">
        <v>2886</v>
      </c>
      <c r="S465" s="3" t="s">
        <v>144</v>
      </c>
      <c r="T465" s="3" t="s">
        <v>143</v>
      </c>
      <c r="U465" s="4" t="b">
        <v>1</v>
      </c>
      <c r="V465" s="3" t="s">
        <v>31</v>
      </c>
      <c r="W465" s="1"/>
      <c r="Y465" s="3" t="s">
        <v>32</v>
      </c>
      <c r="Z465" s="3" t="s">
        <v>32</v>
      </c>
      <c r="AA465" s="3"/>
      <c r="AB465" s="3"/>
      <c r="AC465" s="4" t="s">
        <v>30</v>
      </c>
      <c r="AD465" s="3"/>
      <c r="AE465" s="3" t="s">
        <v>2887</v>
      </c>
      <c r="AF465" s="4" t="s">
        <v>30</v>
      </c>
      <c r="AH465" s="4">
        <v>1</v>
      </c>
      <c r="AI465" s="3" t="s">
        <v>2883</v>
      </c>
      <c r="AJ465" s="4" t="s">
        <v>5883</v>
      </c>
      <c r="AK465" s="4"/>
      <c r="AL465" s="3"/>
    </row>
    <row r="466" spans="1:38" x14ac:dyDescent="0.35">
      <c r="A466" s="3" t="s">
        <v>2888</v>
      </c>
      <c r="B466" s="4" t="s">
        <v>2892</v>
      </c>
      <c r="C466" s="4">
        <f>VLOOKUP(A466, [1]Planilha1!$A$3:$B$1015,2,FALSE)</f>
        <v>802</v>
      </c>
      <c r="D466" s="4">
        <f t="shared" si="7"/>
        <v>0.22277777777777777</v>
      </c>
      <c r="E466" s="4" t="s">
        <v>1125</v>
      </c>
      <c r="F466" s="3" t="s">
        <v>2890</v>
      </c>
      <c r="G466" s="3" t="s">
        <v>72</v>
      </c>
      <c r="H466" s="3" t="s">
        <v>126</v>
      </c>
      <c r="I466" s="3" t="s">
        <v>33</v>
      </c>
      <c r="J466" s="3" t="s">
        <v>60</v>
      </c>
      <c r="L466" s="1">
        <v>46041.619270833333</v>
      </c>
      <c r="M466" s="1">
        <v>46041.619270833333</v>
      </c>
      <c r="N466" s="1">
        <v>46044.625</v>
      </c>
      <c r="O466" s="3" t="s">
        <v>125</v>
      </c>
      <c r="P466" s="3" t="s">
        <v>2892</v>
      </c>
      <c r="Q466" s="3" t="s">
        <v>42</v>
      </c>
      <c r="R466" s="3" t="s">
        <v>2891</v>
      </c>
      <c r="S466" s="3" t="s">
        <v>37</v>
      </c>
      <c r="T466" s="3" t="s">
        <v>36</v>
      </c>
      <c r="U466" s="4" t="b">
        <v>1</v>
      </c>
      <c r="V466" s="3" t="s">
        <v>28</v>
      </c>
      <c r="W466" s="1"/>
      <c r="Y466" s="3" t="s">
        <v>29</v>
      </c>
      <c r="Z466" s="3" t="s">
        <v>29</v>
      </c>
      <c r="AA466" s="3"/>
      <c r="AB466" s="3"/>
      <c r="AC466" s="4" t="s">
        <v>30</v>
      </c>
      <c r="AD466" s="3"/>
      <c r="AE466" s="3" t="s">
        <v>2892</v>
      </c>
      <c r="AF466" s="4" t="s">
        <v>30</v>
      </c>
      <c r="AH466" s="4">
        <v>0</v>
      </c>
      <c r="AI466" s="3" t="s">
        <v>2889</v>
      </c>
      <c r="AJ466" s="4" t="s">
        <v>5884</v>
      </c>
      <c r="AK466" s="4"/>
      <c r="AL466" s="3"/>
    </row>
    <row r="467" spans="1:38" x14ac:dyDescent="0.35">
      <c r="A467" s="3" t="s">
        <v>2893</v>
      </c>
      <c r="B467" s="4" t="s">
        <v>2898</v>
      </c>
      <c r="C467" s="4">
        <f>VLOOKUP(A467, [1]Planilha1!$A$3:$B$1015,2,FALSE)</f>
        <v>7886</v>
      </c>
      <c r="D467" s="4">
        <f t="shared" si="7"/>
        <v>2.1905555555555556</v>
      </c>
      <c r="E467" s="4" t="s">
        <v>1125</v>
      </c>
      <c r="F467" s="3" t="s">
        <v>2895</v>
      </c>
      <c r="G467" s="3" t="s">
        <v>44</v>
      </c>
      <c r="H467" s="3" t="s">
        <v>44</v>
      </c>
      <c r="I467" s="3" t="s">
        <v>33</v>
      </c>
      <c r="J467" s="3" t="s">
        <v>41</v>
      </c>
      <c r="L467" s="1">
        <v>46041.618194444447</v>
      </c>
      <c r="M467" s="1">
        <v>46041.621099537035</v>
      </c>
      <c r="N467" s="1">
        <v>46041.66673611111</v>
      </c>
      <c r="O467" s="3" t="s">
        <v>43</v>
      </c>
      <c r="P467" s="3" t="s">
        <v>2898</v>
      </c>
      <c r="Q467" s="3" t="s">
        <v>42</v>
      </c>
      <c r="R467" s="3" t="s">
        <v>2897</v>
      </c>
      <c r="S467" s="3" t="s">
        <v>96</v>
      </c>
      <c r="T467" s="3" t="s">
        <v>95</v>
      </c>
      <c r="U467" s="4" t="b">
        <v>1</v>
      </c>
      <c r="V467" s="3" t="s">
        <v>31</v>
      </c>
      <c r="W467" s="1"/>
      <c r="Y467" s="3" t="s">
        <v>32</v>
      </c>
      <c r="Z467" s="3" t="s">
        <v>32</v>
      </c>
      <c r="AA467" s="3"/>
      <c r="AB467" s="3"/>
      <c r="AC467" s="4" t="s">
        <v>30</v>
      </c>
      <c r="AD467" s="3"/>
      <c r="AE467" s="3" t="s">
        <v>2898</v>
      </c>
      <c r="AF467" s="4" t="s">
        <v>30</v>
      </c>
      <c r="AH467" s="4">
        <v>1</v>
      </c>
      <c r="AI467" s="3" t="s">
        <v>2894</v>
      </c>
      <c r="AJ467" s="4" t="s">
        <v>2896</v>
      </c>
      <c r="AK467" s="4"/>
      <c r="AL467" s="3"/>
    </row>
    <row r="468" spans="1:38" x14ac:dyDescent="0.35">
      <c r="A468" s="3" t="s">
        <v>2899</v>
      </c>
      <c r="B468" s="4" t="s">
        <v>58</v>
      </c>
      <c r="C468" s="4">
        <f>VLOOKUP(A468, [1]Planilha1!$A$3:$B$1015,2,FALSE)</f>
        <v>94000</v>
      </c>
      <c r="D468" s="4">
        <f t="shared" si="7"/>
        <v>26.111111111111111</v>
      </c>
      <c r="E468" s="4" t="s">
        <v>1125</v>
      </c>
      <c r="F468" s="3" t="s">
        <v>54</v>
      </c>
      <c r="G468" s="3" t="s">
        <v>2900</v>
      </c>
      <c r="H468" s="3" t="s">
        <v>2411</v>
      </c>
      <c r="I468" s="3" t="s">
        <v>33</v>
      </c>
      <c r="J468" s="3" t="s">
        <v>152</v>
      </c>
      <c r="K468" s="3" t="s">
        <v>2526</v>
      </c>
      <c r="L468" s="1">
        <v>46041.613819444443</v>
      </c>
      <c r="M468" s="1">
        <v>46041.621770833335</v>
      </c>
      <c r="N468" s="1">
        <v>46051.539224537039</v>
      </c>
      <c r="O468" s="3" t="s">
        <v>2527</v>
      </c>
      <c r="P468" s="3" t="s">
        <v>57</v>
      </c>
      <c r="Q468" s="3" t="s">
        <v>52</v>
      </c>
      <c r="R468" s="3" t="s">
        <v>56</v>
      </c>
      <c r="S468" s="3" t="s">
        <v>64</v>
      </c>
      <c r="T468" s="3" t="s">
        <v>63</v>
      </c>
      <c r="U468" s="4" t="b">
        <v>0</v>
      </c>
      <c r="V468" s="3" t="s">
        <v>28</v>
      </c>
      <c r="W468" s="1"/>
      <c r="Y468" s="3" t="s">
        <v>29</v>
      </c>
      <c r="Z468" s="3" t="s">
        <v>29</v>
      </c>
      <c r="AA468" s="3" t="s">
        <v>2902</v>
      </c>
      <c r="AB468" s="3" t="s">
        <v>58</v>
      </c>
      <c r="AC468" s="4" t="s">
        <v>30</v>
      </c>
      <c r="AD468" s="3" t="s">
        <v>59</v>
      </c>
      <c r="AE468" s="3" t="s">
        <v>57</v>
      </c>
      <c r="AF468" s="4" t="s">
        <v>30</v>
      </c>
      <c r="AH468" s="4">
        <v>11</v>
      </c>
      <c r="AI468" s="3" t="s">
        <v>2901</v>
      </c>
      <c r="AJ468" s="4" t="s">
        <v>55</v>
      </c>
      <c r="AK468" s="4" t="s">
        <v>2903</v>
      </c>
      <c r="AL468" s="3"/>
    </row>
    <row r="469" spans="1:38" x14ac:dyDescent="0.35">
      <c r="A469" s="3" t="s">
        <v>2904</v>
      </c>
      <c r="B469" s="4" t="s">
        <v>2909</v>
      </c>
      <c r="C469" s="4">
        <f>VLOOKUP(A469, [1]Planilha1!$A$3:$B$1015,2,FALSE)</f>
        <v>11148</v>
      </c>
      <c r="D469" s="4">
        <f t="shared" si="7"/>
        <v>3.0966666666666667</v>
      </c>
      <c r="E469" s="4" t="s">
        <v>1125</v>
      </c>
      <c r="F469" s="3" t="s">
        <v>2906</v>
      </c>
      <c r="G469" s="3" t="s">
        <v>100</v>
      </c>
      <c r="H469" s="3" t="s">
        <v>44</v>
      </c>
      <c r="I469" s="3" t="s">
        <v>33</v>
      </c>
      <c r="J469" s="3" t="s">
        <v>41</v>
      </c>
      <c r="L469" s="1">
        <v>46041.609085648146</v>
      </c>
      <c r="M469" s="1">
        <v>46041.609085648146</v>
      </c>
      <c r="N469" s="1">
        <v>46041.655219907407</v>
      </c>
      <c r="O469" s="3" t="s">
        <v>43</v>
      </c>
      <c r="P469" s="3" t="s">
        <v>2909</v>
      </c>
      <c r="Q469" s="3" t="s">
        <v>42</v>
      </c>
      <c r="R469" s="3" t="s">
        <v>2908</v>
      </c>
      <c r="S469" s="3" t="s">
        <v>37</v>
      </c>
      <c r="T469" s="3" t="s">
        <v>36</v>
      </c>
      <c r="U469" s="4" t="b">
        <v>1</v>
      </c>
      <c r="V469" s="3" t="s">
        <v>28</v>
      </c>
      <c r="W469" s="1"/>
      <c r="Y469" s="3" t="s">
        <v>29</v>
      </c>
      <c r="Z469" s="3" t="s">
        <v>29</v>
      </c>
      <c r="AA469" s="3"/>
      <c r="AB469" s="3"/>
      <c r="AC469" s="4" t="s">
        <v>30</v>
      </c>
      <c r="AD469" s="3"/>
      <c r="AE469" s="3" t="s">
        <v>2909</v>
      </c>
      <c r="AF469" s="4" t="s">
        <v>30</v>
      </c>
      <c r="AH469" s="4">
        <v>2</v>
      </c>
      <c r="AI469" s="3" t="s">
        <v>2905</v>
      </c>
      <c r="AJ469" s="4" t="s">
        <v>2907</v>
      </c>
      <c r="AK469" s="4"/>
      <c r="AL469" s="3"/>
    </row>
    <row r="470" spans="1:38" x14ac:dyDescent="0.35">
      <c r="A470" s="3" t="s">
        <v>2910</v>
      </c>
      <c r="B470" s="4" t="s">
        <v>2915</v>
      </c>
      <c r="C470" s="4">
        <f>VLOOKUP(A470, [1]Planilha1!$A$3:$B$1015,2,FALSE)</f>
        <v>10958</v>
      </c>
      <c r="D470" s="4">
        <f t="shared" si="7"/>
        <v>3.0438888888888891</v>
      </c>
      <c r="E470" s="4" t="s">
        <v>1125</v>
      </c>
      <c r="F470" s="3" t="s">
        <v>2912</v>
      </c>
      <c r="G470" s="3" t="s">
        <v>74</v>
      </c>
      <c r="H470" s="3" t="s">
        <v>44</v>
      </c>
      <c r="I470" s="3" t="s">
        <v>33</v>
      </c>
      <c r="J470" s="3" t="s">
        <v>41</v>
      </c>
      <c r="L470" s="1">
        <v>46041.59915509259</v>
      </c>
      <c r="M470" s="1">
        <v>46041.606585648151</v>
      </c>
      <c r="N470" s="1">
        <v>46041.67</v>
      </c>
      <c r="O470" s="3" t="s">
        <v>43</v>
      </c>
      <c r="P470" s="3" t="s">
        <v>2915</v>
      </c>
      <c r="Q470" s="3" t="s">
        <v>42</v>
      </c>
      <c r="R470" s="3" t="s">
        <v>2914</v>
      </c>
      <c r="S470" s="3" t="s">
        <v>80</v>
      </c>
      <c r="T470" s="3" t="s">
        <v>79</v>
      </c>
      <c r="U470" s="4" t="b">
        <v>1</v>
      </c>
      <c r="V470" s="3" t="s">
        <v>31</v>
      </c>
      <c r="W470" s="1"/>
      <c r="Y470" s="3" t="s">
        <v>32</v>
      </c>
      <c r="Z470" s="3" t="s">
        <v>32</v>
      </c>
      <c r="AA470" s="3"/>
      <c r="AB470" s="3"/>
      <c r="AC470" s="4" t="s">
        <v>30</v>
      </c>
      <c r="AD470" s="3"/>
      <c r="AE470" s="3" t="s">
        <v>2915</v>
      </c>
      <c r="AF470" s="4" t="s">
        <v>30</v>
      </c>
      <c r="AH470" s="4">
        <v>1</v>
      </c>
      <c r="AI470" s="3" t="s">
        <v>2911</v>
      </c>
      <c r="AJ470" s="4" t="s">
        <v>2913</v>
      </c>
      <c r="AK470" s="4"/>
      <c r="AL470" s="3"/>
    </row>
    <row r="471" spans="1:38" x14ac:dyDescent="0.35">
      <c r="A471" s="3" t="s">
        <v>2916</v>
      </c>
      <c r="B471" s="4" t="s">
        <v>2920</v>
      </c>
      <c r="C471" s="4">
        <f>VLOOKUP(A471, [1]Planilha1!$A$3:$B$1015,2,FALSE)</f>
        <v>11052</v>
      </c>
      <c r="D471" s="4">
        <f t="shared" si="7"/>
        <v>3.07</v>
      </c>
      <c r="E471" s="4" t="s">
        <v>1125</v>
      </c>
      <c r="F471" s="3" t="s">
        <v>2918</v>
      </c>
      <c r="G471" s="3" t="s">
        <v>74</v>
      </c>
      <c r="H471" s="3" t="s">
        <v>44</v>
      </c>
      <c r="I471" s="3" t="s">
        <v>33</v>
      </c>
      <c r="J471" s="3" t="s">
        <v>41</v>
      </c>
      <c r="L471" s="1">
        <v>46041.594606481478</v>
      </c>
      <c r="M471" s="1">
        <v>46041.60665509259</v>
      </c>
      <c r="N471" s="1">
        <v>46041.670613425929</v>
      </c>
      <c r="O471" s="3" t="s">
        <v>43</v>
      </c>
      <c r="P471" s="3" t="s">
        <v>2920</v>
      </c>
      <c r="Q471" s="3" t="s">
        <v>42</v>
      </c>
      <c r="R471" s="3" t="s">
        <v>2919</v>
      </c>
      <c r="S471" s="3" t="s">
        <v>80</v>
      </c>
      <c r="T471" s="3" t="s">
        <v>79</v>
      </c>
      <c r="U471" s="4" t="b">
        <v>1</v>
      </c>
      <c r="V471" s="3" t="s">
        <v>31</v>
      </c>
      <c r="W471" s="1"/>
      <c r="Y471" s="3" t="s">
        <v>32</v>
      </c>
      <c r="Z471" s="3" t="s">
        <v>32</v>
      </c>
      <c r="AA471" s="3"/>
      <c r="AB471" s="3"/>
      <c r="AC471" s="4" t="s">
        <v>30</v>
      </c>
      <c r="AD471" s="3"/>
      <c r="AE471" s="3" t="s">
        <v>2920</v>
      </c>
      <c r="AF471" s="4" t="s">
        <v>30</v>
      </c>
      <c r="AH471" s="4">
        <v>1</v>
      </c>
      <c r="AI471" s="3" t="s">
        <v>2917</v>
      </c>
      <c r="AJ471" s="4"/>
      <c r="AK471" s="4"/>
      <c r="AL471" s="3"/>
    </row>
    <row r="472" spans="1:38" x14ac:dyDescent="0.35">
      <c r="A472" s="3" t="s">
        <v>2921</v>
      </c>
      <c r="B472" s="4" t="s">
        <v>2927</v>
      </c>
      <c r="C472" s="4">
        <f>VLOOKUP(A472, [1]Planilha1!$A$3:$B$1015,2,FALSE)</f>
        <v>0</v>
      </c>
      <c r="D472" s="4">
        <f t="shared" si="7"/>
        <v>0</v>
      </c>
      <c r="E472" s="4" t="s">
        <v>1125</v>
      </c>
      <c r="F472" s="3" t="s">
        <v>2924</v>
      </c>
      <c r="G472" s="3" t="s">
        <v>214</v>
      </c>
      <c r="H472" s="3" t="s">
        <v>44</v>
      </c>
      <c r="I472" s="3" t="s">
        <v>33</v>
      </c>
      <c r="J472" s="3" t="s">
        <v>60</v>
      </c>
      <c r="K472" s="3" t="s">
        <v>2923</v>
      </c>
      <c r="L472" s="1">
        <v>46041.589837962965</v>
      </c>
      <c r="M472" s="1">
        <v>46041.601388888892</v>
      </c>
      <c r="N472" s="1">
        <v>46044.625</v>
      </c>
      <c r="O472" s="3" t="s">
        <v>43</v>
      </c>
      <c r="P472" s="3" t="s">
        <v>2927</v>
      </c>
      <c r="Q472" s="3" t="s">
        <v>35</v>
      </c>
      <c r="R472" s="3" t="s">
        <v>2926</v>
      </c>
      <c r="S472" s="3" t="s">
        <v>144</v>
      </c>
      <c r="T472" s="3" t="s">
        <v>143</v>
      </c>
      <c r="U472" s="4" t="b">
        <v>1</v>
      </c>
      <c r="V472" s="3" t="s">
        <v>31</v>
      </c>
      <c r="W472" s="1"/>
      <c r="Y472" s="3" t="s">
        <v>32</v>
      </c>
      <c r="Z472" s="3" t="s">
        <v>32</v>
      </c>
      <c r="AA472" s="3"/>
      <c r="AB472" s="3"/>
      <c r="AC472" s="4" t="s">
        <v>30</v>
      </c>
      <c r="AD472" s="3"/>
      <c r="AE472" s="3" t="s">
        <v>2927</v>
      </c>
      <c r="AF472" s="4" t="s">
        <v>30</v>
      </c>
      <c r="AH472" s="4">
        <v>0</v>
      </c>
      <c r="AI472" s="3" t="s">
        <v>2922</v>
      </c>
      <c r="AJ472" s="4" t="s">
        <v>2925</v>
      </c>
      <c r="AK472" s="4"/>
      <c r="AL472" s="3"/>
    </row>
    <row r="473" spans="1:38" x14ac:dyDescent="0.35">
      <c r="A473" s="3" t="s">
        <v>2928</v>
      </c>
      <c r="B473" s="4" t="s">
        <v>2934</v>
      </c>
      <c r="C473" s="4">
        <f>VLOOKUP(A473, [1]Planilha1!$A$3:$B$1015,2,FALSE)</f>
        <v>19598</v>
      </c>
      <c r="D473" s="4">
        <f t="shared" si="7"/>
        <v>5.443888888888889</v>
      </c>
      <c r="E473" s="4" t="s">
        <v>1125</v>
      </c>
      <c r="F473" s="3" t="s">
        <v>2931</v>
      </c>
      <c r="G473" s="3" t="s">
        <v>2929</v>
      </c>
      <c r="H473" s="3" t="s">
        <v>44</v>
      </c>
      <c r="I473" s="3" t="s">
        <v>33</v>
      </c>
      <c r="J473" s="3" t="s">
        <v>41</v>
      </c>
      <c r="L473" s="1">
        <v>46041.581377314818</v>
      </c>
      <c r="M473" s="1">
        <v>46041.581377314818</v>
      </c>
      <c r="N473" s="1">
        <v>46041.66609953704</v>
      </c>
      <c r="O473" s="3" t="s">
        <v>43</v>
      </c>
      <c r="P473" s="3" t="s">
        <v>2934</v>
      </c>
      <c r="Q473" s="3" t="s">
        <v>42</v>
      </c>
      <c r="R473" s="3" t="s">
        <v>2933</v>
      </c>
      <c r="S473" s="3" t="s">
        <v>37</v>
      </c>
      <c r="T473" s="3" t="s">
        <v>36</v>
      </c>
      <c r="U473" s="4" t="b">
        <v>1</v>
      </c>
      <c r="V473" s="3" t="s">
        <v>28</v>
      </c>
      <c r="W473" s="1"/>
      <c r="Y473" s="3" t="s">
        <v>29</v>
      </c>
      <c r="Z473" s="3" t="s">
        <v>29</v>
      </c>
      <c r="AA473" s="3"/>
      <c r="AB473" s="3"/>
      <c r="AC473" s="4" t="s">
        <v>30</v>
      </c>
      <c r="AD473" s="3"/>
      <c r="AE473" s="3" t="s">
        <v>2934</v>
      </c>
      <c r="AF473" s="4" t="s">
        <v>30</v>
      </c>
      <c r="AH473" s="4">
        <v>2</v>
      </c>
      <c r="AI473" s="3" t="s">
        <v>2930</v>
      </c>
      <c r="AJ473" s="4" t="s">
        <v>2932</v>
      </c>
      <c r="AK473" s="4"/>
      <c r="AL473" s="3"/>
    </row>
    <row r="474" spans="1:38" x14ac:dyDescent="0.35">
      <c r="A474" s="3" t="s">
        <v>2935</v>
      </c>
      <c r="B474" s="4" t="s">
        <v>2793</v>
      </c>
      <c r="C474" s="4">
        <f>VLOOKUP(A474, [1]Planilha1!$A$3:$B$1015,2,FALSE)</f>
        <v>0</v>
      </c>
      <c r="D474" s="4">
        <f t="shared" si="7"/>
        <v>0</v>
      </c>
      <c r="E474" s="4" t="s">
        <v>1125</v>
      </c>
      <c r="F474" s="3" t="s">
        <v>2938</v>
      </c>
      <c r="G474" s="3" t="s">
        <v>214</v>
      </c>
      <c r="H474" s="3" t="s">
        <v>44</v>
      </c>
      <c r="I474" s="3" t="s">
        <v>33</v>
      </c>
      <c r="J474" s="3" t="s">
        <v>60</v>
      </c>
      <c r="K474" s="3" t="s">
        <v>2937</v>
      </c>
      <c r="L474" s="1">
        <v>46041.570821759262</v>
      </c>
      <c r="M474" s="1">
        <v>46041.581064814818</v>
      </c>
      <c r="N474" s="1">
        <v>46044.583333333336</v>
      </c>
      <c r="O474" s="3" t="s">
        <v>43</v>
      </c>
      <c r="P474" s="3" t="s">
        <v>2793</v>
      </c>
      <c r="Q474" s="3" t="s">
        <v>35</v>
      </c>
      <c r="R474" s="3" t="s">
        <v>2940</v>
      </c>
      <c r="S474" s="3" t="s">
        <v>144</v>
      </c>
      <c r="T474" s="3" t="s">
        <v>143</v>
      </c>
      <c r="U474" s="4" t="b">
        <v>1</v>
      </c>
      <c r="V474" s="3" t="s">
        <v>31</v>
      </c>
      <c r="W474" s="1"/>
      <c r="Y474" s="3" t="s">
        <v>32</v>
      </c>
      <c r="Z474" s="3" t="s">
        <v>32</v>
      </c>
      <c r="AA474" s="3"/>
      <c r="AB474" s="3"/>
      <c r="AC474" s="4" t="s">
        <v>30</v>
      </c>
      <c r="AD474" s="3"/>
      <c r="AE474" s="3" t="s">
        <v>2793</v>
      </c>
      <c r="AF474" s="4" t="s">
        <v>30</v>
      </c>
      <c r="AH474" s="4">
        <v>0</v>
      </c>
      <c r="AI474" s="3" t="s">
        <v>2936</v>
      </c>
      <c r="AJ474" s="4" t="s">
        <v>2939</v>
      </c>
      <c r="AK474" s="4"/>
      <c r="AL474" s="3"/>
    </row>
    <row r="475" spans="1:38" x14ac:dyDescent="0.35">
      <c r="A475" s="3" t="s">
        <v>2941</v>
      </c>
      <c r="B475" s="4" t="s">
        <v>2947</v>
      </c>
      <c r="C475" s="4">
        <f>VLOOKUP(A475, [1]Planilha1!$A$3:$B$1015,2,FALSE)</f>
        <v>22761</v>
      </c>
      <c r="D475" s="4">
        <f t="shared" si="7"/>
        <v>6.3224999999999998</v>
      </c>
      <c r="E475" s="4" t="s">
        <v>1125</v>
      </c>
      <c r="F475" s="3" t="s">
        <v>2944</v>
      </c>
      <c r="G475" s="3" t="s">
        <v>2942</v>
      </c>
      <c r="H475" s="3" t="s">
        <v>224</v>
      </c>
      <c r="I475" s="3" t="s">
        <v>33</v>
      </c>
      <c r="J475" s="3" t="s">
        <v>41</v>
      </c>
      <c r="K475" s="3" t="s">
        <v>362</v>
      </c>
      <c r="L475" s="1">
        <v>46041.566435185188</v>
      </c>
      <c r="M475" s="1">
        <v>46041.566435185188</v>
      </c>
      <c r="N475" s="1">
        <v>46041.654247685183</v>
      </c>
      <c r="O475" s="3" t="s">
        <v>223</v>
      </c>
      <c r="P475" s="3" t="s">
        <v>2947</v>
      </c>
      <c r="Q475" s="3" t="s">
        <v>42</v>
      </c>
      <c r="R475" s="3" t="s">
        <v>2946</v>
      </c>
      <c r="S475" s="3" t="s">
        <v>37</v>
      </c>
      <c r="T475" s="3" t="s">
        <v>36</v>
      </c>
      <c r="U475" s="4" t="b">
        <v>1</v>
      </c>
      <c r="V475" s="3" t="s">
        <v>28</v>
      </c>
      <c r="W475" s="1"/>
      <c r="Y475" s="3" t="s">
        <v>29</v>
      </c>
      <c r="Z475" s="3" t="s">
        <v>29</v>
      </c>
      <c r="AA475" s="3"/>
      <c r="AB475" s="3"/>
      <c r="AC475" s="4" t="s">
        <v>30</v>
      </c>
      <c r="AD475" s="3"/>
      <c r="AE475" s="3" t="s">
        <v>2947</v>
      </c>
      <c r="AF475" s="4" t="s">
        <v>30</v>
      </c>
      <c r="AH475" s="4">
        <v>1</v>
      </c>
      <c r="AI475" s="3" t="s">
        <v>2943</v>
      </c>
      <c r="AJ475" s="4" t="s">
        <v>2945</v>
      </c>
      <c r="AK475" s="4"/>
      <c r="AL475" s="3"/>
    </row>
    <row r="476" spans="1:38" x14ac:dyDescent="0.35">
      <c r="A476" s="3" t="s">
        <v>2948</v>
      </c>
      <c r="B476" s="4" t="s">
        <v>2953</v>
      </c>
      <c r="C476" s="4">
        <f>VLOOKUP(A476, [1]Planilha1!$A$3:$B$1015,2,FALSE)</f>
        <v>0</v>
      </c>
      <c r="D476" s="4">
        <f t="shared" si="7"/>
        <v>0</v>
      </c>
      <c r="E476" s="4" t="s">
        <v>1125</v>
      </c>
      <c r="F476" s="3" t="s">
        <v>2951</v>
      </c>
      <c r="G476" s="3" t="s">
        <v>134</v>
      </c>
      <c r="H476" s="3" t="s">
        <v>138</v>
      </c>
      <c r="I476" s="3" t="s">
        <v>33</v>
      </c>
      <c r="J476" s="3" t="s">
        <v>60</v>
      </c>
      <c r="K476" s="3" t="s">
        <v>2950</v>
      </c>
      <c r="L476" s="1">
        <v>46041.542094907411</v>
      </c>
      <c r="M476" s="1">
        <v>46041.559224537035</v>
      </c>
      <c r="N476" s="1">
        <v>46044.583333333336</v>
      </c>
      <c r="O476" s="3" t="s">
        <v>137</v>
      </c>
      <c r="P476" s="3" t="s">
        <v>2953</v>
      </c>
      <c r="Q476" s="3" t="s">
        <v>35</v>
      </c>
      <c r="R476" s="3" t="s">
        <v>2952</v>
      </c>
      <c r="S476" s="3" t="s">
        <v>144</v>
      </c>
      <c r="T476" s="3" t="s">
        <v>143</v>
      </c>
      <c r="U476" s="4" t="b">
        <v>1</v>
      </c>
      <c r="V476" s="3" t="s">
        <v>31</v>
      </c>
      <c r="W476" s="1"/>
      <c r="Y476" s="3" t="s">
        <v>32</v>
      </c>
      <c r="Z476" s="3" t="s">
        <v>32</v>
      </c>
      <c r="AA476" s="3"/>
      <c r="AB476" s="3"/>
      <c r="AC476" s="4" t="s">
        <v>30</v>
      </c>
      <c r="AD476" s="3"/>
      <c r="AE476" s="3" t="s">
        <v>2953</v>
      </c>
      <c r="AF476" s="4" t="s">
        <v>30</v>
      </c>
      <c r="AH476" s="4">
        <v>0</v>
      </c>
      <c r="AI476" s="3" t="s">
        <v>2949</v>
      </c>
      <c r="AJ476" s="4" t="s">
        <v>5885</v>
      </c>
      <c r="AK476" s="4"/>
      <c r="AL476" s="3"/>
    </row>
    <row r="477" spans="1:38" x14ac:dyDescent="0.35">
      <c r="A477" s="3" t="s">
        <v>2954</v>
      </c>
      <c r="B477" s="4" t="s">
        <v>1577</v>
      </c>
      <c r="C477" s="4">
        <f>VLOOKUP(A477, [1]Planilha1!$A$3:$B$1015,2,FALSE)</f>
        <v>34864</v>
      </c>
      <c r="D477" s="4">
        <f t="shared" si="7"/>
        <v>9.6844444444444449</v>
      </c>
      <c r="E477" s="4" t="s">
        <v>1125</v>
      </c>
      <c r="F477" s="3" t="s">
        <v>1574</v>
      </c>
      <c r="G477" s="3" t="s">
        <v>2955</v>
      </c>
      <c r="H477" s="3" t="s">
        <v>44</v>
      </c>
      <c r="I477" s="3" t="s">
        <v>33</v>
      </c>
      <c r="J477" s="3" t="s">
        <v>41</v>
      </c>
      <c r="L477" s="1">
        <v>46041.522546296299</v>
      </c>
      <c r="M477" s="1">
        <v>46041.530949074076</v>
      </c>
      <c r="N477" s="1">
        <v>46041.732708333337</v>
      </c>
      <c r="O477" s="3" t="s">
        <v>43</v>
      </c>
      <c r="P477" s="3" t="s">
        <v>1577</v>
      </c>
      <c r="Q477" s="3" t="s">
        <v>42</v>
      </c>
      <c r="R477" s="3" t="s">
        <v>1576</v>
      </c>
      <c r="S477" s="3" t="s">
        <v>62</v>
      </c>
      <c r="T477" s="3" t="s">
        <v>61</v>
      </c>
      <c r="U477" s="4" t="b">
        <v>1</v>
      </c>
      <c r="V477" s="3" t="s">
        <v>31</v>
      </c>
      <c r="W477" s="1"/>
      <c r="Y477" s="3" t="s">
        <v>32</v>
      </c>
      <c r="Z477" s="3" t="s">
        <v>32</v>
      </c>
      <c r="AA477" s="3"/>
      <c r="AB477" s="3"/>
      <c r="AC477" s="4" t="s">
        <v>30</v>
      </c>
      <c r="AD477" s="3"/>
      <c r="AE477" s="3" t="s">
        <v>1577</v>
      </c>
      <c r="AF477" s="4" t="s">
        <v>30</v>
      </c>
      <c r="AH477" s="4">
        <v>4</v>
      </c>
      <c r="AI477" s="3" t="s">
        <v>2956</v>
      </c>
      <c r="AJ477" s="4" t="s">
        <v>1575</v>
      </c>
      <c r="AK477" s="4"/>
      <c r="AL477" s="3"/>
    </row>
    <row r="478" spans="1:38" x14ac:dyDescent="0.35">
      <c r="A478" s="3" t="s">
        <v>2958</v>
      </c>
      <c r="B478" s="4" t="s">
        <v>2965</v>
      </c>
      <c r="C478" s="4">
        <f>VLOOKUP(A478, [1]Planilha1!$A$3:$B$1015,2,FALSE)</f>
        <v>27956</v>
      </c>
      <c r="D478" s="4">
        <f t="shared" si="7"/>
        <v>7.7655555555555553</v>
      </c>
      <c r="E478" s="4" t="s">
        <v>1125</v>
      </c>
      <c r="F478" s="3" t="s">
        <v>2962</v>
      </c>
      <c r="G478" s="3" t="s">
        <v>2959</v>
      </c>
      <c r="H478" s="3" t="s">
        <v>44</v>
      </c>
      <c r="I478" s="3" t="s">
        <v>33</v>
      </c>
      <c r="J478" s="3" t="s">
        <v>41</v>
      </c>
      <c r="K478" s="3" t="s">
        <v>2961</v>
      </c>
      <c r="L478" s="1">
        <v>46041.514803240738</v>
      </c>
      <c r="M478" s="1">
        <v>46041.534861111111</v>
      </c>
      <c r="N478" s="1">
        <v>46041.734837962962</v>
      </c>
      <c r="O478" s="3" t="s">
        <v>43</v>
      </c>
      <c r="P478" s="3" t="s">
        <v>2965</v>
      </c>
      <c r="Q478" s="3" t="s">
        <v>42</v>
      </c>
      <c r="R478" s="3" t="s">
        <v>2964</v>
      </c>
      <c r="S478" s="3" t="s">
        <v>190</v>
      </c>
      <c r="T478" s="3" t="s">
        <v>189</v>
      </c>
      <c r="U478" s="4" t="b">
        <v>1</v>
      </c>
      <c r="V478" s="3" t="s">
        <v>31</v>
      </c>
      <c r="W478" s="1"/>
      <c r="Y478" s="3" t="s">
        <v>32</v>
      </c>
      <c r="Z478" s="3" t="s">
        <v>32</v>
      </c>
      <c r="AA478" s="3"/>
      <c r="AB478" s="3"/>
      <c r="AC478" s="4" t="s">
        <v>30</v>
      </c>
      <c r="AD478" s="3"/>
      <c r="AE478" s="3" t="s">
        <v>2965</v>
      </c>
      <c r="AF478" s="4" t="s">
        <v>30</v>
      </c>
      <c r="AH478" s="4">
        <v>3</v>
      </c>
      <c r="AI478" s="3" t="s">
        <v>2960</v>
      </c>
      <c r="AJ478" s="4" t="s">
        <v>2963</v>
      </c>
      <c r="AK478" s="4"/>
      <c r="AL478" s="3"/>
    </row>
    <row r="479" spans="1:38" x14ac:dyDescent="0.35">
      <c r="A479" s="3" t="s">
        <v>2966</v>
      </c>
      <c r="B479" s="4" t="s">
        <v>2972</v>
      </c>
      <c r="C479" s="4">
        <f>VLOOKUP(A479, [1]Planilha1!$A$3:$B$1015,2,FALSE)</f>
        <v>39115</v>
      </c>
      <c r="D479" s="4">
        <f t="shared" si="7"/>
        <v>10.865277777777777</v>
      </c>
      <c r="E479" s="4" t="s">
        <v>1125</v>
      </c>
      <c r="F479" s="3" t="s">
        <v>2969</v>
      </c>
      <c r="G479" s="3" t="s">
        <v>2967</v>
      </c>
      <c r="H479" s="3" t="s">
        <v>44</v>
      </c>
      <c r="I479" s="3" t="s">
        <v>33</v>
      </c>
      <c r="J479" s="3" t="s">
        <v>41</v>
      </c>
      <c r="L479" s="1">
        <v>46041.513287037036</v>
      </c>
      <c r="M479" s="1">
        <v>46041.513287037036</v>
      </c>
      <c r="N479" s="1">
        <v>46041.674398148149</v>
      </c>
      <c r="O479" s="3" t="s">
        <v>43</v>
      </c>
      <c r="P479" s="3" t="s">
        <v>2972</v>
      </c>
      <c r="Q479" s="3" t="s">
        <v>42</v>
      </c>
      <c r="R479" s="3" t="s">
        <v>2971</v>
      </c>
      <c r="S479" s="3" t="s">
        <v>37</v>
      </c>
      <c r="T479" s="3" t="s">
        <v>36</v>
      </c>
      <c r="U479" s="4" t="b">
        <v>1</v>
      </c>
      <c r="V479" s="3" t="s">
        <v>28</v>
      </c>
      <c r="W479" s="1"/>
      <c r="Y479" s="3" t="s">
        <v>29</v>
      </c>
      <c r="Z479" s="3" t="s">
        <v>29</v>
      </c>
      <c r="AA479" s="3"/>
      <c r="AB479" s="3"/>
      <c r="AC479" s="4" t="s">
        <v>30</v>
      </c>
      <c r="AD479" s="3"/>
      <c r="AE479" s="3" t="s">
        <v>2972</v>
      </c>
      <c r="AF479" s="4" t="s">
        <v>30</v>
      </c>
      <c r="AH479" s="4">
        <v>2</v>
      </c>
      <c r="AI479" s="3" t="s">
        <v>2968</v>
      </c>
      <c r="AJ479" s="4" t="s">
        <v>2970</v>
      </c>
      <c r="AK479" s="4"/>
      <c r="AL479" s="3"/>
    </row>
    <row r="480" spans="1:38" x14ac:dyDescent="0.35">
      <c r="A480" s="3" t="s">
        <v>2973</v>
      </c>
      <c r="B480" s="4" t="s">
        <v>2977</v>
      </c>
      <c r="C480" s="4">
        <f>VLOOKUP(A480, [1]Planilha1!$A$3:$B$1015,2,FALSE)</f>
        <v>25546</v>
      </c>
      <c r="D480" s="4">
        <f t="shared" si="7"/>
        <v>7.096111111111111</v>
      </c>
      <c r="E480" s="4" t="s">
        <v>1125</v>
      </c>
      <c r="F480" s="3" t="s">
        <v>2975</v>
      </c>
      <c r="G480" s="3" t="s">
        <v>1802</v>
      </c>
      <c r="H480" s="3" t="s">
        <v>44</v>
      </c>
      <c r="I480" s="3" t="s">
        <v>33</v>
      </c>
      <c r="J480" s="3" t="s">
        <v>41</v>
      </c>
      <c r="L480" s="1">
        <v>46041.512511574074</v>
      </c>
      <c r="M480" s="1">
        <v>46041.514999999999</v>
      </c>
      <c r="N480" s="1">
        <v>46041.662835648145</v>
      </c>
      <c r="O480" s="3" t="s">
        <v>43</v>
      </c>
      <c r="P480" s="3" t="s">
        <v>2977</v>
      </c>
      <c r="Q480" s="3" t="s">
        <v>42</v>
      </c>
      <c r="R480" s="3" t="s">
        <v>2976</v>
      </c>
      <c r="S480" s="3" t="s">
        <v>62</v>
      </c>
      <c r="T480" s="3" t="s">
        <v>61</v>
      </c>
      <c r="U480" s="4" t="b">
        <v>1</v>
      </c>
      <c r="V480" s="3" t="s">
        <v>31</v>
      </c>
      <c r="W480" s="1"/>
      <c r="Y480" s="3" t="s">
        <v>32</v>
      </c>
      <c r="Z480" s="3" t="s">
        <v>32</v>
      </c>
      <c r="AA480" s="3"/>
      <c r="AB480" s="3"/>
      <c r="AC480" s="4" t="s">
        <v>30</v>
      </c>
      <c r="AD480" s="3"/>
      <c r="AE480" s="3" t="s">
        <v>2977</v>
      </c>
      <c r="AF480" s="4" t="s">
        <v>30</v>
      </c>
      <c r="AH480" s="4">
        <v>1</v>
      </c>
      <c r="AI480" s="3" t="s">
        <v>2974</v>
      </c>
      <c r="AJ480" s="4"/>
      <c r="AK480" s="4"/>
      <c r="AL480" s="3"/>
    </row>
    <row r="481" spans="1:38" x14ac:dyDescent="0.35">
      <c r="A481" s="3" t="s">
        <v>2978</v>
      </c>
      <c r="B481" s="4" t="s">
        <v>2850</v>
      </c>
      <c r="C481" s="4">
        <f>VLOOKUP(A481, [1]Planilha1!$A$3:$B$1015,2,FALSE)</f>
        <v>32577</v>
      </c>
      <c r="D481" s="4">
        <f t="shared" si="7"/>
        <v>9.0491666666666664</v>
      </c>
      <c r="E481" s="4" t="s">
        <v>1125</v>
      </c>
      <c r="F481" s="3" t="s">
        <v>2847</v>
      </c>
      <c r="G481" s="3" t="s">
        <v>2979</v>
      </c>
      <c r="H481" s="3" t="s">
        <v>171</v>
      </c>
      <c r="I481" s="3" t="s">
        <v>33</v>
      </c>
      <c r="J481" s="3" t="s">
        <v>41</v>
      </c>
      <c r="L481" s="1">
        <v>46041.506840277776</v>
      </c>
      <c r="M481" s="1">
        <v>46041.506840277776</v>
      </c>
      <c r="N481" s="1">
        <v>46041.7268287037</v>
      </c>
      <c r="O481" s="3" t="s">
        <v>170</v>
      </c>
      <c r="P481" s="3" t="s">
        <v>2850</v>
      </c>
      <c r="Q481" s="3" t="s">
        <v>35</v>
      </c>
      <c r="R481" s="3" t="s">
        <v>2849</v>
      </c>
      <c r="S481" s="3" t="s">
        <v>37</v>
      </c>
      <c r="T481" s="3" t="s">
        <v>36</v>
      </c>
      <c r="U481" s="4" t="b">
        <v>1</v>
      </c>
      <c r="V481" s="3" t="s">
        <v>28</v>
      </c>
      <c r="W481" s="1"/>
      <c r="Y481" s="3" t="s">
        <v>29</v>
      </c>
      <c r="Z481" s="3" t="s">
        <v>29</v>
      </c>
      <c r="AA481" s="3"/>
      <c r="AB481" s="3"/>
      <c r="AC481" s="4" t="s">
        <v>30</v>
      </c>
      <c r="AD481" s="3"/>
      <c r="AE481" s="3" t="s">
        <v>2850</v>
      </c>
      <c r="AF481" s="4" t="s">
        <v>30</v>
      </c>
      <c r="AH481" s="4">
        <v>1</v>
      </c>
      <c r="AI481" s="3" t="s">
        <v>2980</v>
      </c>
      <c r="AJ481" s="4" t="s">
        <v>2848</v>
      </c>
      <c r="AK481" s="4"/>
      <c r="AL481" s="3"/>
    </row>
    <row r="482" spans="1:38" x14ac:dyDescent="0.35">
      <c r="A482" s="3" t="s">
        <v>2981</v>
      </c>
      <c r="B482" s="4" t="s">
        <v>2987</v>
      </c>
      <c r="C482" s="4">
        <f>VLOOKUP(A482, [1]Planilha1!$A$3:$B$1015,2,FALSE)</f>
        <v>2656</v>
      </c>
      <c r="D482" s="4">
        <f t="shared" si="7"/>
        <v>0.73777777777777775</v>
      </c>
      <c r="E482" s="4" t="s">
        <v>1125</v>
      </c>
      <c r="F482" s="3" t="s">
        <v>2984</v>
      </c>
      <c r="G482" s="3" t="s">
        <v>134</v>
      </c>
      <c r="H482" s="3" t="s">
        <v>138</v>
      </c>
      <c r="I482" s="3" t="s">
        <v>33</v>
      </c>
      <c r="J482" s="3" t="s">
        <v>60</v>
      </c>
      <c r="K482" s="3" t="s">
        <v>2983</v>
      </c>
      <c r="L482" s="1">
        <v>46041.502268518518</v>
      </c>
      <c r="M482" s="1">
        <v>46041.502268518518</v>
      </c>
      <c r="N482" s="1">
        <v>46044.541678240741</v>
      </c>
      <c r="O482" s="3" t="s">
        <v>137</v>
      </c>
      <c r="P482" s="3" t="s">
        <v>2987</v>
      </c>
      <c r="Q482" s="3" t="s">
        <v>35</v>
      </c>
      <c r="R482" s="3" t="s">
        <v>2986</v>
      </c>
      <c r="S482" s="3" t="s">
        <v>37</v>
      </c>
      <c r="T482" s="3" t="s">
        <v>36</v>
      </c>
      <c r="U482" s="4" t="b">
        <v>1</v>
      </c>
      <c r="V482" s="3" t="s">
        <v>28</v>
      </c>
      <c r="W482" s="1"/>
      <c r="Y482" s="3" t="s">
        <v>29</v>
      </c>
      <c r="Z482" s="3" t="s">
        <v>29</v>
      </c>
      <c r="AA482" s="3"/>
      <c r="AB482" s="3"/>
      <c r="AC482" s="4" t="s">
        <v>30</v>
      </c>
      <c r="AD482" s="3"/>
      <c r="AE482" s="3" t="s">
        <v>2987</v>
      </c>
      <c r="AF482" s="4" t="s">
        <v>30</v>
      </c>
      <c r="AH482" s="4">
        <v>0</v>
      </c>
      <c r="AI482" s="3" t="s">
        <v>2982</v>
      </c>
      <c r="AJ482" s="4" t="s">
        <v>2985</v>
      </c>
      <c r="AK482" s="4"/>
      <c r="AL482" s="3"/>
    </row>
    <row r="483" spans="1:38" x14ac:dyDescent="0.35">
      <c r="A483" s="3" t="s">
        <v>2988</v>
      </c>
      <c r="B483" s="4" t="s">
        <v>2850</v>
      </c>
      <c r="C483" s="4">
        <f>VLOOKUP(A483, [1]Planilha1!$A$3:$B$1015,2,FALSE)</f>
        <v>32709</v>
      </c>
      <c r="D483" s="4">
        <f t="shared" si="7"/>
        <v>9.0858333333333334</v>
      </c>
      <c r="E483" s="4" t="s">
        <v>1125</v>
      </c>
      <c r="F483" s="3" t="s">
        <v>2847</v>
      </c>
      <c r="G483" s="3" t="s">
        <v>2989</v>
      </c>
      <c r="H483" s="3" t="s">
        <v>171</v>
      </c>
      <c r="I483" s="3" t="s">
        <v>33</v>
      </c>
      <c r="J483" s="3" t="s">
        <v>41</v>
      </c>
      <c r="K483" s="3" t="s">
        <v>362</v>
      </c>
      <c r="L483" s="1">
        <v>46041.501956018517</v>
      </c>
      <c r="M483" s="1">
        <v>46041.501956018517</v>
      </c>
      <c r="N483" s="1">
        <v>46041.628148148149</v>
      </c>
      <c r="O483" s="3" t="s">
        <v>170</v>
      </c>
      <c r="P483" s="3" t="s">
        <v>2850</v>
      </c>
      <c r="Q483" s="3" t="s">
        <v>42</v>
      </c>
      <c r="R483" s="3" t="s">
        <v>2849</v>
      </c>
      <c r="S483" s="3" t="s">
        <v>37</v>
      </c>
      <c r="T483" s="3" t="s">
        <v>36</v>
      </c>
      <c r="U483" s="4" t="b">
        <v>1</v>
      </c>
      <c r="V483" s="3" t="s">
        <v>28</v>
      </c>
      <c r="W483" s="1"/>
      <c r="Y483" s="3" t="s">
        <v>29</v>
      </c>
      <c r="Z483" s="3" t="s">
        <v>29</v>
      </c>
      <c r="AA483" s="3"/>
      <c r="AB483" s="3"/>
      <c r="AC483" s="4" t="s">
        <v>30</v>
      </c>
      <c r="AD483" s="3"/>
      <c r="AE483" s="3" t="s">
        <v>2850</v>
      </c>
      <c r="AF483" s="4" t="s">
        <v>30</v>
      </c>
      <c r="AH483" s="4">
        <v>1</v>
      </c>
      <c r="AI483" s="3" t="s">
        <v>2990</v>
      </c>
      <c r="AJ483" s="4" t="s">
        <v>2848</v>
      </c>
      <c r="AK483" s="4"/>
      <c r="AL483" s="3"/>
    </row>
    <row r="484" spans="1:38" x14ac:dyDescent="0.35">
      <c r="A484" s="3" t="s">
        <v>2991</v>
      </c>
      <c r="B484" s="4" t="s">
        <v>2996</v>
      </c>
      <c r="C484" s="4">
        <f>VLOOKUP(A484, [1]Planilha1!$A$3:$B$1015,2,FALSE)</f>
        <v>1804</v>
      </c>
      <c r="D484" s="4">
        <f t="shared" si="7"/>
        <v>0.50111111111111106</v>
      </c>
      <c r="E484" s="4" t="s">
        <v>1125</v>
      </c>
      <c r="F484" s="3" t="s">
        <v>2993</v>
      </c>
      <c r="G484" s="3" t="s">
        <v>74</v>
      </c>
      <c r="H484" s="3" t="s">
        <v>44</v>
      </c>
      <c r="I484" s="3" t="s">
        <v>33</v>
      </c>
      <c r="J484" s="3" t="s">
        <v>41</v>
      </c>
      <c r="L484" s="1">
        <v>46041.477314814816</v>
      </c>
      <c r="M484" s="1">
        <v>46041.479074074072</v>
      </c>
      <c r="N484" s="1">
        <v>46041.48951388889</v>
      </c>
      <c r="O484" s="3" t="s">
        <v>43</v>
      </c>
      <c r="P484" s="3" t="s">
        <v>2996</v>
      </c>
      <c r="Q484" s="3" t="s">
        <v>42</v>
      </c>
      <c r="R484" s="3" t="s">
        <v>2995</v>
      </c>
      <c r="S484" s="3" t="s">
        <v>80</v>
      </c>
      <c r="T484" s="3" t="s">
        <v>79</v>
      </c>
      <c r="U484" s="4" t="b">
        <v>1</v>
      </c>
      <c r="V484" s="3" t="s">
        <v>31</v>
      </c>
      <c r="W484" s="1"/>
      <c r="Y484" s="3" t="s">
        <v>32</v>
      </c>
      <c r="Z484" s="3" t="s">
        <v>32</v>
      </c>
      <c r="AA484" s="3"/>
      <c r="AB484" s="3"/>
      <c r="AC484" s="4" t="s">
        <v>30</v>
      </c>
      <c r="AD484" s="3"/>
      <c r="AE484" s="3" t="s">
        <v>2996</v>
      </c>
      <c r="AF484" s="4" t="s">
        <v>30</v>
      </c>
      <c r="AH484" s="4">
        <v>1</v>
      </c>
      <c r="AI484" s="3" t="s">
        <v>2992</v>
      </c>
      <c r="AJ484" s="4" t="s">
        <v>2994</v>
      </c>
      <c r="AK484" s="4"/>
      <c r="AL484" s="3"/>
    </row>
    <row r="485" spans="1:38" x14ac:dyDescent="0.35">
      <c r="A485" s="3" t="s">
        <v>2997</v>
      </c>
      <c r="B485" s="4" t="s">
        <v>3004</v>
      </c>
      <c r="C485" s="4">
        <f>VLOOKUP(A485, [1]Planilha1!$A$3:$B$1015,2,FALSE)</f>
        <v>6336</v>
      </c>
      <c r="D485" s="4">
        <f t="shared" si="7"/>
        <v>1.76</v>
      </c>
      <c r="E485" s="4" t="s">
        <v>1125</v>
      </c>
      <c r="F485" s="3" t="s">
        <v>3001</v>
      </c>
      <c r="G485" s="3" t="s">
        <v>2998</v>
      </c>
      <c r="H485" s="3" t="s">
        <v>428</v>
      </c>
      <c r="I485" s="3" t="s">
        <v>33</v>
      </c>
      <c r="J485" s="3" t="s">
        <v>41</v>
      </c>
      <c r="K485" s="3" t="s">
        <v>3000</v>
      </c>
      <c r="L485" s="1">
        <v>46041.473344907405</v>
      </c>
      <c r="M485" s="1">
        <v>46041.473344907405</v>
      </c>
      <c r="N485" s="1">
        <v>46041.497789351852</v>
      </c>
      <c r="O485" s="3" t="s">
        <v>427</v>
      </c>
      <c r="P485" s="3" t="s">
        <v>3004</v>
      </c>
      <c r="Q485" s="3" t="s">
        <v>42</v>
      </c>
      <c r="R485" s="3" t="s">
        <v>3003</v>
      </c>
      <c r="S485" s="3" t="s">
        <v>37</v>
      </c>
      <c r="T485" s="3" t="s">
        <v>36</v>
      </c>
      <c r="U485" s="4" t="b">
        <v>1</v>
      </c>
      <c r="V485" s="3" t="s">
        <v>28</v>
      </c>
      <c r="W485" s="1"/>
      <c r="Y485" s="3" t="s">
        <v>29</v>
      </c>
      <c r="Z485" s="3" t="s">
        <v>29</v>
      </c>
      <c r="AA485" s="3"/>
      <c r="AB485" s="3"/>
      <c r="AC485" s="4" t="s">
        <v>30</v>
      </c>
      <c r="AD485" s="3"/>
      <c r="AE485" s="3" t="s">
        <v>3004</v>
      </c>
      <c r="AF485" s="4" t="s">
        <v>30</v>
      </c>
      <c r="AH485" s="4">
        <v>1</v>
      </c>
      <c r="AI485" s="3" t="s">
        <v>2999</v>
      </c>
      <c r="AJ485" s="4" t="s">
        <v>3002</v>
      </c>
      <c r="AK485" s="4"/>
      <c r="AL485" s="3"/>
    </row>
    <row r="486" spans="1:38" x14ac:dyDescent="0.35">
      <c r="A486" s="3" t="s">
        <v>3009</v>
      </c>
      <c r="B486" s="4" t="s">
        <v>58</v>
      </c>
      <c r="C486" s="4">
        <f>VLOOKUP(A486, [1]Planilha1!$A$3:$B$1015,2,FALSE)</f>
        <v>49646</v>
      </c>
      <c r="D486" s="4">
        <f t="shared" si="7"/>
        <v>13.790555555555555</v>
      </c>
      <c r="E486" s="4" t="s">
        <v>1125</v>
      </c>
      <c r="F486" s="3" t="s">
        <v>54</v>
      </c>
      <c r="G486" s="3" t="s">
        <v>3010</v>
      </c>
      <c r="H486" s="3" t="s">
        <v>2411</v>
      </c>
      <c r="I486" s="3" t="s">
        <v>33</v>
      </c>
      <c r="J486" s="3" t="s">
        <v>152</v>
      </c>
      <c r="K486" s="3" t="s">
        <v>3012</v>
      </c>
      <c r="L486" s="1">
        <v>46041.463692129626</v>
      </c>
      <c r="M486" s="1">
        <v>46041.468090277776</v>
      </c>
      <c r="N486" s="1">
        <v>46052.695532407408</v>
      </c>
      <c r="O486" s="3" t="s">
        <v>2527</v>
      </c>
      <c r="P486" s="3" t="s">
        <v>57</v>
      </c>
      <c r="Q486" s="3" t="s">
        <v>52</v>
      </c>
      <c r="R486" s="3" t="s">
        <v>56</v>
      </c>
      <c r="S486" s="3" t="s">
        <v>64</v>
      </c>
      <c r="T486" s="3" t="s">
        <v>63</v>
      </c>
      <c r="U486" s="4" t="b">
        <v>0</v>
      </c>
      <c r="V486" s="3" t="s">
        <v>28</v>
      </c>
      <c r="W486" s="1"/>
      <c r="Y486" s="3" t="s">
        <v>29</v>
      </c>
      <c r="Z486" s="3" t="s">
        <v>29</v>
      </c>
      <c r="AA486" s="3" t="s">
        <v>3013</v>
      </c>
      <c r="AB486" s="3" t="s">
        <v>58</v>
      </c>
      <c r="AC486" s="4" t="s">
        <v>30</v>
      </c>
      <c r="AD486" s="3" t="s">
        <v>59</v>
      </c>
      <c r="AE486" s="3" t="s">
        <v>57</v>
      </c>
      <c r="AF486" s="4" t="s">
        <v>30</v>
      </c>
      <c r="AH486" s="4">
        <v>6</v>
      </c>
      <c r="AI486" s="3" t="s">
        <v>3011</v>
      </c>
      <c r="AJ486" s="4" t="s">
        <v>55</v>
      </c>
      <c r="AK486" s="4" t="s">
        <v>3014</v>
      </c>
      <c r="AL486" s="3"/>
    </row>
    <row r="487" spans="1:38" x14ac:dyDescent="0.35">
      <c r="A487" s="3" t="s">
        <v>3015</v>
      </c>
      <c r="B487" s="4" t="s">
        <v>3020</v>
      </c>
      <c r="C487" s="4">
        <f>VLOOKUP(A487, [1]Planilha1!$A$3:$B$1015,2,FALSE)</f>
        <v>594</v>
      </c>
      <c r="D487" s="4">
        <f t="shared" si="7"/>
        <v>0.16500000000000001</v>
      </c>
      <c r="E487" s="4" t="s">
        <v>1125</v>
      </c>
      <c r="F487" s="3" t="s">
        <v>3017</v>
      </c>
      <c r="G487" s="3" t="s">
        <v>72</v>
      </c>
      <c r="H487" s="3" t="s">
        <v>126</v>
      </c>
      <c r="I487" s="3" t="s">
        <v>33</v>
      </c>
      <c r="J487" s="3" t="s">
        <v>60</v>
      </c>
      <c r="L487" s="1">
        <v>46041.463460648149</v>
      </c>
      <c r="M487" s="1">
        <v>46041.463460648149</v>
      </c>
      <c r="N487" s="1">
        <v>46044.500011574077</v>
      </c>
      <c r="O487" s="3" t="s">
        <v>125</v>
      </c>
      <c r="P487" s="3" t="s">
        <v>3020</v>
      </c>
      <c r="Q487" s="3" t="s">
        <v>42</v>
      </c>
      <c r="R487" s="3" t="s">
        <v>3019</v>
      </c>
      <c r="S487" s="3" t="s">
        <v>37</v>
      </c>
      <c r="T487" s="3" t="s">
        <v>36</v>
      </c>
      <c r="U487" s="4" t="b">
        <v>1</v>
      </c>
      <c r="V487" s="3" t="s">
        <v>28</v>
      </c>
      <c r="W487" s="1"/>
      <c r="Y487" s="3" t="s">
        <v>29</v>
      </c>
      <c r="Z487" s="3" t="s">
        <v>29</v>
      </c>
      <c r="AA487" s="3"/>
      <c r="AB487" s="3"/>
      <c r="AC487" s="4" t="s">
        <v>30</v>
      </c>
      <c r="AD487" s="3"/>
      <c r="AE487" s="3" t="s">
        <v>3020</v>
      </c>
      <c r="AF487" s="4" t="s">
        <v>30</v>
      </c>
      <c r="AH487" s="4">
        <v>0</v>
      </c>
      <c r="AI487" s="3" t="s">
        <v>3016</v>
      </c>
      <c r="AJ487" s="4" t="s">
        <v>3018</v>
      </c>
      <c r="AK487" s="4"/>
      <c r="AL487" s="3"/>
    </row>
    <row r="488" spans="1:38" x14ac:dyDescent="0.35">
      <c r="A488" s="3" t="s">
        <v>3021</v>
      </c>
      <c r="B488" s="4" t="s">
        <v>3025</v>
      </c>
      <c r="C488" s="4">
        <f>VLOOKUP(A488, [1]Planilha1!$A$3:$B$1015,2,FALSE)</f>
        <v>2554</v>
      </c>
      <c r="D488" s="4">
        <f t="shared" si="7"/>
        <v>0.70944444444444443</v>
      </c>
      <c r="E488" s="4" t="s">
        <v>1125</v>
      </c>
      <c r="F488" s="3" t="s">
        <v>3023</v>
      </c>
      <c r="G488" s="3" t="s">
        <v>1231</v>
      </c>
      <c r="H488" s="3" t="s">
        <v>44</v>
      </c>
      <c r="I488" s="3" t="s">
        <v>33</v>
      </c>
      <c r="J488" s="3" t="s">
        <v>41</v>
      </c>
      <c r="L488" s="1">
        <v>46041.456331018519</v>
      </c>
      <c r="M488" s="1">
        <v>46041.475613425922</v>
      </c>
      <c r="N488" s="1">
        <v>46041.490393518521</v>
      </c>
      <c r="O488" s="3" t="s">
        <v>43</v>
      </c>
      <c r="P488" s="3" t="s">
        <v>3025</v>
      </c>
      <c r="Q488" s="3" t="s">
        <v>42</v>
      </c>
      <c r="R488" s="3" t="s">
        <v>3024</v>
      </c>
      <c r="S488" s="3" t="s">
        <v>1234</v>
      </c>
      <c r="T488" s="3" t="s">
        <v>1233</v>
      </c>
      <c r="U488" s="4" t="b">
        <v>1</v>
      </c>
      <c r="V488" s="3" t="s">
        <v>31</v>
      </c>
      <c r="W488" s="1"/>
      <c r="Y488" s="3" t="s">
        <v>32</v>
      </c>
      <c r="Z488" s="3" t="s">
        <v>32</v>
      </c>
      <c r="AA488" s="3"/>
      <c r="AB488" s="3"/>
      <c r="AC488" s="4" t="s">
        <v>30</v>
      </c>
      <c r="AD488" s="3"/>
      <c r="AE488" s="3" t="s">
        <v>3025</v>
      </c>
      <c r="AF488" s="4" t="s">
        <v>30</v>
      </c>
      <c r="AH488" s="4">
        <v>1</v>
      </c>
      <c r="AI488" s="3" t="s">
        <v>3022</v>
      </c>
      <c r="AJ488" s="4"/>
      <c r="AK488" s="4"/>
      <c r="AL488" s="3"/>
    </row>
    <row r="489" spans="1:38" x14ac:dyDescent="0.35">
      <c r="A489" s="3" t="s">
        <v>3026</v>
      </c>
      <c r="B489" s="4" t="s">
        <v>58</v>
      </c>
      <c r="C489" s="4">
        <f>VLOOKUP(A489, [1]Planilha1!$A$3:$B$1015,2,FALSE)</f>
        <v>18974</v>
      </c>
      <c r="D489" s="4">
        <f t="shared" si="7"/>
        <v>5.2705555555555552</v>
      </c>
      <c r="E489" s="4" t="s">
        <v>1125</v>
      </c>
      <c r="F489" s="3" t="s">
        <v>54</v>
      </c>
      <c r="G489" s="3" t="s">
        <v>3027</v>
      </c>
      <c r="H489" s="3" t="s">
        <v>53</v>
      </c>
      <c r="I489" s="3" t="s">
        <v>33</v>
      </c>
      <c r="J489" s="3" t="s">
        <v>152</v>
      </c>
      <c r="L489" s="1">
        <v>46041.449328703704</v>
      </c>
      <c r="M489" s="1">
        <v>46041.453298611108</v>
      </c>
      <c r="N489" s="1">
        <v>46041.612025462964</v>
      </c>
      <c r="O489" s="3" t="s">
        <v>3029</v>
      </c>
      <c r="P489" s="3" t="s">
        <v>57</v>
      </c>
      <c r="Q489" s="3" t="s">
        <v>52</v>
      </c>
      <c r="R489" s="3" t="s">
        <v>56</v>
      </c>
      <c r="S489" s="3" t="s">
        <v>64</v>
      </c>
      <c r="T489" s="3" t="s">
        <v>63</v>
      </c>
      <c r="U489" s="4" t="b">
        <v>0</v>
      </c>
      <c r="V489" s="3" t="s">
        <v>28</v>
      </c>
      <c r="W489" s="1"/>
      <c r="Y489" s="3" t="s">
        <v>29</v>
      </c>
      <c r="Z489" s="3" t="s">
        <v>29</v>
      </c>
      <c r="AA489" s="3" t="s">
        <v>2902</v>
      </c>
      <c r="AB489" s="3" t="s">
        <v>58</v>
      </c>
      <c r="AC489" s="4" t="s">
        <v>30</v>
      </c>
      <c r="AD489" s="3" t="s">
        <v>59</v>
      </c>
      <c r="AE489" s="3" t="s">
        <v>57</v>
      </c>
      <c r="AF489" s="4" t="s">
        <v>30</v>
      </c>
      <c r="AH489" s="4">
        <v>2</v>
      </c>
      <c r="AI489" s="3" t="s">
        <v>3028</v>
      </c>
      <c r="AJ489" s="4" t="s">
        <v>55</v>
      </c>
      <c r="AK489" s="4" t="s">
        <v>2903</v>
      </c>
      <c r="AL489" s="3"/>
    </row>
    <row r="490" spans="1:38" x14ac:dyDescent="0.35">
      <c r="A490" s="3" t="s">
        <v>3030</v>
      </c>
      <c r="B490" s="4" t="s">
        <v>3036</v>
      </c>
      <c r="C490" s="4">
        <f>VLOOKUP(A490, [1]Planilha1!$A$3:$B$1015,2,FALSE)</f>
        <v>44292</v>
      </c>
      <c r="D490" s="4">
        <f t="shared" si="7"/>
        <v>12.303333333333333</v>
      </c>
      <c r="E490" s="4" t="s">
        <v>1125</v>
      </c>
      <c r="F490" s="3" t="s">
        <v>3033</v>
      </c>
      <c r="G490" s="3" t="s">
        <v>3031</v>
      </c>
      <c r="H490" s="3" t="s">
        <v>224</v>
      </c>
      <c r="I490" s="3" t="s">
        <v>33</v>
      </c>
      <c r="J490" s="3" t="s">
        <v>41</v>
      </c>
      <c r="K490" s="3" t="s">
        <v>362</v>
      </c>
      <c r="L490" s="1">
        <v>46041.437280092592</v>
      </c>
      <c r="M490" s="1">
        <v>46041.437280092592</v>
      </c>
      <c r="N490" s="1">
        <v>46041.608159722222</v>
      </c>
      <c r="O490" s="3" t="s">
        <v>223</v>
      </c>
      <c r="P490" s="3" t="s">
        <v>3036</v>
      </c>
      <c r="Q490" s="3" t="s">
        <v>42</v>
      </c>
      <c r="R490" s="3" t="s">
        <v>3035</v>
      </c>
      <c r="S490" s="3" t="s">
        <v>37</v>
      </c>
      <c r="T490" s="3" t="s">
        <v>36</v>
      </c>
      <c r="U490" s="4" t="b">
        <v>1</v>
      </c>
      <c r="V490" s="3" t="s">
        <v>28</v>
      </c>
      <c r="W490" s="1"/>
      <c r="Y490" s="3" t="s">
        <v>29</v>
      </c>
      <c r="Z490" s="3" t="s">
        <v>29</v>
      </c>
      <c r="AA490" s="3"/>
      <c r="AB490" s="3"/>
      <c r="AC490" s="4" t="s">
        <v>30</v>
      </c>
      <c r="AD490" s="3"/>
      <c r="AE490" s="3" t="s">
        <v>3036</v>
      </c>
      <c r="AF490" s="4" t="s">
        <v>30</v>
      </c>
      <c r="AH490" s="4">
        <v>1</v>
      </c>
      <c r="AI490" s="3" t="s">
        <v>3032</v>
      </c>
      <c r="AJ490" s="4" t="s">
        <v>3034</v>
      </c>
      <c r="AK490" s="4"/>
      <c r="AL490" s="3"/>
    </row>
    <row r="491" spans="1:38" x14ac:dyDescent="0.35">
      <c r="A491" s="3" t="s">
        <v>3037</v>
      </c>
      <c r="B491" s="4" t="s">
        <v>94</v>
      </c>
      <c r="C491" s="4">
        <f>VLOOKUP(A491, [1]Planilha1!$A$3:$B$1015,2,FALSE)</f>
        <v>6816</v>
      </c>
      <c r="D491" s="4">
        <f t="shared" si="7"/>
        <v>1.8933333333333333</v>
      </c>
      <c r="E491" s="4" t="s">
        <v>1125</v>
      </c>
      <c r="F491" s="3" t="s">
        <v>92</v>
      </c>
      <c r="G491" s="3" t="s">
        <v>3038</v>
      </c>
      <c r="H491" s="3" t="s">
        <v>44</v>
      </c>
      <c r="I491" s="3" t="s">
        <v>33</v>
      </c>
      <c r="J491" s="3" t="s">
        <v>41</v>
      </c>
      <c r="L491" s="1">
        <v>46041.433344907404</v>
      </c>
      <c r="M491" s="1">
        <v>46041.433344907404</v>
      </c>
      <c r="N491" s="1">
        <v>46041.459641203706</v>
      </c>
      <c r="O491" s="3" t="s">
        <v>43</v>
      </c>
      <c r="P491" s="3" t="s">
        <v>94</v>
      </c>
      <c r="Q491" s="3" t="s">
        <v>42</v>
      </c>
      <c r="R491" s="3" t="s">
        <v>93</v>
      </c>
      <c r="S491" s="3" t="s">
        <v>37</v>
      </c>
      <c r="T491" s="3" t="s">
        <v>36</v>
      </c>
      <c r="U491" s="4" t="b">
        <v>1</v>
      </c>
      <c r="V491" s="3" t="s">
        <v>28</v>
      </c>
      <c r="W491" s="1"/>
      <c r="Y491" s="3" t="s">
        <v>29</v>
      </c>
      <c r="Z491" s="3" t="s">
        <v>29</v>
      </c>
      <c r="AA491" s="3"/>
      <c r="AB491" s="3"/>
      <c r="AC491" s="4" t="s">
        <v>30</v>
      </c>
      <c r="AD491" s="3"/>
      <c r="AE491" s="3" t="s">
        <v>94</v>
      </c>
      <c r="AF491" s="4" t="s">
        <v>30</v>
      </c>
      <c r="AH491" s="4">
        <v>0</v>
      </c>
      <c r="AI491" s="3" t="s">
        <v>3039</v>
      </c>
      <c r="AJ491" s="4"/>
      <c r="AK491" s="4"/>
      <c r="AL491" s="3"/>
    </row>
    <row r="492" spans="1:38" x14ac:dyDescent="0.35">
      <c r="A492" s="3" t="s">
        <v>3040</v>
      </c>
      <c r="B492" s="4" t="s">
        <v>2850</v>
      </c>
      <c r="C492" s="4">
        <f>VLOOKUP(A492, [1]Planilha1!$A$3:$B$1015,2,FALSE)</f>
        <v>10710</v>
      </c>
      <c r="D492" s="4">
        <f t="shared" si="7"/>
        <v>2.9750000000000001</v>
      </c>
      <c r="E492" s="4" t="s">
        <v>1125</v>
      </c>
      <c r="F492" s="3" t="s">
        <v>2847</v>
      </c>
      <c r="G492" s="3" t="s">
        <v>3041</v>
      </c>
      <c r="H492" s="3" t="s">
        <v>171</v>
      </c>
      <c r="I492" s="3" t="s">
        <v>33</v>
      </c>
      <c r="J492" s="3" t="s">
        <v>41</v>
      </c>
      <c r="L492" s="1">
        <v>46041.425567129627</v>
      </c>
      <c r="M492" s="1">
        <v>46041.425567129627</v>
      </c>
      <c r="N492" s="1">
        <v>46041.466886574075</v>
      </c>
      <c r="O492" s="3" t="s">
        <v>170</v>
      </c>
      <c r="P492" s="3" t="s">
        <v>2850</v>
      </c>
      <c r="Q492" s="3" t="s">
        <v>42</v>
      </c>
      <c r="R492" s="3" t="s">
        <v>2849</v>
      </c>
      <c r="S492" s="3" t="s">
        <v>37</v>
      </c>
      <c r="T492" s="3" t="s">
        <v>36</v>
      </c>
      <c r="U492" s="4" t="b">
        <v>1</v>
      </c>
      <c r="V492" s="3" t="s">
        <v>28</v>
      </c>
      <c r="W492" s="1"/>
      <c r="Y492" s="3" t="s">
        <v>29</v>
      </c>
      <c r="Z492" s="3" t="s">
        <v>29</v>
      </c>
      <c r="AA492" s="3"/>
      <c r="AB492" s="3"/>
      <c r="AC492" s="4" t="s">
        <v>30</v>
      </c>
      <c r="AD492" s="3"/>
      <c r="AE492" s="3" t="s">
        <v>2850</v>
      </c>
      <c r="AF492" s="4" t="s">
        <v>30</v>
      </c>
      <c r="AH492" s="4">
        <v>1</v>
      </c>
      <c r="AI492" s="3" t="s">
        <v>3042</v>
      </c>
      <c r="AJ492" s="4" t="s">
        <v>2848</v>
      </c>
      <c r="AK492" s="4"/>
      <c r="AL492" s="3"/>
    </row>
    <row r="493" spans="1:38" x14ac:dyDescent="0.35">
      <c r="A493" s="3" t="s">
        <v>2759</v>
      </c>
      <c r="B493" s="4" t="s">
        <v>2087</v>
      </c>
      <c r="C493" s="4">
        <f>VLOOKUP(A493, [1]Planilha1!$A$3:$B$1015,2,FALSE)</f>
        <v>8210</v>
      </c>
      <c r="D493" s="4">
        <f t="shared" si="7"/>
        <v>2.2805555555555554</v>
      </c>
      <c r="E493" s="4" t="s">
        <v>1125</v>
      </c>
      <c r="F493" s="3" t="s">
        <v>2084</v>
      </c>
      <c r="G493" s="3" t="s">
        <v>74</v>
      </c>
      <c r="H493" s="3" t="s">
        <v>44</v>
      </c>
      <c r="I493" s="3" t="s">
        <v>33</v>
      </c>
      <c r="J493" s="3" t="s">
        <v>41</v>
      </c>
      <c r="L493" s="1">
        <v>46041.417488425926</v>
      </c>
      <c r="M493" s="1">
        <v>46041.420081018521</v>
      </c>
      <c r="N493" s="1">
        <v>46041.467592592591</v>
      </c>
      <c r="O493" s="3" t="s">
        <v>43</v>
      </c>
      <c r="P493" s="3" t="s">
        <v>2087</v>
      </c>
      <c r="Q493" s="3" t="s">
        <v>42</v>
      </c>
      <c r="R493" s="3" t="s">
        <v>2086</v>
      </c>
      <c r="S493" s="3" t="s">
        <v>80</v>
      </c>
      <c r="T493" s="3" t="s">
        <v>79</v>
      </c>
      <c r="U493" s="4" t="b">
        <v>1</v>
      </c>
      <c r="V493" s="3" t="s">
        <v>31</v>
      </c>
      <c r="W493" s="1"/>
      <c r="Y493" s="3" t="s">
        <v>32</v>
      </c>
      <c r="Z493" s="3" t="s">
        <v>32</v>
      </c>
      <c r="AA493" s="3"/>
      <c r="AB493" s="3"/>
      <c r="AC493" s="4" t="s">
        <v>30</v>
      </c>
      <c r="AD493" s="3"/>
      <c r="AE493" s="3" t="s">
        <v>2087</v>
      </c>
      <c r="AF493" s="4" t="s">
        <v>30</v>
      </c>
      <c r="AH493" s="4">
        <v>1</v>
      </c>
      <c r="AI493" s="3" t="s">
        <v>3043</v>
      </c>
      <c r="AJ493" s="4" t="s">
        <v>2085</v>
      </c>
      <c r="AK493" s="4"/>
      <c r="AL493" s="3"/>
    </row>
    <row r="494" spans="1:38" x14ac:dyDescent="0.35">
      <c r="A494" s="3" t="s">
        <v>3044</v>
      </c>
      <c r="B494" s="4" t="s">
        <v>3050</v>
      </c>
      <c r="C494" s="4">
        <f>VLOOKUP(A494, [1]Planilha1!$A$3:$B$1015,2,FALSE)</f>
        <v>8024</v>
      </c>
      <c r="D494" s="4">
        <f t="shared" si="7"/>
        <v>2.2288888888888887</v>
      </c>
      <c r="E494" s="4" t="s">
        <v>1125</v>
      </c>
      <c r="F494" s="3" t="s">
        <v>3047</v>
      </c>
      <c r="G494" s="3" t="s">
        <v>3045</v>
      </c>
      <c r="H494" s="3" t="s">
        <v>44</v>
      </c>
      <c r="I494" s="3" t="s">
        <v>33</v>
      </c>
      <c r="J494" s="3" t="s">
        <v>41</v>
      </c>
      <c r="L494" s="1">
        <v>46041.414976851855</v>
      </c>
      <c r="M494" s="1">
        <v>46041.419270833336</v>
      </c>
      <c r="N494" s="1">
        <v>46041.46570601852</v>
      </c>
      <c r="O494" s="3" t="s">
        <v>43</v>
      </c>
      <c r="P494" s="3" t="s">
        <v>3050</v>
      </c>
      <c r="Q494" s="3" t="s">
        <v>42</v>
      </c>
      <c r="R494" s="3" t="s">
        <v>3049</v>
      </c>
      <c r="S494" s="3" t="s">
        <v>62</v>
      </c>
      <c r="T494" s="3" t="s">
        <v>61</v>
      </c>
      <c r="U494" s="4" t="b">
        <v>1</v>
      </c>
      <c r="V494" s="3" t="s">
        <v>31</v>
      </c>
      <c r="W494" s="1"/>
      <c r="Y494" s="3" t="s">
        <v>32</v>
      </c>
      <c r="Z494" s="3" t="s">
        <v>32</v>
      </c>
      <c r="AA494" s="3"/>
      <c r="AB494" s="3"/>
      <c r="AC494" s="4" t="s">
        <v>30</v>
      </c>
      <c r="AD494" s="3"/>
      <c r="AE494" s="3" t="s">
        <v>3050</v>
      </c>
      <c r="AF494" s="4" t="s">
        <v>30</v>
      </c>
      <c r="AH494" s="4">
        <v>1</v>
      </c>
      <c r="AI494" s="3" t="s">
        <v>3046</v>
      </c>
      <c r="AJ494" s="4" t="s">
        <v>3048</v>
      </c>
      <c r="AK494" s="4"/>
      <c r="AL494" s="3"/>
    </row>
    <row r="495" spans="1:38" x14ac:dyDescent="0.35">
      <c r="A495" s="3" t="s">
        <v>3051</v>
      </c>
      <c r="B495" s="4" t="s">
        <v>2557</v>
      </c>
      <c r="C495" s="4">
        <f>VLOOKUP(A495, [1]Planilha1!$A$3:$B$1015,2,FALSE)</f>
        <v>5646</v>
      </c>
      <c r="D495" s="4">
        <f t="shared" si="7"/>
        <v>1.5683333333333334</v>
      </c>
      <c r="E495" s="4" t="s">
        <v>1125</v>
      </c>
      <c r="F495" s="3" t="s">
        <v>2554</v>
      </c>
      <c r="G495" s="3" t="s">
        <v>3052</v>
      </c>
      <c r="H495" s="3" t="s">
        <v>428</v>
      </c>
      <c r="I495" s="3" t="s">
        <v>33</v>
      </c>
      <c r="J495" s="3" t="s">
        <v>41</v>
      </c>
      <c r="K495" s="3" t="s">
        <v>818</v>
      </c>
      <c r="L495" s="1">
        <v>46041.413900462961</v>
      </c>
      <c r="M495" s="1">
        <v>46041.418298611112</v>
      </c>
      <c r="N495" s="1">
        <v>46044.625</v>
      </c>
      <c r="O495" s="3" t="s">
        <v>427</v>
      </c>
      <c r="P495" s="3" t="s">
        <v>2557</v>
      </c>
      <c r="Q495" s="3" t="s">
        <v>42</v>
      </c>
      <c r="R495" s="3" t="s">
        <v>2556</v>
      </c>
      <c r="S495" s="3" t="s">
        <v>276</v>
      </c>
      <c r="T495" s="3" t="s">
        <v>275</v>
      </c>
      <c r="U495" s="4" t="b">
        <v>1</v>
      </c>
      <c r="V495" s="3" t="s">
        <v>31</v>
      </c>
      <c r="W495" s="1"/>
      <c r="Y495" s="3" t="s">
        <v>32</v>
      </c>
      <c r="Z495" s="3" t="s">
        <v>32</v>
      </c>
      <c r="AA495" s="3"/>
      <c r="AB495" s="3"/>
      <c r="AC495" s="4" t="s">
        <v>30</v>
      </c>
      <c r="AD495" s="3"/>
      <c r="AE495" s="3" t="s">
        <v>2557</v>
      </c>
      <c r="AF495" s="4" t="s">
        <v>30</v>
      </c>
      <c r="AH495" s="4">
        <v>0</v>
      </c>
      <c r="AI495" s="3" t="s">
        <v>3053</v>
      </c>
      <c r="AJ495" s="4" t="s">
        <v>2555</v>
      </c>
      <c r="AK495" s="4"/>
      <c r="AL495" s="3"/>
    </row>
    <row r="496" spans="1:38" x14ac:dyDescent="0.35">
      <c r="A496" s="3" t="s">
        <v>3054</v>
      </c>
      <c r="B496" s="4" t="s">
        <v>3060</v>
      </c>
      <c r="C496" s="4">
        <f>VLOOKUP(A496, [1]Planilha1!$A$3:$B$1015,2,FALSE)</f>
        <v>0</v>
      </c>
      <c r="D496" s="4">
        <f t="shared" si="7"/>
        <v>0</v>
      </c>
      <c r="E496" s="4" t="s">
        <v>1125</v>
      </c>
      <c r="F496" s="3" t="s">
        <v>3057</v>
      </c>
      <c r="G496" s="3" t="s">
        <v>3055</v>
      </c>
      <c r="H496" s="3" t="s">
        <v>1116</v>
      </c>
      <c r="I496" s="3" t="s">
        <v>33</v>
      </c>
      <c r="J496" s="3" t="s">
        <v>60</v>
      </c>
      <c r="L496" s="1">
        <v>46041.409456018519</v>
      </c>
      <c r="M496" s="1">
        <v>46041.421689814815</v>
      </c>
      <c r="N496" s="1">
        <v>46044.458344907405</v>
      </c>
      <c r="O496" s="3" t="s">
        <v>1115</v>
      </c>
      <c r="P496" s="3" t="s">
        <v>3060</v>
      </c>
      <c r="Q496" s="3" t="s">
        <v>35</v>
      </c>
      <c r="R496" s="3" t="s">
        <v>3059</v>
      </c>
      <c r="S496" s="3" t="s">
        <v>190</v>
      </c>
      <c r="T496" s="3" t="s">
        <v>189</v>
      </c>
      <c r="U496" s="4" t="b">
        <v>1</v>
      </c>
      <c r="V496" s="3" t="s">
        <v>31</v>
      </c>
      <c r="W496" s="1"/>
      <c r="Y496" s="3" t="s">
        <v>32</v>
      </c>
      <c r="Z496" s="3" t="s">
        <v>32</v>
      </c>
      <c r="AA496" s="3"/>
      <c r="AB496" s="3"/>
      <c r="AC496" s="4" t="s">
        <v>30</v>
      </c>
      <c r="AD496" s="3"/>
      <c r="AE496" s="3" t="s">
        <v>3060</v>
      </c>
      <c r="AF496" s="4" t="s">
        <v>30</v>
      </c>
      <c r="AH496" s="4">
        <v>0</v>
      </c>
      <c r="AI496" s="3" t="s">
        <v>3056</v>
      </c>
      <c r="AJ496" s="4" t="s">
        <v>3058</v>
      </c>
      <c r="AK496" s="4"/>
      <c r="AL496" s="3"/>
    </row>
    <row r="497" spans="1:38" x14ac:dyDescent="0.35">
      <c r="A497" s="3" t="s">
        <v>3061</v>
      </c>
      <c r="B497" s="4" t="s">
        <v>2681</v>
      </c>
      <c r="C497" s="4">
        <f>VLOOKUP(A497, [1]Planilha1!$A$3:$B$1015,2,FALSE)</f>
        <v>4980</v>
      </c>
      <c r="D497" s="4">
        <f t="shared" si="7"/>
        <v>1.3833333333333333</v>
      </c>
      <c r="E497" s="4" t="s">
        <v>1125</v>
      </c>
      <c r="F497" s="3" t="s">
        <v>2678</v>
      </c>
      <c r="G497" s="3" t="s">
        <v>214</v>
      </c>
      <c r="H497" s="3" t="s">
        <v>44</v>
      </c>
      <c r="I497" s="3" t="s">
        <v>33</v>
      </c>
      <c r="J497" s="3" t="s">
        <v>41</v>
      </c>
      <c r="K497" s="3" t="s">
        <v>2677</v>
      </c>
      <c r="L497" s="1">
        <v>46041.404282407406</v>
      </c>
      <c r="M497" s="1">
        <v>46041.457037037035</v>
      </c>
      <c r="N497" s="1">
        <v>46041.485856481479</v>
      </c>
      <c r="O497" s="3" t="s">
        <v>43</v>
      </c>
      <c r="P497" s="3" t="s">
        <v>2681</v>
      </c>
      <c r="Q497" s="3" t="s">
        <v>42</v>
      </c>
      <c r="R497" s="3" t="s">
        <v>2680</v>
      </c>
      <c r="S497" s="3" t="s">
        <v>144</v>
      </c>
      <c r="T497" s="3" t="s">
        <v>143</v>
      </c>
      <c r="U497" s="4" t="b">
        <v>1</v>
      </c>
      <c r="V497" s="3" t="s">
        <v>31</v>
      </c>
      <c r="W497" s="1"/>
      <c r="Y497" s="3" t="s">
        <v>32</v>
      </c>
      <c r="Z497" s="3" t="s">
        <v>32</v>
      </c>
      <c r="AA497" s="3"/>
      <c r="AB497" s="3"/>
      <c r="AC497" s="4" t="s">
        <v>30</v>
      </c>
      <c r="AD497" s="3"/>
      <c r="AE497" s="3" t="s">
        <v>2681</v>
      </c>
      <c r="AF497" s="4" t="s">
        <v>30</v>
      </c>
      <c r="AH497" s="4">
        <v>1</v>
      </c>
      <c r="AI497" s="3" t="s">
        <v>3062</v>
      </c>
      <c r="AJ497" s="4" t="s">
        <v>2679</v>
      </c>
      <c r="AK497" s="4"/>
      <c r="AL497" s="3"/>
    </row>
    <row r="498" spans="1:38" x14ac:dyDescent="0.35">
      <c r="A498" s="3" t="s">
        <v>3067</v>
      </c>
      <c r="B498" s="4" t="s">
        <v>3073</v>
      </c>
      <c r="C498" s="4">
        <f>VLOOKUP(A498, [1]Planilha1!$A$3:$B$1015,2,FALSE)</f>
        <v>20013</v>
      </c>
      <c r="D498" s="4">
        <f t="shared" si="7"/>
        <v>5.559166666666667</v>
      </c>
      <c r="E498" s="4" t="s">
        <v>1125</v>
      </c>
      <c r="F498" s="3" t="s">
        <v>3070</v>
      </c>
      <c r="G498" s="3" t="s">
        <v>3068</v>
      </c>
      <c r="H498" s="3" t="s">
        <v>44</v>
      </c>
      <c r="I498" s="3" t="s">
        <v>33</v>
      </c>
      <c r="J498" s="3" t="s">
        <v>41</v>
      </c>
      <c r="L498" s="1">
        <v>46041.401377314818</v>
      </c>
      <c r="M498" s="1">
        <v>46041.401377314818</v>
      </c>
      <c r="N498" s="1">
        <v>46041.488587962966</v>
      </c>
      <c r="O498" s="3" t="s">
        <v>43</v>
      </c>
      <c r="P498" s="3" t="s">
        <v>3073</v>
      </c>
      <c r="Q498" s="3" t="s">
        <v>42</v>
      </c>
      <c r="R498" s="3" t="s">
        <v>3072</v>
      </c>
      <c r="S498" s="3" t="s">
        <v>37</v>
      </c>
      <c r="T498" s="3" t="s">
        <v>36</v>
      </c>
      <c r="U498" s="4" t="b">
        <v>1</v>
      </c>
      <c r="V498" s="3" t="s">
        <v>28</v>
      </c>
      <c r="W498" s="1"/>
      <c r="Y498" s="3" t="s">
        <v>29</v>
      </c>
      <c r="Z498" s="3" t="s">
        <v>29</v>
      </c>
      <c r="AA498" s="3"/>
      <c r="AB498" s="3"/>
      <c r="AC498" s="4" t="s">
        <v>30</v>
      </c>
      <c r="AD498" s="3"/>
      <c r="AE498" s="3" t="s">
        <v>3073</v>
      </c>
      <c r="AF498" s="4" t="s">
        <v>30</v>
      </c>
      <c r="AH498" s="4">
        <v>2</v>
      </c>
      <c r="AI498" s="3" t="s">
        <v>3069</v>
      </c>
      <c r="AJ498" s="4" t="s">
        <v>3071</v>
      </c>
      <c r="AK498" s="4"/>
      <c r="AL498" s="3"/>
    </row>
    <row r="499" spans="1:38" x14ac:dyDescent="0.35">
      <c r="A499" s="3" t="s">
        <v>3074</v>
      </c>
      <c r="B499" s="4" t="s">
        <v>94</v>
      </c>
      <c r="C499" s="4">
        <f>VLOOKUP(A499, [1]Planilha1!$A$3:$B$1015,2,FALSE)</f>
        <v>15456</v>
      </c>
      <c r="D499" s="4">
        <f t="shared" si="7"/>
        <v>4.293333333333333</v>
      </c>
      <c r="E499" s="4" t="s">
        <v>1125</v>
      </c>
      <c r="F499" s="3" t="s">
        <v>92</v>
      </c>
      <c r="G499" s="3" t="s">
        <v>3075</v>
      </c>
      <c r="H499" s="3" t="s">
        <v>44</v>
      </c>
      <c r="I499" s="3" t="s">
        <v>33</v>
      </c>
      <c r="J499" s="3" t="s">
        <v>41</v>
      </c>
      <c r="L499" s="1">
        <v>46041.397187499999</v>
      </c>
      <c r="M499" s="1">
        <v>46041.397187499999</v>
      </c>
      <c r="N499" s="1">
        <v>46041.456817129627</v>
      </c>
      <c r="O499" s="3" t="s">
        <v>43</v>
      </c>
      <c r="P499" s="3" t="s">
        <v>94</v>
      </c>
      <c r="Q499" s="3" t="s">
        <v>42</v>
      </c>
      <c r="R499" s="3" t="s">
        <v>93</v>
      </c>
      <c r="S499" s="3" t="s">
        <v>37</v>
      </c>
      <c r="T499" s="3" t="s">
        <v>36</v>
      </c>
      <c r="U499" s="4" t="b">
        <v>1</v>
      </c>
      <c r="V499" s="3" t="s">
        <v>28</v>
      </c>
      <c r="W499" s="1"/>
      <c r="Y499" s="3" t="s">
        <v>29</v>
      </c>
      <c r="Z499" s="3" t="s">
        <v>29</v>
      </c>
      <c r="AA499" s="3"/>
      <c r="AB499" s="3"/>
      <c r="AC499" s="4" t="s">
        <v>30</v>
      </c>
      <c r="AD499" s="3"/>
      <c r="AE499" s="3" t="s">
        <v>94</v>
      </c>
      <c r="AF499" s="4" t="s">
        <v>30</v>
      </c>
      <c r="AH499" s="4">
        <v>0</v>
      </c>
      <c r="AI499" s="3" t="s">
        <v>3076</v>
      </c>
      <c r="AJ499" s="4"/>
      <c r="AK499" s="4"/>
      <c r="AL499" s="3"/>
    </row>
    <row r="500" spans="1:38" x14ac:dyDescent="0.35">
      <c r="A500" s="3" t="s">
        <v>3077</v>
      </c>
      <c r="B500" s="4" t="s">
        <v>2850</v>
      </c>
      <c r="C500" s="4">
        <f>VLOOKUP(A500, [1]Planilha1!$A$3:$B$1015,2,FALSE)</f>
        <v>19367</v>
      </c>
      <c r="D500" s="4">
        <f t="shared" si="7"/>
        <v>5.3797222222222221</v>
      </c>
      <c r="E500" s="4" t="s">
        <v>1125</v>
      </c>
      <c r="F500" s="3" t="s">
        <v>2847</v>
      </c>
      <c r="G500" s="3" t="s">
        <v>3078</v>
      </c>
      <c r="H500" s="3" t="s">
        <v>457</v>
      </c>
      <c r="I500" s="3" t="s">
        <v>33</v>
      </c>
      <c r="J500" s="3" t="s">
        <v>41</v>
      </c>
      <c r="L500" s="1">
        <v>46041.38140046296</v>
      </c>
      <c r="M500" s="1">
        <v>46041.38140046296</v>
      </c>
      <c r="N500" s="1">
        <v>46041.464837962965</v>
      </c>
      <c r="O500" s="3" t="s">
        <v>3080</v>
      </c>
      <c r="P500" s="3" t="s">
        <v>2850</v>
      </c>
      <c r="Q500" s="3" t="s">
        <v>35</v>
      </c>
      <c r="R500" s="3" t="s">
        <v>2849</v>
      </c>
      <c r="S500" s="3" t="s">
        <v>37</v>
      </c>
      <c r="T500" s="3" t="s">
        <v>36</v>
      </c>
      <c r="U500" s="4" t="b">
        <v>1</v>
      </c>
      <c r="V500" s="3" t="s">
        <v>28</v>
      </c>
      <c r="W500" s="1"/>
      <c r="Y500" s="3" t="s">
        <v>29</v>
      </c>
      <c r="Z500" s="3" t="s">
        <v>29</v>
      </c>
      <c r="AA500" s="3"/>
      <c r="AB500" s="3"/>
      <c r="AC500" s="4" t="s">
        <v>30</v>
      </c>
      <c r="AD500" s="3"/>
      <c r="AE500" s="3" t="s">
        <v>2850</v>
      </c>
      <c r="AF500" s="4" t="s">
        <v>30</v>
      </c>
      <c r="AH500" s="4">
        <v>1</v>
      </c>
      <c r="AI500" s="3" t="s">
        <v>3079</v>
      </c>
      <c r="AJ500" s="4" t="s">
        <v>2848</v>
      </c>
      <c r="AK500" s="4"/>
      <c r="AL500" s="3"/>
    </row>
    <row r="501" spans="1:38" x14ac:dyDescent="0.35">
      <c r="A501" s="3" t="s">
        <v>3081</v>
      </c>
      <c r="B501" s="4" t="s">
        <v>3090</v>
      </c>
      <c r="C501" s="4">
        <f>VLOOKUP(A501, [1]Planilha1!$A$3:$B$1015,2,FALSE)</f>
        <v>0</v>
      </c>
      <c r="D501" s="4">
        <f t="shared" si="7"/>
        <v>0</v>
      </c>
      <c r="E501" s="4" t="s">
        <v>1125</v>
      </c>
      <c r="F501" s="3" t="s">
        <v>3087</v>
      </c>
      <c r="G501" s="3" t="s">
        <v>3082</v>
      </c>
      <c r="H501" s="3" t="s">
        <v>3086</v>
      </c>
      <c r="I501" s="3" t="s">
        <v>33</v>
      </c>
      <c r="J501" s="3" t="s">
        <v>60</v>
      </c>
      <c r="K501" s="3" t="s">
        <v>3084</v>
      </c>
      <c r="L501" s="1">
        <v>46041.372094907405</v>
      </c>
      <c r="M501" s="1">
        <v>46041.380416666667</v>
      </c>
      <c r="N501" s="1">
        <v>46044.458344907405</v>
      </c>
      <c r="O501" s="3" t="s">
        <v>3085</v>
      </c>
      <c r="P501" s="3" t="s">
        <v>3090</v>
      </c>
      <c r="Q501" s="3" t="s">
        <v>35</v>
      </c>
      <c r="R501" s="3" t="s">
        <v>3089</v>
      </c>
      <c r="S501" s="3" t="s">
        <v>144</v>
      </c>
      <c r="T501" s="3" t="s">
        <v>143</v>
      </c>
      <c r="U501" s="4" t="b">
        <v>1</v>
      </c>
      <c r="V501" s="3" t="s">
        <v>31</v>
      </c>
      <c r="W501" s="1"/>
      <c r="Y501" s="3" t="s">
        <v>32</v>
      </c>
      <c r="Z501" s="3" t="s">
        <v>32</v>
      </c>
      <c r="AA501" s="3"/>
      <c r="AB501" s="3"/>
      <c r="AC501" s="4" t="s">
        <v>30</v>
      </c>
      <c r="AD501" s="3"/>
      <c r="AE501" s="3" t="s">
        <v>3090</v>
      </c>
      <c r="AF501" s="4" t="s">
        <v>30</v>
      </c>
      <c r="AH501" s="4">
        <v>0</v>
      </c>
      <c r="AI501" s="3" t="s">
        <v>3083</v>
      </c>
      <c r="AJ501" s="4" t="s">
        <v>3088</v>
      </c>
      <c r="AK501" s="4"/>
      <c r="AL501" s="3"/>
    </row>
    <row r="502" spans="1:38" x14ac:dyDescent="0.35">
      <c r="A502" s="3" t="s">
        <v>3091</v>
      </c>
      <c r="B502" s="4" t="s">
        <v>3097</v>
      </c>
      <c r="C502" s="4">
        <f>VLOOKUP(A502, [1]Planilha1!$A$3:$B$1015,2,FALSE)</f>
        <v>0</v>
      </c>
      <c r="D502" s="4">
        <f t="shared" si="7"/>
        <v>0</v>
      </c>
      <c r="E502" s="4" t="s">
        <v>1125</v>
      </c>
      <c r="F502" s="3" t="s">
        <v>3095</v>
      </c>
      <c r="G502" s="3" t="s">
        <v>3092</v>
      </c>
      <c r="H502" s="3" t="s">
        <v>44</v>
      </c>
      <c r="I502" s="3" t="s">
        <v>33</v>
      </c>
      <c r="J502" s="3" t="s">
        <v>60</v>
      </c>
      <c r="K502" s="3" t="s">
        <v>3094</v>
      </c>
      <c r="L502" s="1">
        <v>46041.363437499997</v>
      </c>
      <c r="M502" s="1">
        <v>46041.368009259262</v>
      </c>
      <c r="N502" s="1">
        <v>46044.375</v>
      </c>
      <c r="O502" s="3" t="s">
        <v>43</v>
      </c>
      <c r="P502" s="3" t="s">
        <v>3097</v>
      </c>
      <c r="Q502" s="3" t="s">
        <v>42</v>
      </c>
      <c r="R502" s="3" t="s">
        <v>3096</v>
      </c>
      <c r="S502" s="3" t="s">
        <v>120</v>
      </c>
      <c r="T502" s="3" t="s">
        <v>119</v>
      </c>
      <c r="U502" s="4" t="b">
        <v>1</v>
      </c>
      <c r="V502" s="3" t="s">
        <v>31</v>
      </c>
      <c r="W502" s="1"/>
      <c r="Y502" s="3" t="s">
        <v>32</v>
      </c>
      <c r="Z502" s="3" t="s">
        <v>32</v>
      </c>
      <c r="AA502" s="3"/>
      <c r="AB502" s="3"/>
      <c r="AC502" s="4" t="s">
        <v>30</v>
      </c>
      <c r="AD502" s="3"/>
      <c r="AE502" s="3" t="s">
        <v>3097</v>
      </c>
      <c r="AF502" s="4" t="s">
        <v>30</v>
      </c>
      <c r="AH502" s="4">
        <v>0</v>
      </c>
      <c r="AI502" s="3" t="s">
        <v>3093</v>
      </c>
      <c r="AJ502" s="4"/>
      <c r="AK502" s="4"/>
      <c r="AL502" s="3"/>
    </row>
    <row r="503" spans="1:38" x14ac:dyDescent="0.35">
      <c r="A503" s="3" t="s">
        <v>3098</v>
      </c>
      <c r="B503" s="4" t="s">
        <v>3066</v>
      </c>
      <c r="C503" s="4">
        <f>VLOOKUP(A503, [1]Planilha1!$A$3:$B$1015,2,FALSE)</f>
        <v>5694</v>
      </c>
      <c r="D503" s="4">
        <f t="shared" si="7"/>
        <v>1.5816666666666668</v>
      </c>
      <c r="E503" s="4" t="s">
        <v>1125</v>
      </c>
      <c r="F503" s="3" t="s">
        <v>3063</v>
      </c>
      <c r="G503" s="3" t="s">
        <v>3099</v>
      </c>
      <c r="H503" s="3" t="s">
        <v>171</v>
      </c>
      <c r="I503" s="3" t="s">
        <v>33</v>
      </c>
      <c r="J503" s="3" t="s">
        <v>41</v>
      </c>
      <c r="K503" s="3" t="s">
        <v>362</v>
      </c>
      <c r="L503" s="1">
        <v>46041.36142361111</v>
      </c>
      <c r="M503" s="1">
        <v>46041.36142361111</v>
      </c>
      <c r="N503" s="1">
        <v>46041.392442129632</v>
      </c>
      <c r="O503" s="3" t="s">
        <v>170</v>
      </c>
      <c r="P503" s="3" t="s">
        <v>3066</v>
      </c>
      <c r="Q503" s="3" t="s">
        <v>42</v>
      </c>
      <c r="R503" s="3" t="s">
        <v>3065</v>
      </c>
      <c r="S503" s="3" t="s">
        <v>37</v>
      </c>
      <c r="T503" s="3" t="s">
        <v>36</v>
      </c>
      <c r="U503" s="4" t="b">
        <v>1</v>
      </c>
      <c r="V503" s="3" t="s">
        <v>28</v>
      </c>
      <c r="W503" s="1"/>
      <c r="Y503" s="3" t="s">
        <v>29</v>
      </c>
      <c r="Z503" s="3" t="s">
        <v>29</v>
      </c>
      <c r="AA503" s="3"/>
      <c r="AB503" s="3"/>
      <c r="AC503" s="4" t="s">
        <v>30</v>
      </c>
      <c r="AD503" s="3"/>
      <c r="AE503" s="3" t="s">
        <v>3066</v>
      </c>
      <c r="AF503" s="4" t="s">
        <v>30</v>
      </c>
      <c r="AH503" s="4">
        <v>1</v>
      </c>
      <c r="AI503" s="3" t="s">
        <v>3100</v>
      </c>
      <c r="AJ503" s="4" t="s">
        <v>3064</v>
      </c>
      <c r="AK503" s="4"/>
      <c r="AL503" s="3"/>
    </row>
    <row r="504" spans="1:38" x14ac:dyDescent="0.35">
      <c r="A504" s="3" t="s">
        <v>3101</v>
      </c>
      <c r="B504" s="4" t="s">
        <v>3106</v>
      </c>
      <c r="C504" s="4">
        <f>VLOOKUP(A504, [1]Planilha1!$A$3:$B$1015,2,FALSE)</f>
        <v>2685</v>
      </c>
      <c r="D504" s="4">
        <f t="shared" si="7"/>
        <v>0.74583333333333335</v>
      </c>
      <c r="E504" s="4" t="s">
        <v>1125</v>
      </c>
      <c r="F504" s="3" t="s">
        <v>3104</v>
      </c>
      <c r="G504" s="3" t="s">
        <v>3102</v>
      </c>
      <c r="H504" s="3" t="s">
        <v>163</v>
      </c>
      <c r="I504" s="3" t="s">
        <v>33</v>
      </c>
      <c r="J504" s="3" t="s">
        <v>41</v>
      </c>
      <c r="L504" s="1">
        <v>46041.350682870368</v>
      </c>
      <c r="M504" s="1">
        <v>46041.350682870368</v>
      </c>
      <c r="N504" s="1">
        <v>46041.378379629627</v>
      </c>
      <c r="O504" s="3" t="s">
        <v>162</v>
      </c>
      <c r="P504" s="3" t="s">
        <v>3106</v>
      </c>
      <c r="Q504" s="3" t="s">
        <v>42</v>
      </c>
      <c r="R504" s="3" t="s">
        <v>3105</v>
      </c>
      <c r="S504" s="3" t="s">
        <v>37</v>
      </c>
      <c r="T504" s="3" t="s">
        <v>36</v>
      </c>
      <c r="U504" s="4" t="b">
        <v>1</v>
      </c>
      <c r="V504" s="3" t="s">
        <v>28</v>
      </c>
      <c r="W504" s="1"/>
      <c r="Y504" s="3" t="s">
        <v>29</v>
      </c>
      <c r="Z504" s="3" t="s">
        <v>29</v>
      </c>
      <c r="AA504" s="3"/>
      <c r="AB504" s="3"/>
      <c r="AC504" s="4" t="s">
        <v>30</v>
      </c>
      <c r="AD504" s="3"/>
      <c r="AE504" s="3" t="s">
        <v>3106</v>
      </c>
      <c r="AF504" s="4" t="s">
        <v>30</v>
      </c>
      <c r="AH504" s="4">
        <v>1</v>
      </c>
      <c r="AI504" s="3" t="s">
        <v>3103</v>
      </c>
      <c r="AJ504" s="4"/>
      <c r="AK504" s="4"/>
      <c r="AL504" s="3"/>
    </row>
    <row r="505" spans="1:38" x14ac:dyDescent="0.35">
      <c r="A505" s="3" t="s">
        <v>3109</v>
      </c>
      <c r="B505" s="4" t="s">
        <v>3114</v>
      </c>
      <c r="C505" s="4">
        <f>VLOOKUP(A505, [1]Planilha1!$A$3:$B$1015,2,FALSE)</f>
        <v>0</v>
      </c>
      <c r="D505" s="4">
        <f t="shared" si="7"/>
        <v>0</v>
      </c>
      <c r="E505" s="4" t="s">
        <v>1125</v>
      </c>
      <c r="F505" s="3" t="s">
        <v>3112</v>
      </c>
      <c r="G505" s="3" t="s">
        <v>122</v>
      </c>
      <c r="H505" s="3" t="s">
        <v>44</v>
      </c>
      <c r="I505" s="3" t="s">
        <v>33</v>
      </c>
      <c r="J505" s="3" t="s">
        <v>60</v>
      </c>
      <c r="K505" s="3" t="s">
        <v>3111</v>
      </c>
      <c r="L505" s="1">
        <v>46041.345706018517</v>
      </c>
      <c r="M505" s="1">
        <v>46041.349317129629</v>
      </c>
      <c r="N505" s="1">
        <v>46044.375</v>
      </c>
      <c r="O505" s="3" t="s">
        <v>43</v>
      </c>
      <c r="P505" s="3" t="s">
        <v>3114</v>
      </c>
      <c r="Q505" s="3" t="s">
        <v>42</v>
      </c>
      <c r="R505" s="3" t="s">
        <v>3113</v>
      </c>
      <c r="S505" s="3" t="s">
        <v>120</v>
      </c>
      <c r="T505" s="3" t="s">
        <v>119</v>
      </c>
      <c r="U505" s="4" t="b">
        <v>1</v>
      </c>
      <c r="V505" s="3" t="s">
        <v>31</v>
      </c>
      <c r="W505" s="1"/>
      <c r="Y505" s="3" t="s">
        <v>32</v>
      </c>
      <c r="Z505" s="3" t="s">
        <v>32</v>
      </c>
      <c r="AA505" s="3"/>
      <c r="AB505" s="3"/>
      <c r="AC505" s="4" t="s">
        <v>30</v>
      </c>
      <c r="AD505" s="3"/>
      <c r="AE505" s="3" t="s">
        <v>3114</v>
      </c>
      <c r="AF505" s="4" t="s">
        <v>30</v>
      </c>
      <c r="AH505" s="4">
        <v>0</v>
      </c>
      <c r="AI505" s="3" t="s">
        <v>3110</v>
      </c>
      <c r="AJ505" s="4" t="s">
        <v>5886</v>
      </c>
      <c r="AK505" s="4"/>
      <c r="AL505" s="3"/>
    </row>
    <row r="506" spans="1:38" x14ac:dyDescent="0.35">
      <c r="A506" s="3" t="s">
        <v>3115</v>
      </c>
      <c r="B506" s="4" t="s">
        <v>1473</v>
      </c>
      <c r="C506" s="4">
        <f>VLOOKUP(A506, [1]Planilha1!$A$3:$B$1015,2,FALSE)</f>
        <v>6829</v>
      </c>
      <c r="D506" s="4">
        <f t="shared" si="7"/>
        <v>1.8969444444444445</v>
      </c>
      <c r="E506" s="4" t="s">
        <v>1125</v>
      </c>
      <c r="F506" s="3" t="s">
        <v>1471</v>
      </c>
      <c r="G506" s="3" t="s">
        <v>3116</v>
      </c>
      <c r="H506" s="3" t="s">
        <v>163</v>
      </c>
      <c r="I506" s="3" t="s">
        <v>33</v>
      </c>
      <c r="J506" s="3" t="s">
        <v>41</v>
      </c>
      <c r="K506" s="3" t="s">
        <v>362</v>
      </c>
      <c r="L506" s="1">
        <v>46040.910243055558</v>
      </c>
      <c r="M506" s="1">
        <v>46040.910243055558</v>
      </c>
      <c r="N506" s="1">
        <v>46041.370706018519</v>
      </c>
      <c r="O506" s="3" t="s">
        <v>162</v>
      </c>
      <c r="P506" s="3" t="s">
        <v>1473</v>
      </c>
      <c r="Q506" s="3" t="s">
        <v>42</v>
      </c>
      <c r="R506" s="3" t="s">
        <v>1472</v>
      </c>
      <c r="S506" s="3" t="s">
        <v>37</v>
      </c>
      <c r="T506" s="3" t="s">
        <v>36</v>
      </c>
      <c r="U506" s="4" t="b">
        <v>1</v>
      </c>
      <c r="V506" s="3" t="s">
        <v>28</v>
      </c>
      <c r="W506" s="1"/>
      <c r="Y506" s="3" t="s">
        <v>29</v>
      </c>
      <c r="Z506" s="3" t="s">
        <v>29</v>
      </c>
      <c r="AA506" s="3"/>
      <c r="AB506" s="3"/>
      <c r="AC506" s="4" t="s">
        <v>30</v>
      </c>
      <c r="AD506" s="3"/>
      <c r="AE506" s="3" t="s">
        <v>1473</v>
      </c>
      <c r="AF506" s="4" t="s">
        <v>30</v>
      </c>
      <c r="AH506" s="4">
        <v>1</v>
      </c>
      <c r="AI506" s="3" t="s">
        <v>3117</v>
      </c>
      <c r="AJ506" s="4" t="s">
        <v>5844</v>
      </c>
      <c r="AK506" s="4"/>
      <c r="AL506" s="3"/>
    </row>
    <row r="507" spans="1:38" x14ac:dyDescent="0.35">
      <c r="A507" s="3" t="s">
        <v>3118</v>
      </c>
      <c r="B507" s="4" t="s">
        <v>3008</v>
      </c>
      <c r="C507" s="4">
        <f>VLOOKUP(A507, [1]Planilha1!$A$3:$B$1015,2,FALSE)</f>
        <v>19900</v>
      </c>
      <c r="D507" s="4">
        <f t="shared" si="7"/>
        <v>5.5277777777777777</v>
      </c>
      <c r="E507" s="4" t="s">
        <v>1125</v>
      </c>
      <c r="F507" s="3" t="s">
        <v>3005</v>
      </c>
      <c r="G507" s="3" t="s">
        <v>3119</v>
      </c>
      <c r="H507" s="3" t="s">
        <v>44</v>
      </c>
      <c r="I507" s="3" t="s">
        <v>33</v>
      </c>
      <c r="J507" s="3" t="s">
        <v>41</v>
      </c>
      <c r="L507" s="1">
        <v>46040.909930555557</v>
      </c>
      <c r="M507" s="1">
        <v>46040.909930555557</v>
      </c>
      <c r="N507" s="1">
        <v>46041.461284722223</v>
      </c>
      <c r="O507" s="3" t="s">
        <v>43</v>
      </c>
      <c r="P507" s="3" t="s">
        <v>3008</v>
      </c>
      <c r="Q507" s="3" t="s">
        <v>42</v>
      </c>
      <c r="R507" s="3" t="s">
        <v>3007</v>
      </c>
      <c r="S507" s="3" t="s">
        <v>37</v>
      </c>
      <c r="T507" s="3" t="s">
        <v>36</v>
      </c>
      <c r="U507" s="4" t="b">
        <v>1</v>
      </c>
      <c r="V507" s="3" t="s">
        <v>28</v>
      </c>
      <c r="W507" s="1"/>
      <c r="Y507" s="3" t="s">
        <v>29</v>
      </c>
      <c r="Z507" s="3" t="s">
        <v>29</v>
      </c>
      <c r="AA507" s="3"/>
      <c r="AB507" s="3"/>
      <c r="AC507" s="4" t="s">
        <v>30</v>
      </c>
      <c r="AD507" s="3"/>
      <c r="AE507" s="3" t="s">
        <v>3008</v>
      </c>
      <c r="AF507" s="4" t="s">
        <v>30</v>
      </c>
      <c r="AH507" s="4">
        <v>2</v>
      </c>
      <c r="AI507" s="3" t="s">
        <v>3120</v>
      </c>
      <c r="AJ507" s="4" t="s">
        <v>3006</v>
      </c>
      <c r="AK507" s="4"/>
      <c r="AL507" s="3"/>
    </row>
    <row r="508" spans="1:38" x14ac:dyDescent="0.35">
      <c r="A508" s="3" t="s">
        <v>3121</v>
      </c>
      <c r="B508" s="4" t="s">
        <v>2881</v>
      </c>
      <c r="C508" s="4">
        <f>VLOOKUP(A508, [1]Planilha1!$A$3:$B$1015,2,FALSE)</f>
        <v>7221</v>
      </c>
      <c r="D508" s="4">
        <f t="shared" si="7"/>
        <v>2.0058333333333334</v>
      </c>
      <c r="E508" s="4" t="s">
        <v>1125</v>
      </c>
      <c r="F508" s="3" t="s">
        <v>2878</v>
      </c>
      <c r="G508" s="3" t="s">
        <v>3122</v>
      </c>
      <c r="H508" s="3" t="s">
        <v>224</v>
      </c>
      <c r="I508" s="3" t="s">
        <v>33</v>
      </c>
      <c r="J508" s="3" t="s">
        <v>41</v>
      </c>
      <c r="K508" s="3" t="s">
        <v>362</v>
      </c>
      <c r="L508" s="1">
        <v>46039.434444444443</v>
      </c>
      <c r="M508" s="1">
        <v>46039.434444444443</v>
      </c>
      <c r="N508" s="1">
        <v>46041.375081018516</v>
      </c>
      <c r="O508" s="3" t="s">
        <v>223</v>
      </c>
      <c r="P508" s="3" t="s">
        <v>2881</v>
      </c>
      <c r="Q508" s="3" t="s">
        <v>35</v>
      </c>
      <c r="R508" s="3" t="s">
        <v>2880</v>
      </c>
      <c r="S508" s="3" t="s">
        <v>37</v>
      </c>
      <c r="T508" s="3" t="s">
        <v>36</v>
      </c>
      <c r="U508" s="4" t="b">
        <v>1</v>
      </c>
      <c r="V508" s="3" t="s">
        <v>28</v>
      </c>
      <c r="W508" s="1"/>
      <c r="Y508" s="3" t="s">
        <v>29</v>
      </c>
      <c r="Z508" s="3" t="s">
        <v>29</v>
      </c>
      <c r="AA508" s="3"/>
      <c r="AB508" s="3"/>
      <c r="AC508" s="4" t="s">
        <v>30</v>
      </c>
      <c r="AD508" s="3"/>
      <c r="AE508" s="3" t="s">
        <v>2881</v>
      </c>
      <c r="AF508" s="4" t="s">
        <v>30</v>
      </c>
      <c r="AH508" s="4">
        <v>1</v>
      </c>
      <c r="AI508" s="3" t="s">
        <v>3123</v>
      </c>
      <c r="AJ508" s="4" t="s">
        <v>2879</v>
      </c>
      <c r="AK508" s="4"/>
      <c r="AL508" s="3"/>
    </row>
    <row r="509" spans="1:38" x14ac:dyDescent="0.35">
      <c r="A509" s="3" t="s">
        <v>3124</v>
      </c>
      <c r="B509" s="4" t="s">
        <v>3130</v>
      </c>
      <c r="C509" s="4">
        <f>VLOOKUP(A509, [1]Planilha1!$A$3:$B$1015,2,FALSE)</f>
        <v>21119</v>
      </c>
      <c r="D509" s="4">
        <f t="shared" si="7"/>
        <v>5.8663888888888893</v>
      </c>
      <c r="E509" s="4" t="s">
        <v>1125</v>
      </c>
      <c r="F509" s="3" t="s">
        <v>3127</v>
      </c>
      <c r="G509" s="3" t="s">
        <v>3125</v>
      </c>
      <c r="H509" s="3" t="s">
        <v>44</v>
      </c>
      <c r="I509" s="3" t="s">
        <v>33</v>
      </c>
      <c r="J509" s="3" t="s">
        <v>34</v>
      </c>
      <c r="L509" s="1">
        <v>46038.771493055552</v>
      </c>
      <c r="M509" s="1">
        <v>46038.771493055552</v>
      </c>
      <c r="N509" s="1">
        <v>46044.458344907405</v>
      </c>
      <c r="O509" s="3" t="s">
        <v>43</v>
      </c>
      <c r="P509" s="3" t="s">
        <v>3130</v>
      </c>
      <c r="Q509" s="3" t="s">
        <v>35</v>
      </c>
      <c r="R509" s="3" t="s">
        <v>3129</v>
      </c>
      <c r="S509" s="3" t="s">
        <v>37</v>
      </c>
      <c r="T509" s="3" t="s">
        <v>36</v>
      </c>
      <c r="U509" s="4" t="b">
        <v>1</v>
      </c>
      <c r="V509" s="3" t="s">
        <v>28</v>
      </c>
      <c r="W509" s="1"/>
      <c r="Y509" s="3" t="s">
        <v>29</v>
      </c>
      <c r="Z509" s="3" t="s">
        <v>29</v>
      </c>
      <c r="AA509" s="3"/>
      <c r="AB509" s="3"/>
      <c r="AC509" s="4" t="s">
        <v>30</v>
      </c>
      <c r="AD509" s="3"/>
      <c r="AE509" s="3" t="s">
        <v>3130</v>
      </c>
      <c r="AF509" s="4" t="s">
        <v>30</v>
      </c>
      <c r="AH509" s="4">
        <v>0</v>
      </c>
      <c r="AI509" s="3" t="s">
        <v>3126</v>
      </c>
      <c r="AJ509" s="4" t="s">
        <v>3128</v>
      </c>
      <c r="AK509" s="4"/>
      <c r="AL509" s="3"/>
    </row>
    <row r="510" spans="1:38" x14ac:dyDescent="0.35">
      <c r="A510" s="3" t="s">
        <v>3131</v>
      </c>
      <c r="B510" s="4" t="s">
        <v>247</v>
      </c>
      <c r="C510" s="4">
        <f>VLOOKUP(A510, [1]Planilha1!$A$3:$B$1015,2,FALSE)</f>
        <v>0</v>
      </c>
      <c r="D510" s="4">
        <f t="shared" si="7"/>
        <v>0</v>
      </c>
      <c r="E510" s="4" t="s">
        <v>1125</v>
      </c>
      <c r="F510" s="3" t="s">
        <v>244</v>
      </c>
      <c r="G510" s="3" t="s">
        <v>457</v>
      </c>
      <c r="H510" s="3" t="s">
        <v>457</v>
      </c>
      <c r="I510" s="3" t="s">
        <v>33</v>
      </c>
      <c r="J510" s="3" t="s">
        <v>60</v>
      </c>
      <c r="K510" s="3" t="s">
        <v>3133</v>
      </c>
      <c r="L510" s="1">
        <v>46038.73096064815</v>
      </c>
      <c r="M510" s="1">
        <v>46038.745798611111</v>
      </c>
      <c r="N510" s="1">
        <v>46041.75</v>
      </c>
      <c r="O510" s="3" t="s">
        <v>460</v>
      </c>
      <c r="P510" s="3" t="s">
        <v>247</v>
      </c>
      <c r="Q510" s="3" t="s">
        <v>42</v>
      </c>
      <c r="R510" s="3" t="s">
        <v>246</v>
      </c>
      <c r="S510" s="3" t="s">
        <v>120</v>
      </c>
      <c r="T510" s="3" t="s">
        <v>119</v>
      </c>
      <c r="U510" s="4" t="b">
        <v>1</v>
      </c>
      <c r="V510" s="3" t="s">
        <v>31</v>
      </c>
      <c r="W510" s="1"/>
      <c r="Y510" s="3" t="s">
        <v>32</v>
      </c>
      <c r="Z510" s="3" t="s">
        <v>32</v>
      </c>
      <c r="AA510" s="3"/>
      <c r="AB510" s="3"/>
      <c r="AC510" s="4" t="s">
        <v>30</v>
      </c>
      <c r="AD510" s="3"/>
      <c r="AE510" s="3" t="s">
        <v>247</v>
      </c>
      <c r="AF510" s="4" t="s">
        <v>30</v>
      </c>
      <c r="AH510" s="4">
        <v>0</v>
      </c>
      <c r="AI510" s="3" t="s">
        <v>3132</v>
      </c>
      <c r="AJ510" s="4" t="s">
        <v>245</v>
      </c>
      <c r="AK510" s="4"/>
      <c r="AL510" s="3"/>
    </row>
    <row r="511" spans="1:38" x14ac:dyDescent="0.35">
      <c r="A511" s="3" t="s">
        <v>3134</v>
      </c>
      <c r="B511" s="4" t="s">
        <v>3138</v>
      </c>
      <c r="C511" s="4">
        <f>VLOOKUP(A511, [1]Planilha1!$A$3:$B$1015,2,FALSE)</f>
        <v>10268</v>
      </c>
      <c r="D511" s="4">
        <f t="shared" si="7"/>
        <v>2.8522222222222222</v>
      </c>
      <c r="E511" s="4" t="s">
        <v>1125</v>
      </c>
      <c r="F511" s="3" t="s">
        <v>3136</v>
      </c>
      <c r="G511" s="3" t="s">
        <v>100</v>
      </c>
      <c r="H511" s="3" t="s">
        <v>44</v>
      </c>
      <c r="I511" s="3" t="s">
        <v>33</v>
      </c>
      <c r="J511" s="3" t="s">
        <v>41</v>
      </c>
      <c r="L511" s="1">
        <v>46038.725300925929</v>
      </c>
      <c r="M511" s="1">
        <v>46038.731863425928</v>
      </c>
      <c r="N511" s="1">
        <v>46041.416284722225</v>
      </c>
      <c r="O511" s="3" t="s">
        <v>43</v>
      </c>
      <c r="P511" s="3" t="s">
        <v>3138</v>
      </c>
      <c r="Q511" s="3" t="s">
        <v>42</v>
      </c>
      <c r="R511" s="3" t="s">
        <v>3137</v>
      </c>
      <c r="S511" s="3" t="s">
        <v>98</v>
      </c>
      <c r="T511" s="3" t="s">
        <v>97</v>
      </c>
      <c r="U511" s="4" t="b">
        <v>1</v>
      </c>
      <c r="V511" s="3" t="s">
        <v>31</v>
      </c>
      <c r="W511" s="1"/>
      <c r="Y511" s="3" t="s">
        <v>32</v>
      </c>
      <c r="Z511" s="3" t="s">
        <v>32</v>
      </c>
      <c r="AA511" s="3"/>
      <c r="AB511" s="3"/>
      <c r="AC511" s="4" t="s">
        <v>30</v>
      </c>
      <c r="AD511" s="3"/>
      <c r="AE511" s="3" t="s">
        <v>3138</v>
      </c>
      <c r="AF511" s="4" t="s">
        <v>30</v>
      </c>
      <c r="AH511" s="4">
        <v>3</v>
      </c>
      <c r="AI511" s="3" t="s">
        <v>3135</v>
      </c>
      <c r="AJ511" s="4"/>
      <c r="AK511" s="4"/>
      <c r="AL511" s="3"/>
    </row>
    <row r="512" spans="1:38" x14ac:dyDescent="0.35">
      <c r="A512" s="3" t="s">
        <v>3139</v>
      </c>
      <c r="B512" s="4" t="s">
        <v>3144</v>
      </c>
      <c r="C512" s="4">
        <f>VLOOKUP(A512, [1]Planilha1!$A$3:$B$1015,2,FALSE)</f>
        <v>0</v>
      </c>
      <c r="D512" s="4">
        <f t="shared" si="7"/>
        <v>0</v>
      </c>
      <c r="E512" s="4" t="s">
        <v>1125</v>
      </c>
      <c r="F512" s="3" t="s">
        <v>3141</v>
      </c>
      <c r="G512" s="3" t="s">
        <v>163</v>
      </c>
      <c r="H512" s="3" t="s">
        <v>163</v>
      </c>
      <c r="I512" s="3" t="s">
        <v>33</v>
      </c>
      <c r="J512" s="3" t="s">
        <v>60</v>
      </c>
      <c r="K512" s="3" t="s">
        <v>2854</v>
      </c>
      <c r="L512" s="1">
        <v>46038.715520833335</v>
      </c>
      <c r="M512" s="1">
        <v>46038.730324074073</v>
      </c>
      <c r="N512" s="1">
        <v>46041.75</v>
      </c>
      <c r="O512" s="3" t="s">
        <v>162</v>
      </c>
      <c r="P512" s="3" t="s">
        <v>3144</v>
      </c>
      <c r="Q512" s="3" t="s">
        <v>42</v>
      </c>
      <c r="R512" s="3" t="s">
        <v>3143</v>
      </c>
      <c r="S512" s="3" t="s">
        <v>120</v>
      </c>
      <c r="T512" s="3" t="s">
        <v>119</v>
      </c>
      <c r="U512" s="4" t="b">
        <v>1</v>
      </c>
      <c r="V512" s="3" t="s">
        <v>31</v>
      </c>
      <c r="W512" s="1"/>
      <c r="Y512" s="3" t="s">
        <v>32</v>
      </c>
      <c r="Z512" s="3" t="s">
        <v>32</v>
      </c>
      <c r="AA512" s="3"/>
      <c r="AB512" s="3"/>
      <c r="AC512" s="4" t="s">
        <v>30</v>
      </c>
      <c r="AD512" s="3"/>
      <c r="AE512" s="3" t="s">
        <v>3144</v>
      </c>
      <c r="AF512" s="4" t="s">
        <v>30</v>
      </c>
      <c r="AH512" s="4">
        <v>0</v>
      </c>
      <c r="AI512" s="3" t="s">
        <v>3140</v>
      </c>
      <c r="AJ512" s="4" t="s">
        <v>3142</v>
      </c>
      <c r="AK512" s="4"/>
      <c r="AL512" s="3"/>
    </row>
    <row r="513" spans="1:38" x14ac:dyDescent="0.35">
      <c r="A513" s="3" t="s">
        <v>3145</v>
      </c>
      <c r="B513" s="4" t="s">
        <v>3150</v>
      </c>
      <c r="C513" s="4">
        <f>VLOOKUP(A513, [1]Planilha1!$A$3:$B$1015,2,FALSE)</f>
        <v>0</v>
      </c>
      <c r="D513" s="4">
        <f t="shared" si="7"/>
        <v>0</v>
      </c>
      <c r="E513" s="4" t="s">
        <v>1125</v>
      </c>
      <c r="F513" s="3" t="s">
        <v>3148</v>
      </c>
      <c r="G513" s="3" t="s">
        <v>3146</v>
      </c>
      <c r="H513" s="3" t="s">
        <v>148</v>
      </c>
      <c r="I513" s="3" t="s">
        <v>33</v>
      </c>
      <c r="J513" s="3" t="s">
        <v>459</v>
      </c>
      <c r="L513" s="1">
        <v>46038.70721064815</v>
      </c>
      <c r="M513" s="1">
        <v>46038.716446759259</v>
      </c>
      <c r="N513" s="1">
        <v>46041.75</v>
      </c>
      <c r="O513" s="3" t="s">
        <v>147</v>
      </c>
      <c r="P513" s="3" t="s">
        <v>3150</v>
      </c>
      <c r="Q513" s="3" t="s">
        <v>35</v>
      </c>
      <c r="R513" s="3" t="s">
        <v>3149</v>
      </c>
      <c r="S513" s="3" t="s">
        <v>82</v>
      </c>
      <c r="T513" s="3" t="s">
        <v>81</v>
      </c>
      <c r="U513" s="4" t="b">
        <v>1</v>
      </c>
      <c r="V513" s="3" t="s">
        <v>31</v>
      </c>
      <c r="W513" s="1"/>
      <c r="Y513" s="3" t="s">
        <v>32</v>
      </c>
      <c r="Z513" s="3" t="s">
        <v>32</v>
      </c>
      <c r="AA513" s="3"/>
      <c r="AB513" s="3"/>
      <c r="AC513" s="4" t="s">
        <v>30</v>
      </c>
      <c r="AD513" s="3"/>
      <c r="AE513" s="3" t="s">
        <v>3150</v>
      </c>
      <c r="AF513" s="4" t="s">
        <v>30</v>
      </c>
      <c r="AH513" s="4">
        <v>0</v>
      </c>
      <c r="AI513" s="3" t="s">
        <v>3147</v>
      </c>
      <c r="AJ513" s="4" t="s">
        <v>5887</v>
      </c>
      <c r="AK513" s="4"/>
      <c r="AL513" s="3"/>
    </row>
    <row r="514" spans="1:38" x14ac:dyDescent="0.35">
      <c r="A514" s="3" t="s">
        <v>3151</v>
      </c>
      <c r="B514" s="4" t="s">
        <v>58</v>
      </c>
      <c r="C514" s="4">
        <f>VLOOKUP(A514, [1]Planilha1!$A$3:$B$1015,2,FALSE)</f>
        <v>19154</v>
      </c>
      <c r="D514" s="4">
        <f t="shared" si="7"/>
        <v>5.3205555555555559</v>
      </c>
      <c r="E514" s="4" t="s">
        <v>1125</v>
      </c>
      <c r="F514" s="3" t="s">
        <v>54</v>
      </c>
      <c r="G514" s="3" t="s">
        <v>3152</v>
      </c>
      <c r="H514" s="3" t="s">
        <v>154</v>
      </c>
      <c r="I514" s="3" t="s">
        <v>33</v>
      </c>
      <c r="J514" s="3" t="s">
        <v>152</v>
      </c>
      <c r="L514" s="1">
        <v>46038.707048611112</v>
      </c>
      <c r="M514" s="1">
        <v>46038.70894675926</v>
      </c>
      <c r="N514" s="1">
        <v>46043.698449074072</v>
      </c>
      <c r="O514" s="3" t="s">
        <v>153</v>
      </c>
      <c r="P514" s="3" t="s">
        <v>57</v>
      </c>
      <c r="Q514" s="3" t="s">
        <v>52</v>
      </c>
      <c r="R514" s="3" t="s">
        <v>56</v>
      </c>
      <c r="S514" s="3" t="s">
        <v>64</v>
      </c>
      <c r="T514" s="3" t="s">
        <v>63</v>
      </c>
      <c r="U514" s="4" t="b">
        <v>0</v>
      </c>
      <c r="V514" s="3" t="s">
        <v>28</v>
      </c>
      <c r="W514" s="1"/>
      <c r="Y514" s="3" t="s">
        <v>29</v>
      </c>
      <c r="Z514" s="3" t="s">
        <v>29</v>
      </c>
      <c r="AA514" s="3" t="s">
        <v>3154</v>
      </c>
      <c r="AB514" s="3" t="s">
        <v>58</v>
      </c>
      <c r="AC514" s="4" t="s">
        <v>30</v>
      </c>
      <c r="AD514" s="3" t="s">
        <v>59</v>
      </c>
      <c r="AE514" s="3" t="s">
        <v>57</v>
      </c>
      <c r="AF514" s="4" t="s">
        <v>30</v>
      </c>
      <c r="AH514" s="4">
        <v>3</v>
      </c>
      <c r="AI514" s="3" t="s">
        <v>3153</v>
      </c>
      <c r="AJ514" s="4" t="s">
        <v>55</v>
      </c>
      <c r="AK514" s="4" t="s">
        <v>3155</v>
      </c>
      <c r="AL514" s="3"/>
    </row>
    <row r="515" spans="1:38" x14ac:dyDescent="0.35">
      <c r="A515" s="3" t="s">
        <v>3156</v>
      </c>
      <c r="B515" s="4" t="s">
        <v>3162</v>
      </c>
      <c r="C515" s="4">
        <f>VLOOKUP(A515, [1]Planilha1!$A$3:$B$1015,2,FALSE)</f>
        <v>7329</v>
      </c>
      <c r="D515" s="4">
        <f t="shared" ref="D515:D578" si="8">C515/3600</f>
        <v>2.0358333333333332</v>
      </c>
      <c r="E515" s="4" t="s">
        <v>1125</v>
      </c>
      <c r="F515" s="3" t="s">
        <v>3159</v>
      </c>
      <c r="G515" s="3" t="s">
        <v>3157</v>
      </c>
      <c r="H515" s="3" t="s">
        <v>138</v>
      </c>
      <c r="I515" s="3" t="s">
        <v>33</v>
      </c>
      <c r="J515" s="3" t="s">
        <v>41</v>
      </c>
      <c r="K515" s="3" t="s">
        <v>818</v>
      </c>
      <c r="L515" s="1">
        <v>46038.695335648146</v>
      </c>
      <c r="M515" s="1">
        <v>46038.698773148149</v>
      </c>
      <c r="N515" s="1">
        <v>46041.75</v>
      </c>
      <c r="O515" s="3" t="s">
        <v>137</v>
      </c>
      <c r="P515" s="3" t="s">
        <v>3162</v>
      </c>
      <c r="Q515" s="3" t="s">
        <v>35</v>
      </c>
      <c r="R515" s="3" t="s">
        <v>3161</v>
      </c>
      <c r="S515" s="3" t="s">
        <v>64</v>
      </c>
      <c r="T515" s="3" t="s">
        <v>63</v>
      </c>
      <c r="U515" s="4" t="b">
        <v>1</v>
      </c>
      <c r="V515" s="3" t="s">
        <v>31</v>
      </c>
      <c r="W515" s="1"/>
      <c r="Y515" s="3" t="s">
        <v>32</v>
      </c>
      <c r="Z515" s="3" t="s">
        <v>32</v>
      </c>
      <c r="AA515" s="3"/>
      <c r="AB515" s="3"/>
      <c r="AC515" s="4" t="s">
        <v>30</v>
      </c>
      <c r="AD515" s="3"/>
      <c r="AE515" s="3" t="s">
        <v>3162</v>
      </c>
      <c r="AF515" s="4" t="s">
        <v>30</v>
      </c>
      <c r="AH515" s="4">
        <v>0</v>
      </c>
      <c r="AI515" s="3" t="s">
        <v>3158</v>
      </c>
      <c r="AJ515" s="4" t="s">
        <v>3160</v>
      </c>
      <c r="AK515" s="4"/>
      <c r="AL515" s="3"/>
    </row>
    <row r="516" spans="1:38" x14ac:dyDescent="0.35">
      <c r="A516" s="3" t="s">
        <v>3163</v>
      </c>
      <c r="B516" s="4" t="s">
        <v>58</v>
      </c>
      <c r="C516" s="4">
        <f>VLOOKUP(A516, [1]Planilha1!$A$3:$B$1015,2,FALSE)</f>
        <v>116</v>
      </c>
      <c r="D516" s="4">
        <f t="shared" si="8"/>
        <v>3.2222222222222222E-2</v>
      </c>
      <c r="E516" s="4" t="s">
        <v>1125</v>
      </c>
      <c r="F516" s="3" t="s">
        <v>54</v>
      </c>
      <c r="G516" s="3" t="s">
        <v>3157</v>
      </c>
      <c r="H516" s="3" t="s">
        <v>138</v>
      </c>
      <c r="I516" s="3" t="s">
        <v>33</v>
      </c>
      <c r="J516" s="3" t="s">
        <v>152</v>
      </c>
      <c r="K516" s="3" t="s">
        <v>3156</v>
      </c>
      <c r="L516" s="1">
        <v>46038.69085648148</v>
      </c>
      <c r="M516" s="1">
        <v>46038.694467592592</v>
      </c>
      <c r="N516" s="1">
        <v>46045.562905092593</v>
      </c>
      <c r="O516" s="3" t="s">
        <v>137</v>
      </c>
      <c r="P516" s="3" t="s">
        <v>57</v>
      </c>
      <c r="Q516" s="3" t="s">
        <v>35</v>
      </c>
      <c r="R516" s="3" t="s">
        <v>56</v>
      </c>
      <c r="S516" s="3" t="s">
        <v>64</v>
      </c>
      <c r="T516" s="3" t="s">
        <v>63</v>
      </c>
      <c r="U516" s="4" t="b">
        <v>0</v>
      </c>
      <c r="V516" s="3" t="s">
        <v>28</v>
      </c>
      <c r="W516" s="1"/>
      <c r="Y516" s="3" t="s">
        <v>29</v>
      </c>
      <c r="Z516" s="3" t="s">
        <v>29</v>
      </c>
      <c r="AA516" s="3" t="s">
        <v>996</v>
      </c>
      <c r="AB516" s="3" t="s">
        <v>58</v>
      </c>
      <c r="AC516" s="4" t="s">
        <v>30</v>
      </c>
      <c r="AD516" s="3" t="s">
        <v>59</v>
      </c>
      <c r="AE516" s="3" t="s">
        <v>57</v>
      </c>
      <c r="AF516" s="4" t="s">
        <v>30</v>
      </c>
      <c r="AH516" s="4">
        <v>0</v>
      </c>
      <c r="AI516" s="3" t="s">
        <v>3164</v>
      </c>
      <c r="AJ516" s="4" t="s">
        <v>55</v>
      </c>
      <c r="AK516" s="4" t="s">
        <v>997</v>
      </c>
      <c r="AL516" s="3"/>
    </row>
    <row r="517" spans="1:38" x14ac:dyDescent="0.35">
      <c r="A517" s="3" t="s">
        <v>3165</v>
      </c>
      <c r="B517" s="4" t="s">
        <v>207</v>
      </c>
      <c r="C517" s="4">
        <f>VLOOKUP(A517, [1]Planilha1!$A$3:$B$1015,2,FALSE)</f>
        <v>17878</v>
      </c>
      <c r="D517" s="4">
        <f t="shared" si="8"/>
        <v>4.9661111111111111</v>
      </c>
      <c r="E517" s="4" t="s">
        <v>1125</v>
      </c>
      <c r="F517" s="3" t="s">
        <v>204</v>
      </c>
      <c r="G517" s="3" t="s">
        <v>3166</v>
      </c>
      <c r="H517" s="3" t="s">
        <v>44</v>
      </c>
      <c r="I517" s="3" t="s">
        <v>33</v>
      </c>
      <c r="J517" s="3" t="s">
        <v>41</v>
      </c>
      <c r="L517" s="1">
        <v>46038.682395833333</v>
      </c>
      <c r="M517" s="1">
        <v>46038.68855324074</v>
      </c>
      <c r="N517" s="1">
        <v>46041.417013888888</v>
      </c>
      <c r="O517" s="3" t="s">
        <v>43</v>
      </c>
      <c r="P517" s="3" t="s">
        <v>207</v>
      </c>
      <c r="Q517" s="3" t="s">
        <v>42</v>
      </c>
      <c r="R517" s="3" t="s">
        <v>206</v>
      </c>
      <c r="S517" s="3" t="s">
        <v>62</v>
      </c>
      <c r="T517" s="3" t="s">
        <v>61</v>
      </c>
      <c r="U517" s="4" t="b">
        <v>1</v>
      </c>
      <c r="V517" s="3" t="s">
        <v>31</v>
      </c>
      <c r="W517" s="1"/>
      <c r="Y517" s="3" t="s">
        <v>32</v>
      </c>
      <c r="Z517" s="3" t="s">
        <v>32</v>
      </c>
      <c r="AA517" s="3"/>
      <c r="AB517" s="3"/>
      <c r="AC517" s="4" t="s">
        <v>30</v>
      </c>
      <c r="AD517" s="3"/>
      <c r="AE517" s="3" t="s">
        <v>207</v>
      </c>
      <c r="AF517" s="4" t="s">
        <v>30</v>
      </c>
      <c r="AH517" s="4">
        <v>3</v>
      </c>
      <c r="AI517" s="3" t="s">
        <v>3167</v>
      </c>
      <c r="AJ517" s="4" t="s">
        <v>205</v>
      </c>
      <c r="AK517" s="4"/>
      <c r="AL517" s="3"/>
    </row>
    <row r="518" spans="1:38" x14ac:dyDescent="0.35">
      <c r="A518" s="3" t="s">
        <v>3168</v>
      </c>
      <c r="B518" s="4" t="s">
        <v>3174</v>
      </c>
      <c r="C518" s="4">
        <f>VLOOKUP(A518, [1]Planilha1!$A$3:$B$1015,2,FALSE)</f>
        <v>0</v>
      </c>
      <c r="D518" s="4">
        <f t="shared" si="8"/>
        <v>0</v>
      </c>
      <c r="E518" s="4" t="s">
        <v>1125</v>
      </c>
      <c r="F518" s="3" t="s">
        <v>3171</v>
      </c>
      <c r="G518" s="3" t="s">
        <v>3169</v>
      </c>
      <c r="H518" s="3" t="s">
        <v>42</v>
      </c>
      <c r="I518" s="3" t="s">
        <v>33</v>
      </c>
      <c r="J518" s="3" t="s">
        <v>459</v>
      </c>
      <c r="L518" s="1">
        <v>46038.679386574076</v>
      </c>
      <c r="M518" s="1">
        <v>46038.69059027778</v>
      </c>
      <c r="N518" s="1">
        <v>46041.708333333336</v>
      </c>
      <c r="O518" s="3" t="s">
        <v>1079</v>
      </c>
      <c r="P518" s="3" t="s">
        <v>3174</v>
      </c>
      <c r="Q518" s="3" t="s">
        <v>35</v>
      </c>
      <c r="R518" s="3" t="s">
        <v>3173</v>
      </c>
      <c r="S518" s="3" t="s">
        <v>82</v>
      </c>
      <c r="T518" s="3" t="s">
        <v>81</v>
      </c>
      <c r="U518" s="4" t="b">
        <v>1</v>
      </c>
      <c r="V518" s="3" t="s">
        <v>31</v>
      </c>
      <c r="W518" s="1"/>
      <c r="Y518" s="3" t="s">
        <v>32</v>
      </c>
      <c r="Z518" s="3" t="s">
        <v>32</v>
      </c>
      <c r="AA518" s="3"/>
      <c r="AB518" s="3"/>
      <c r="AC518" s="4" t="s">
        <v>30</v>
      </c>
      <c r="AD518" s="3"/>
      <c r="AE518" s="3" t="s">
        <v>3174</v>
      </c>
      <c r="AF518" s="4" t="s">
        <v>30</v>
      </c>
      <c r="AH518" s="4">
        <v>0</v>
      </c>
      <c r="AI518" s="3" t="s">
        <v>3170</v>
      </c>
      <c r="AJ518" s="4" t="s">
        <v>3172</v>
      </c>
      <c r="AK518" s="4"/>
      <c r="AL518" s="3"/>
    </row>
    <row r="519" spans="1:38" x14ac:dyDescent="0.35">
      <c r="A519" s="3" t="s">
        <v>3175</v>
      </c>
      <c r="B519" s="4" t="s">
        <v>3181</v>
      </c>
      <c r="C519" s="4">
        <f>VLOOKUP(A519, [1]Planilha1!$A$3:$B$1015,2,FALSE)</f>
        <v>0</v>
      </c>
      <c r="D519" s="4">
        <f t="shared" si="8"/>
        <v>0</v>
      </c>
      <c r="E519" s="4" t="s">
        <v>1125</v>
      </c>
      <c r="F519" s="3" t="s">
        <v>3179</v>
      </c>
      <c r="G519" s="3" t="s">
        <v>3176</v>
      </c>
      <c r="H519" s="3" t="s">
        <v>126</v>
      </c>
      <c r="I519" s="3" t="s">
        <v>33</v>
      </c>
      <c r="J519" s="3" t="s">
        <v>60</v>
      </c>
      <c r="K519" s="3" t="s">
        <v>3178</v>
      </c>
      <c r="L519" s="1">
        <v>46038.675787037035</v>
      </c>
      <c r="M519" s="1">
        <v>46038.69027777778</v>
      </c>
      <c r="N519" s="1">
        <v>46041.708333333336</v>
      </c>
      <c r="O519" s="3" t="s">
        <v>125</v>
      </c>
      <c r="P519" s="3" t="s">
        <v>3181</v>
      </c>
      <c r="Q519" s="3" t="s">
        <v>42</v>
      </c>
      <c r="R519" s="3" t="s">
        <v>3180</v>
      </c>
      <c r="S519" s="3" t="s">
        <v>120</v>
      </c>
      <c r="T519" s="3" t="s">
        <v>119</v>
      </c>
      <c r="U519" s="4" t="b">
        <v>1</v>
      </c>
      <c r="V519" s="3" t="s">
        <v>31</v>
      </c>
      <c r="W519" s="1"/>
      <c r="Y519" s="3" t="s">
        <v>32</v>
      </c>
      <c r="Z519" s="3" t="s">
        <v>32</v>
      </c>
      <c r="AA519" s="3"/>
      <c r="AB519" s="3"/>
      <c r="AC519" s="4" t="s">
        <v>30</v>
      </c>
      <c r="AD519" s="3"/>
      <c r="AE519" s="3" t="s">
        <v>3181</v>
      </c>
      <c r="AF519" s="4" t="s">
        <v>30</v>
      </c>
      <c r="AH519" s="4">
        <v>0</v>
      </c>
      <c r="AI519" s="3" t="s">
        <v>3177</v>
      </c>
      <c r="AJ519" s="4" t="s">
        <v>5888</v>
      </c>
      <c r="AK519" s="4"/>
      <c r="AL519" s="3"/>
    </row>
    <row r="520" spans="1:38" x14ac:dyDescent="0.35">
      <c r="A520" s="3" t="s">
        <v>3182</v>
      </c>
      <c r="B520" s="4" t="s">
        <v>3187</v>
      </c>
      <c r="C520" s="4">
        <f>VLOOKUP(A520, [1]Planilha1!$A$3:$B$1015,2,FALSE)</f>
        <v>1808</v>
      </c>
      <c r="D520" s="4">
        <f t="shared" si="8"/>
        <v>0.50222222222222224</v>
      </c>
      <c r="E520" s="4" t="s">
        <v>1125</v>
      </c>
      <c r="F520" s="3" t="s">
        <v>3184</v>
      </c>
      <c r="G520" s="3" t="s">
        <v>74</v>
      </c>
      <c r="H520" s="3" t="s">
        <v>44</v>
      </c>
      <c r="I520" s="3" t="s">
        <v>33</v>
      </c>
      <c r="J520" s="3" t="s">
        <v>41</v>
      </c>
      <c r="L520" s="1">
        <v>46038.666608796295</v>
      </c>
      <c r="M520" s="1">
        <v>46038.667905092596</v>
      </c>
      <c r="N520" s="1">
        <v>46038.678368055553</v>
      </c>
      <c r="O520" s="3" t="s">
        <v>43</v>
      </c>
      <c r="P520" s="3" t="s">
        <v>3187</v>
      </c>
      <c r="Q520" s="3" t="s">
        <v>42</v>
      </c>
      <c r="R520" s="3" t="s">
        <v>3186</v>
      </c>
      <c r="S520" s="3" t="s">
        <v>80</v>
      </c>
      <c r="T520" s="3" t="s">
        <v>79</v>
      </c>
      <c r="U520" s="4" t="b">
        <v>1</v>
      </c>
      <c r="V520" s="3" t="s">
        <v>31</v>
      </c>
      <c r="W520" s="1"/>
      <c r="Y520" s="3" t="s">
        <v>32</v>
      </c>
      <c r="Z520" s="3" t="s">
        <v>32</v>
      </c>
      <c r="AA520" s="3"/>
      <c r="AB520" s="3"/>
      <c r="AC520" s="4" t="s">
        <v>30</v>
      </c>
      <c r="AD520" s="3"/>
      <c r="AE520" s="3" t="s">
        <v>3187</v>
      </c>
      <c r="AF520" s="4" t="s">
        <v>30</v>
      </c>
      <c r="AH520" s="4">
        <v>1</v>
      </c>
      <c r="AI520" s="3" t="s">
        <v>3183</v>
      </c>
      <c r="AJ520" s="4" t="s">
        <v>3185</v>
      </c>
      <c r="AK520" s="4"/>
      <c r="AL520" s="3"/>
    </row>
    <row r="521" spans="1:38" x14ac:dyDescent="0.35">
      <c r="A521" s="3" t="s">
        <v>3188</v>
      </c>
      <c r="B521" s="4" t="s">
        <v>3193</v>
      </c>
      <c r="C521" s="4">
        <f>VLOOKUP(A521, [1]Planilha1!$A$3:$B$1015,2,FALSE)</f>
        <v>0</v>
      </c>
      <c r="D521" s="4">
        <f t="shared" si="8"/>
        <v>0</v>
      </c>
      <c r="E521" s="4" t="s">
        <v>1125</v>
      </c>
      <c r="F521" s="3" t="s">
        <v>3191</v>
      </c>
      <c r="G521" s="3" t="s">
        <v>1458</v>
      </c>
      <c r="H521" s="3" t="s">
        <v>727</v>
      </c>
      <c r="I521" s="3" t="s">
        <v>33</v>
      </c>
      <c r="J521" s="3" t="s">
        <v>60</v>
      </c>
      <c r="K521" s="3" t="s">
        <v>3190</v>
      </c>
      <c r="L521" s="1">
        <v>46038.659456018519</v>
      </c>
      <c r="M521" s="1">
        <v>46038.664421296293</v>
      </c>
      <c r="N521" s="1">
        <v>46041.666678240741</v>
      </c>
      <c r="O521" s="3" t="s">
        <v>726</v>
      </c>
      <c r="P521" s="3" t="s">
        <v>3193</v>
      </c>
      <c r="Q521" s="3" t="s">
        <v>35</v>
      </c>
      <c r="R521" s="3" t="s">
        <v>3192</v>
      </c>
      <c r="S521" s="3" t="s">
        <v>144</v>
      </c>
      <c r="T521" s="3" t="s">
        <v>143</v>
      </c>
      <c r="U521" s="4" t="b">
        <v>1</v>
      </c>
      <c r="V521" s="3" t="s">
        <v>31</v>
      </c>
      <c r="W521" s="1"/>
      <c r="Y521" s="3" t="s">
        <v>32</v>
      </c>
      <c r="Z521" s="3" t="s">
        <v>32</v>
      </c>
      <c r="AA521" s="3"/>
      <c r="AB521" s="3"/>
      <c r="AC521" s="4" t="s">
        <v>30</v>
      </c>
      <c r="AD521" s="3"/>
      <c r="AE521" s="3" t="s">
        <v>3193</v>
      </c>
      <c r="AF521" s="4" t="s">
        <v>30</v>
      </c>
      <c r="AH521" s="4">
        <v>0</v>
      </c>
      <c r="AI521" s="3" t="s">
        <v>3189</v>
      </c>
      <c r="AJ521" s="4">
        <v>967594375</v>
      </c>
      <c r="AK521" s="4"/>
      <c r="AL521" s="3"/>
    </row>
    <row r="522" spans="1:38" x14ac:dyDescent="0.35">
      <c r="A522" s="3" t="s">
        <v>3194</v>
      </c>
      <c r="B522" s="4"/>
      <c r="C522" s="4">
        <f>VLOOKUP(A522, [1]Planilha1!$A$3:$B$1015,2,FALSE)</f>
        <v>1374</v>
      </c>
      <c r="D522" s="4">
        <f t="shared" si="8"/>
        <v>0.38166666666666665</v>
      </c>
      <c r="E522" s="4" t="s">
        <v>1125</v>
      </c>
      <c r="F522" s="3" t="s">
        <v>49</v>
      </c>
      <c r="G522" s="3" t="s">
        <v>3195</v>
      </c>
      <c r="H522" s="3" t="s">
        <v>44</v>
      </c>
      <c r="I522" s="3" t="s">
        <v>33</v>
      </c>
      <c r="J522" s="3" t="s">
        <v>60</v>
      </c>
      <c r="K522" s="3" t="s">
        <v>3196</v>
      </c>
      <c r="L522" s="1">
        <v>46038.647083333337</v>
      </c>
      <c r="M522" s="1">
        <v>46038.647083333337</v>
      </c>
      <c r="N522" s="1">
        <v>46041.666678240741</v>
      </c>
      <c r="O522" s="3" t="s">
        <v>43</v>
      </c>
      <c r="Q522" s="3" t="s">
        <v>42</v>
      </c>
      <c r="R522" s="3" t="s">
        <v>51</v>
      </c>
      <c r="S522" s="3" t="s">
        <v>37</v>
      </c>
      <c r="T522" s="3" t="s">
        <v>36</v>
      </c>
      <c r="U522" s="4" t="b">
        <v>1</v>
      </c>
      <c r="V522" s="3" t="s">
        <v>28</v>
      </c>
      <c r="W522" s="1"/>
      <c r="Y522" s="3" t="s">
        <v>29</v>
      </c>
      <c r="Z522" s="3" t="s">
        <v>29</v>
      </c>
      <c r="AA522" s="3"/>
      <c r="AB522" s="3"/>
      <c r="AC522" s="4" t="s">
        <v>30</v>
      </c>
      <c r="AD522" s="3"/>
      <c r="AE522" s="3"/>
      <c r="AF522" s="4" t="s">
        <v>30</v>
      </c>
      <c r="AH522" s="4">
        <v>0</v>
      </c>
      <c r="AI522" s="3" t="s">
        <v>2054</v>
      </c>
      <c r="AJ522" s="4" t="s">
        <v>50</v>
      </c>
      <c r="AK522" s="4"/>
      <c r="AL522" s="3"/>
    </row>
    <row r="523" spans="1:38" x14ac:dyDescent="0.35">
      <c r="A523" s="3" t="s">
        <v>3197</v>
      </c>
      <c r="B523" s="4" t="s">
        <v>3203</v>
      </c>
      <c r="C523" s="4">
        <f>VLOOKUP(A523, [1]Planilha1!$A$3:$B$1015,2,FALSE)</f>
        <v>778</v>
      </c>
      <c r="D523" s="4">
        <f t="shared" si="8"/>
        <v>0.21611111111111111</v>
      </c>
      <c r="E523" s="4" t="s">
        <v>1125</v>
      </c>
      <c r="F523" s="3" t="s">
        <v>3200</v>
      </c>
      <c r="G523" s="3" t="s">
        <v>3198</v>
      </c>
      <c r="H523" s="3" t="s">
        <v>457</v>
      </c>
      <c r="I523" s="3" t="s">
        <v>33</v>
      </c>
      <c r="J523" s="3" t="s">
        <v>60</v>
      </c>
      <c r="L523" s="1">
        <v>46038.644918981481</v>
      </c>
      <c r="M523" s="1">
        <v>46038.644918981481</v>
      </c>
      <c r="N523" s="1">
        <v>46041.666678240741</v>
      </c>
      <c r="O523" s="3" t="s">
        <v>460</v>
      </c>
      <c r="P523" s="3" t="s">
        <v>3203</v>
      </c>
      <c r="Q523" s="3" t="s">
        <v>35</v>
      </c>
      <c r="R523" s="3" t="s">
        <v>3202</v>
      </c>
      <c r="S523" s="3" t="s">
        <v>37</v>
      </c>
      <c r="T523" s="3" t="s">
        <v>36</v>
      </c>
      <c r="U523" s="4" t="b">
        <v>1</v>
      </c>
      <c r="V523" s="3" t="s">
        <v>28</v>
      </c>
      <c r="W523" s="1"/>
      <c r="Y523" s="3" t="s">
        <v>29</v>
      </c>
      <c r="Z523" s="3" t="s">
        <v>29</v>
      </c>
      <c r="AA523" s="3"/>
      <c r="AB523" s="3"/>
      <c r="AC523" s="4" t="s">
        <v>30</v>
      </c>
      <c r="AD523" s="3"/>
      <c r="AE523" s="3" t="s">
        <v>3203</v>
      </c>
      <c r="AF523" s="4" t="s">
        <v>30</v>
      </c>
      <c r="AH523" s="4">
        <v>0</v>
      </c>
      <c r="AI523" s="3" t="s">
        <v>3199</v>
      </c>
      <c r="AJ523" s="4" t="s">
        <v>3201</v>
      </c>
      <c r="AK523" s="4"/>
      <c r="AL523" s="3"/>
    </row>
    <row r="524" spans="1:38" x14ac:dyDescent="0.35">
      <c r="A524" s="3" t="s">
        <v>3204</v>
      </c>
      <c r="B524" s="4" t="s">
        <v>2505</v>
      </c>
      <c r="C524" s="4">
        <f>VLOOKUP(A524, [1]Planilha1!$A$3:$B$1015,2,FALSE)</f>
        <v>2422</v>
      </c>
      <c r="D524" s="4">
        <f t="shared" si="8"/>
        <v>0.67277777777777781</v>
      </c>
      <c r="E524" s="4" t="s">
        <v>1125</v>
      </c>
      <c r="F524" s="3" t="s">
        <v>2503</v>
      </c>
      <c r="G524" s="3" t="s">
        <v>214</v>
      </c>
      <c r="H524" s="3" t="s">
        <v>44</v>
      </c>
      <c r="I524" s="3" t="s">
        <v>33</v>
      </c>
      <c r="J524" s="3" t="s">
        <v>41</v>
      </c>
      <c r="K524" s="3" t="s">
        <v>3206</v>
      </c>
      <c r="L524" s="1">
        <v>46038.63622685185</v>
      </c>
      <c r="M524" s="1">
        <v>46038.652268518519</v>
      </c>
      <c r="N524" s="1">
        <v>46038.666284722225</v>
      </c>
      <c r="O524" s="3" t="s">
        <v>43</v>
      </c>
      <c r="P524" s="3" t="s">
        <v>2505</v>
      </c>
      <c r="Q524" s="3" t="s">
        <v>42</v>
      </c>
      <c r="R524" s="3" t="s">
        <v>2504</v>
      </c>
      <c r="S524" s="3" t="s">
        <v>144</v>
      </c>
      <c r="T524" s="3" t="s">
        <v>143</v>
      </c>
      <c r="U524" s="4" t="b">
        <v>1</v>
      </c>
      <c r="V524" s="3" t="s">
        <v>31</v>
      </c>
      <c r="W524" s="1"/>
      <c r="Y524" s="3" t="s">
        <v>32</v>
      </c>
      <c r="Z524" s="3" t="s">
        <v>32</v>
      </c>
      <c r="AA524" s="3"/>
      <c r="AB524" s="3"/>
      <c r="AC524" s="4" t="s">
        <v>30</v>
      </c>
      <c r="AD524" s="3"/>
      <c r="AE524" s="3" t="s">
        <v>2505</v>
      </c>
      <c r="AF524" s="4" t="s">
        <v>30</v>
      </c>
      <c r="AH524" s="4">
        <v>1</v>
      </c>
      <c r="AI524" s="3" t="s">
        <v>3205</v>
      </c>
      <c r="AJ524" s="4" t="s">
        <v>5869</v>
      </c>
      <c r="AK524" s="4"/>
      <c r="AL524" s="3"/>
    </row>
    <row r="525" spans="1:38" x14ac:dyDescent="0.35">
      <c r="A525" s="3" t="s">
        <v>3207</v>
      </c>
      <c r="B525" s="4" t="s">
        <v>559</v>
      </c>
      <c r="C525" s="4">
        <f>VLOOKUP(A525, [1]Planilha1!$A$3:$B$1015,2,FALSE)</f>
        <v>0</v>
      </c>
      <c r="D525" s="4">
        <f t="shared" si="8"/>
        <v>0</v>
      </c>
      <c r="E525" s="4" t="s">
        <v>1125</v>
      </c>
      <c r="F525" s="3" t="s">
        <v>556</v>
      </c>
      <c r="G525" s="3" t="s">
        <v>214</v>
      </c>
      <c r="H525" s="3" t="s">
        <v>44</v>
      </c>
      <c r="I525" s="3" t="s">
        <v>33</v>
      </c>
      <c r="J525" s="3" t="s">
        <v>60</v>
      </c>
      <c r="K525" s="3" t="s">
        <v>3209</v>
      </c>
      <c r="L525" s="1">
        <v>46038.595034722224</v>
      </c>
      <c r="M525" s="1">
        <v>46038.62736111111</v>
      </c>
      <c r="N525" s="1">
        <v>46041.666678240741</v>
      </c>
      <c r="O525" s="3" t="s">
        <v>43</v>
      </c>
      <c r="P525" s="3" t="s">
        <v>559</v>
      </c>
      <c r="Q525" s="3" t="s">
        <v>35</v>
      </c>
      <c r="R525" s="3" t="s">
        <v>558</v>
      </c>
      <c r="S525" s="3" t="s">
        <v>144</v>
      </c>
      <c r="T525" s="3" t="s">
        <v>143</v>
      </c>
      <c r="U525" s="4" t="b">
        <v>1</v>
      </c>
      <c r="V525" s="3" t="s">
        <v>31</v>
      </c>
      <c r="W525" s="1"/>
      <c r="Y525" s="3" t="s">
        <v>32</v>
      </c>
      <c r="Z525" s="3" t="s">
        <v>32</v>
      </c>
      <c r="AA525" s="3"/>
      <c r="AB525" s="3"/>
      <c r="AC525" s="4" t="s">
        <v>30</v>
      </c>
      <c r="AD525" s="3"/>
      <c r="AE525" s="3" t="s">
        <v>559</v>
      </c>
      <c r="AF525" s="4" t="s">
        <v>30</v>
      </c>
      <c r="AH525" s="4">
        <v>0</v>
      </c>
      <c r="AI525" s="3" t="s">
        <v>3208</v>
      </c>
      <c r="AJ525" s="4" t="s">
        <v>557</v>
      </c>
      <c r="AK525" s="4"/>
      <c r="AL525" s="3"/>
    </row>
    <row r="526" spans="1:38" x14ac:dyDescent="0.35">
      <c r="A526" s="3" t="s">
        <v>3210</v>
      </c>
      <c r="B526" s="4" t="s">
        <v>3216</v>
      </c>
      <c r="C526" s="4">
        <f>VLOOKUP(A526, [1]Planilha1!$A$3:$B$1015,2,FALSE)</f>
        <v>0</v>
      </c>
      <c r="D526" s="4">
        <f t="shared" si="8"/>
        <v>0</v>
      </c>
      <c r="E526" s="4" t="s">
        <v>1125</v>
      </c>
      <c r="F526" s="3" t="s">
        <v>3213</v>
      </c>
      <c r="G526" s="3" t="s">
        <v>214</v>
      </c>
      <c r="H526" s="3" t="s">
        <v>44</v>
      </c>
      <c r="I526" s="3" t="s">
        <v>33</v>
      </c>
      <c r="J526" s="3" t="s">
        <v>60</v>
      </c>
      <c r="K526" s="3" t="s">
        <v>3212</v>
      </c>
      <c r="L526" s="1">
        <v>46038.574374999997</v>
      </c>
      <c r="M526" s="1">
        <v>46038.592986111114</v>
      </c>
      <c r="N526" s="1">
        <v>46041.625</v>
      </c>
      <c r="O526" s="3" t="s">
        <v>43</v>
      </c>
      <c r="P526" s="3" t="s">
        <v>3216</v>
      </c>
      <c r="Q526" s="3" t="s">
        <v>35</v>
      </c>
      <c r="R526" s="3" t="s">
        <v>3215</v>
      </c>
      <c r="S526" s="3" t="s">
        <v>144</v>
      </c>
      <c r="T526" s="3" t="s">
        <v>143</v>
      </c>
      <c r="U526" s="4" t="b">
        <v>1</v>
      </c>
      <c r="V526" s="3" t="s">
        <v>31</v>
      </c>
      <c r="W526" s="1"/>
      <c r="Y526" s="3" t="s">
        <v>32</v>
      </c>
      <c r="Z526" s="3" t="s">
        <v>32</v>
      </c>
      <c r="AA526" s="3"/>
      <c r="AB526" s="3"/>
      <c r="AC526" s="4" t="s">
        <v>30</v>
      </c>
      <c r="AD526" s="3"/>
      <c r="AE526" s="3" t="s">
        <v>3216</v>
      </c>
      <c r="AF526" s="4" t="s">
        <v>30</v>
      </c>
      <c r="AH526" s="4">
        <v>0</v>
      </c>
      <c r="AI526" s="3" t="s">
        <v>3211</v>
      </c>
      <c r="AJ526" s="4" t="s">
        <v>3214</v>
      </c>
      <c r="AK526" s="4"/>
      <c r="AL526" s="3"/>
    </row>
    <row r="527" spans="1:38" x14ac:dyDescent="0.35">
      <c r="A527" s="3" t="s">
        <v>3217</v>
      </c>
      <c r="B527" s="4" t="s">
        <v>3150</v>
      </c>
      <c r="C527" s="4">
        <f>VLOOKUP(A527, [1]Planilha1!$A$3:$B$1015,2,FALSE)</f>
        <v>733</v>
      </c>
      <c r="D527" s="4">
        <f t="shared" si="8"/>
        <v>0.2036111111111111</v>
      </c>
      <c r="E527" s="4" t="s">
        <v>1125</v>
      </c>
      <c r="F527" s="3" t="s">
        <v>3148</v>
      </c>
      <c r="G527" s="3" t="s">
        <v>1005</v>
      </c>
      <c r="H527" s="3" t="s">
        <v>1005</v>
      </c>
      <c r="I527" s="3" t="s">
        <v>33</v>
      </c>
      <c r="J527" s="3" t="s">
        <v>41</v>
      </c>
      <c r="L527" s="1">
        <v>46038.571736111109</v>
      </c>
      <c r="M527" s="1">
        <v>46038.581747685188</v>
      </c>
      <c r="N527" s="1">
        <v>46038.590231481481</v>
      </c>
      <c r="O527" s="3" t="s">
        <v>3219</v>
      </c>
      <c r="P527" s="3" t="s">
        <v>3150</v>
      </c>
      <c r="Q527" s="3" t="s">
        <v>42</v>
      </c>
      <c r="R527" s="3" t="s">
        <v>3149</v>
      </c>
      <c r="S527" s="3" t="s">
        <v>708</v>
      </c>
      <c r="T527" s="3" t="s">
        <v>707</v>
      </c>
      <c r="U527" s="4" t="b">
        <v>1</v>
      </c>
      <c r="V527" s="3" t="s">
        <v>31</v>
      </c>
      <c r="W527" s="1"/>
      <c r="Y527" s="3" t="s">
        <v>32</v>
      </c>
      <c r="Z527" s="3" t="s">
        <v>32</v>
      </c>
      <c r="AA527" s="3"/>
      <c r="AB527" s="3"/>
      <c r="AC527" s="4" t="s">
        <v>30</v>
      </c>
      <c r="AD527" s="3"/>
      <c r="AE527" s="3" t="s">
        <v>3150</v>
      </c>
      <c r="AF527" s="4" t="s">
        <v>30</v>
      </c>
      <c r="AH527" s="4">
        <v>2</v>
      </c>
      <c r="AI527" s="3" t="s">
        <v>3218</v>
      </c>
      <c r="AJ527" s="4" t="s">
        <v>5887</v>
      </c>
      <c r="AK527" s="4"/>
      <c r="AL527" s="3"/>
    </row>
    <row r="528" spans="1:38" x14ac:dyDescent="0.35">
      <c r="A528" s="3" t="s">
        <v>3220</v>
      </c>
      <c r="B528" s="4" t="s">
        <v>3226</v>
      </c>
      <c r="C528" s="4">
        <f>VLOOKUP(A528, [1]Planilha1!$A$3:$B$1015,2,FALSE)</f>
        <v>0</v>
      </c>
      <c r="D528" s="4">
        <f t="shared" si="8"/>
        <v>0</v>
      </c>
      <c r="E528" s="4" t="s">
        <v>1125</v>
      </c>
      <c r="F528" s="3" t="s">
        <v>3223</v>
      </c>
      <c r="G528" s="3" t="s">
        <v>1208</v>
      </c>
      <c r="H528" s="3" t="s">
        <v>428</v>
      </c>
      <c r="I528" s="3" t="s">
        <v>33</v>
      </c>
      <c r="J528" s="3" t="s">
        <v>60</v>
      </c>
      <c r="K528" s="3" t="s">
        <v>3222</v>
      </c>
      <c r="L528" s="1">
        <v>46038.563171296293</v>
      </c>
      <c r="M528" s="1">
        <v>46038.571157407408</v>
      </c>
      <c r="N528" s="1">
        <v>46041.583344907405</v>
      </c>
      <c r="O528" s="3" t="s">
        <v>427</v>
      </c>
      <c r="P528" s="3" t="s">
        <v>3226</v>
      </c>
      <c r="Q528" s="3" t="s">
        <v>35</v>
      </c>
      <c r="R528" s="3" t="s">
        <v>3225</v>
      </c>
      <c r="S528" s="3" t="s">
        <v>144</v>
      </c>
      <c r="T528" s="3" t="s">
        <v>143</v>
      </c>
      <c r="U528" s="4" t="b">
        <v>1</v>
      </c>
      <c r="V528" s="3" t="s">
        <v>31</v>
      </c>
      <c r="W528" s="1"/>
      <c r="Y528" s="3" t="s">
        <v>32</v>
      </c>
      <c r="Z528" s="3" t="s">
        <v>32</v>
      </c>
      <c r="AA528" s="3"/>
      <c r="AB528" s="3"/>
      <c r="AC528" s="4" t="s">
        <v>30</v>
      </c>
      <c r="AD528" s="3"/>
      <c r="AE528" s="3" t="s">
        <v>3226</v>
      </c>
      <c r="AF528" s="4" t="s">
        <v>30</v>
      </c>
      <c r="AH528" s="4">
        <v>0</v>
      </c>
      <c r="AI528" s="3" t="s">
        <v>3221</v>
      </c>
      <c r="AJ528" s="4" t="s">
        <v>3224</v>
      </c>
      <c r="AK528" s="4"/>
      <c r="AL528" s="3"/>
    </row>
    <row r="529" spans="1:38" x14ac:dyDescent="0.35">
      <c r="A529" s="3" t="s">
        <v>3227</v>
      </c>
      <c r="B529" s="4" t="s">
        <v>94</v>
      </c>
      <c r="C529" s="4">
        <f>VLOOKUP(A529, [1]Planilha1!$A$3:$B$1015,2,FALSE)</f>
        <v>0</v>
      </c>
      <c r="D529" s="4">
        <f t="shared" si="8"/>
        <v>0</v>
      </c>
      <c r="E529" s="4" t="s">
        <v>1125</v>
      </c>
      <c r="F529" s="3" t="s">
        <v>92</v>
      </c>
      <c r="G529" s="3" t="s">
        <v>3228</v>
      </c>
      <c r="H529" s="3" t="s">
        <v>44</v>
      </c>
      <c r="I529" s="3" t="s">
        <v>33</v>
      </c>
      <c r="J529" s="3" t="s">
        <v>60</v>
      </c>
      <c r="L529" s="1">
        <v>46038.560185185182</v>
      </c>
      <c r="M529" s="1">
        <v>46038.569062499999</v>
      </c>
      <c r="N529" s="1">
        <v>46041.583344907405</v>
      </c>
      <c r="O529" s="3" t="s">
        <v>43</v>
      </c>
      <c r="P529" s="3" t="s">
        <v>94</v>
      </c>
      <c r="Q529" s="3" t="s">
        <v>35</v>
      </c>
      <c r="R529" s="3" t="s">
        <v>93</v>
      </c>
      <c r="S529" s="3" t="s">
        <v>190</v>
      </c>
      <c r="T529" s="3" t="s">
        <v>189</v>
      </c>
      <c r="U529" s="4" t="b">
        <v>1</v>
      </c>
      <c r="V529" s="3" t="s">
        <v>31</v>
      </c>
      <c r="W529" s="1"/>
      <c r="Y529" s="3" t="s">
        <v>32</v>
      </c>
      <c r="Z529" s="3" t="s">
        <v>32</v>
      </c>
      <c r="AA529" s="3"/>
      <c r="AB529" s="3"/>
      <c r="AC529" s="4" t="s">
        <v>30</v>
      </c>
      <c r="AD529" s="3"/>
      <c r="AE529" s="3" t="s">
        <v>94</v>
      </c>
      <c r="AF529" s="4" t="s">
        <v>30</v>
      </c>
      <c r="AH529" s="4">
        <v>0</v>
      </c>
      <c r="AI529" s="3" t="s">
        <v>3229</v>
      </c>
      <c r="AJ529" s="4"/>
      <c r="AK529" s="4"/>
      <c r="AL529" s="3"/>
    </row>
    <row r="530" spans="1:38" x14ac:dyDescent="0.35">
      <c r="A530" s="3" t="s">
        <v>3230</v>
      </c>
      <c r="B530" s="4" t="s">
        <v>58</v>
      </c>
      <c r="C530" s="4">
        <f>VLOOKUP(A530, [1]Planilha1!$A$3:$B$1015,2,FALSE)</f>
        <v>17520</v>
      </c>
      <c r="D530" s="4">
        <f t="shared" si="8"/>
        <v>4.8666666666666663</v>
      </c>
      <c r="E530" s="4" t="s">
        <v>1125</v>
      </c>
      <c r="F530" s="3" t="s">
        <v>54</v>
      </c>
      <c r="G530" s="3" t="s">
        <v>3231</v>
      </c>
      <c r="H530" s="3" t="s">
        <v>3234</v>
      </c>
      <c r="I530" s="3" t="s">
        <v>33</v>
      </c>
      <c r="J530" s="3" t="s">
        <v>152</v>
      </c>
      <c r="L530" s="1">
        <v>46038.559895833336</v>
      </c>
      <c r="M530" s="1">
        <v>46038.566354166665</v>
      </c>
      <c r="N530" s="1">
        <v>46043.425937499997</v>
      </c>
      <c r="O530" s="3" t="s">
        <v>3233</v>
      </c>
      <c r="P530" s="3" t="s">
        <v>57</v>
      </c>
      <c r="Q530" s="3" t="s">
        <v>52</v>
      </c>
      <c r="R530" s="3" t="s">
        <v>56</v>
      </c>
      <c r="S530" s="3" t="s">
        <v>64</v>
      </c>
      <c r="T530" s="3" t="s">
        <v>63</v>
      </c>
      <c r="U530" s="4" t="b">
        <v>0</v>
      </c>
      <c r="V530" s="3" t="s">
        <v>28</v>
      </c>
      <c r="W530" s="1"/>
      <c r="Y530" s="3" t="s">
        <v>29</v>
      </c>
      <c r="Z530" s="3" t="s">
        <v>29</v>
      </c>
      <c r="AA530" s="3" t="s">
        <v>3235</v>
      </c>
      <c r="AB530" s="3" t="s">
        <v>58</v>
      </c>
      <c r="AC530" s="4" t="s">
        <v>30</v>
      </c>
      <c r="AD530" s="3" t="s">
        <v>59</v>
      </c>
      <c r="AE530" s="3" t="s">
        <v>57</v>
      </c>
      <c r="AF530" s="4" t="s">
        <v>30</v>
      </c>
      <c r="AH530" s="4">
        <v>4</v>
      </c>
      <c r="AI530" s="3" t="s">
        <v>3232</v>
      </c>
      <c r="AJ530" s="4" t="s">
        <v>55</v>
      </c>
      <c r="AK530" s="4" t="s">
        <v>3236</v>
      </c>
      <c r="AL530" s="3"/>
    </row>
    <row r="531" spans="1:38" x14ac:dyDescent="0.35">
      <c r="A531" s="3" t="s">
        <v>3237</v>
      </c>
      <c r="B531" s="4"/>
      <c r="C531" s="4">
        <f>VLOOKUP(A531, [1]Planilha1!$A$3:$B$1015,2,FALSE)</f>
        <v>4940</v>
      </c>
      <c r="D531" s="4">
        <f t="shared" si="8"/>
        <v>1.3722222222222222</v>
      </c>
      <c r="E531" s="4" t="s">
        <v>1125</v>
      </c>
      <c r="F531" s="3" t="s">
        <v>3239</v>
      </c>
      <c r="G531" s="3" t="s">
        <v>1231</v>
      </c>
      <c r="H531" s="3" t="s">
        <v>44</v>
      </c>
      <c r="I531" s="3" t="s">
        <v>33</v>
      </c>
      <c r="J531" s="3" t="s">
        <v>41</v>
      </c>
      <c r="L531" s="1">
        <v>46038.558483796296</v>
      </c>
      <c r="M531" s="1">
        <v>46038.560196759259</v>
      </c>
      <c r="N531" s="1">
        <v>46038.588784722226</v>
      </c>
      <c r="O531" s="3" t="s">
        <v>43</v>
      </c>
      <c r="Q531" s="3" t="s">
        <v>42</v>
      </c>
      <c r="R531" s="3" t="s">
        <v>3240</v>
      </c>
      <c r="S531" s="3" t="s">
        <v>1234</v>
      </c>
      <c r="T531" s="3" t="s">
        <v>1233</v>
      </c>
      <c r="U531" s="4" t="b">
        <v>1</v>
      </c>
      <c r="V531" s="3" t="s">
        <v>31</v>
      </c>
      <c r="W531" s="1"/>
      <c r="Y531" s="3" t="s">
        <v>32</v>
      </c>
      <c r="Z531" s="3" t="s">
        <v>32</v>
      </c>
      <c r="AA531" s="3"/>
      <c r="AB531" s="3"/>
      <c r="AC531" s="4" t="s">
        <v>30</v>
      </c>
      <c r="AD531" s="3"/>
      <c r="AE531" s="3"/>
      <c r="AF531" s="4" t="s">
        <v>30</v>
      </c>
      <c r="AH531" s="4">
        <v>1</v>
      </c>
      <c r="AI531" s="3" t="s">
        <v>3238</v>
      </c>
      <c r="AJ531" s="4" t="s">
        <v>5889</v>
      </c>
      <c r="AK531" s="4"/>
      <c r="AL531" s="3"/>
    </row>
    <row r="532" spans="1:38" x14ac:dyDescent="0.35">
      <c r="A532" s="3" t="s">
        <v>3241</v>
      </c>
      <c r="B532" s="4" t="s">
        <v>3247</v>
      </c>
      <c r="C532" s="4">
        <f>VLOOKUP(A532, [1]Planilha1!$A$3:$B$1015,2,FALSE)</f>
        <v>0</v>
      </c>
      <c r="D532" s="4">
        <f t="shared" si="8"/>
        <v>0</v>
      </c>
      <c r="E532" s="4" t="s">
        <v>1125</v>
      </c>
      <c r="F532" s="3" t="s">
        <v>3244</v>
      </c>
      <c r="G532" s="3" t="s">
        <v>134</v>
      </c>
      <c r="H532" s="3" t="s">
        <v>138</v>
      </c>
      <c r="I532" s="3" t="s">
        <v>33</v>
      </c>
      <c r="J532" s="3" t="s">
        <v>60</v>
      </c>
      <c r="K532" s="3" t="s">
        <v>3243</v>
      </c>
      <c r="L532" s="1">
        <v>46038.557789351849</v>
      </c>
      <c r="M532" s="1">
        <v>46038.573692129627</v>
      </c>
      <c r="N532" s="1">
        <v>46041.583344907405</v>
      </c>
      <c r="O532" s="3" t="s">
        <v>137</v>
      </c>
      <c r="P532" s="3" t="s">
        <v>3247</v>
      </c>
      <c r="Q532" s="3" t="s">
        <v>35</v>
      </c>
      <c r="R532" s="3" t="s">
        <v>3246</v>
      </c>
      <c r="S532" s="3" t="s">
        <v>144</v>
      </c>
      <c r="T532" s="3" t="s">
        <v>143</v>
      </c>
      <c r="U532" s="4" t="b">
        <v>1</v>
      </c>
      <c r="V532" s="3" t="s">
        <v>31</v>
      </c>
      <c r="W532" s="1"/>
      <c r="Y532" s="3" t="s">
        <v>32</v>
      </c>
      <c r="Z532" s="3" t="s">
        <v>32</v>
      </c>
      <c r="AA532" s="3"/>
      <c r="AB532" s="3"/>
      <c r="AC532" s="4" t="s">
        <v>30</v>
      </c>
      <c r="AD532" s="3"/>
      <c r="AE532" s="3" t="s">
        <v>3247</v>
      </c>
      <c r="AF532" s="4" t="s">
        <v>30</v>
      </c>
      <c r="AH532" s="4">
        <v>0</v>
      </c>
      <c r="AI532" s="3" t="s">
        <v>3242</v>
      </c>
      <c r="AJ532" s="4" t="s">
        <v>3245</v>
      </c>
      <c r="AK532" s="4"/>
      <c r="AL532" s="3"/>
    </row>
    <row r="533" spans="1:38" x14ac:dyDescent="0.35">
      <c r="A533" s="3" t="s">
        <v>3248</v>
      </c>
      <c r="B533" s="4" t="s">
        <v>3257</v>
      </c>
      <c r="C533" s="4">
        <f>VLOOKUP(A533, [1]Planilha1!$A$3:$B$1015,2,FALSE)</f>
        <v>2200</v>
      </c>
      <c r="D533" s="4">
        <f t="shared" si="8"/>
        <v>0.61111111111111116</v>
      </c>
      <c r="E533" s="4" t="s">
        <v>1125</v>
      </c>
      <c r="F533" s="3" t="s">
        <v>3254</v>
      </c>
      <c r="G533" s="3" t="s">
        <v>3249</v>
      </c>
      <c r="H533" s="3" t="s">
        <v>3253</v>
      </c>
      <c r="I533" s="3" t="s">
        <v>33</v>
      </c>
      <c r="J533" s="3" t="s">
        <v>60</v>
      </c>
      <c r="K533" s="3" t="s">
        <v>3251</v>
      </c>
      <c r="L533" s="1">
        <v>46038.547407407408</v>
      </c>
      <c r="M533" s="1">
        <v>46038.547407407408</v>
      </c>
      <c r="N533" s="1">
        <v>46041.583344907405</v>
      </c>
      <c r="O533" s="3" t="s">
        <v>3252</v>
      </c>
      <c r="P533" s="3" t="s">
        <v>3257</v>
      </c>
      <c r="Q533" s="3" t="s">
        <v>35</v>
      </c>
      <c r="R533" s="3" t="s">
        <v>3256</v>
      </c>
      <c r="S533" s="3" t="s">
        <v>37</v>
      </c>
      <c r="T533" s="3" t="s">
        <v>36</v>
      </c>
      <c r="U533" s="4" t="b">
        <v>1</v>
      </c>
      <c r="V533" s="3" t="s">
        <v>28</v>
      </c>
      <c r="W533" s="1"/>
      <c r="Y533" s="3" t="s">
        <v>29</v>
      </c>
      <c r="Z533" s="3" t="s">
        <v>29</v>
      </c>
      <c r="AA533" s="3"/>
      <c r="AB533" s="3"/>
      <c r="AC533" s="4" t="s">
        <v>30</v>
      </c>
      <c r="AD533" s="3"/>
      <c r="AE533" s="3" t="s">
        <v>3257</v>
      </c>
      <c r="AF533" s="4" t="s">
        <v>30</v>
      </c>
      <c r="AH533" s="4">
        <v>0</v>
      </c>
      <c r="AI533" s="3" t="s">
        <v>3250</v>
      </c>
      <c r="AJ533" s="4" t="s">
        <v>3255</v>
      </c>
      <c r="AK533" s="4"/>
      <c r="AL533" s="3"/>
    </row>
    <row r="534" spans="1:38" x14ac:dyDescent="0.35">
      <c r="A534" s="3" t="s">
        <v>3258</v>
      </c>
      <c r="B534" s="4" t="s">
        <v>94</v>
      </c>
      <c r="C534" s="4">
        <f>VLOOKUP(A534, [1]Planilha1!$A$3:$B$1015,2,FALSE)</f>
        <v>0</v>
      </c>
      <c r="D534" s="4">
        <f t="shared" si="8"/>
        <v>0</v>
      </c>
      <c r="E534" s="4" t="s">
        <v>1125</v>
      </c>
      <c r="F534" s="3" t="s">
        <v>92</v>
      </c>
      <c r="G534" s="3" t="s">
        <v>447</v>
      </c>
      <c r="H534" s="3" t="s">
        <v>44</v>
      </c>
      <c r="I534" s="3" t="s">
        <v>33</v>
      </c>
      <c r="J534" s="3" t="s">
        <v>60</v>
      </c>
      <c r="L534" s="1">
        <v>46038.546944444446</v>
      </c>
      <c r="M534" s="1">
        <v>46038.551712962966</v>
      </c>
      <c r="N534" s="1">
        <v>46041.583344907405</v>
      </c>
      <c r="O534" s="3" t="s">
        <v>43</v>
      </c>
      <c r="P534" s="3" t="s">
        <v>94</v>
      </c>
      <c r="Q534" s="3" t="s">
        <v>42</v>
      </c>
      <c r="R534" s="3" t="s">
        <v>93</v>
      </c>
      <c r="S534" s="3" t="s">
        <v>708</v>
      </c>
      <c r="T534" s="3" t="s">
        <v>707</v>
      </c>
      <c r="U534" s="4" t="b">
        <v>1</v>
      </c>
      <c r="V534" s="3" t="s">
        <v>31</v>
      </c>
      <c r="W534" s="1"/>
      <c r="Y534" s="3" t="s">
        <v>32</v>
      </c>
      <c r="Z534" s="3" t="s">
        <v>32</v>
      </c>
      <c r="AA534" s="3"/>
      <c r="AB534" s="3"/>
      <c r="AC534" s="4" t="s">
        <v>30</v>
      </c>
      <c r="AD534" s="3"/>
      <c r="AE534" s="3" t="s">
        <v>94</v>
      </c>
      <c r="AF534" s="4" t="s">
        <v>30</v>
      </c>
      <c r="AH534" s="4">
        <v>0</v>
      </c>
      <c r="AI534" s="3" t="s">
        <v>3259</v>
      </c>
      <c r="AJ534" s="4"/>
      <c r="AK534" s="4"/>
      <c r="AL534" s="3"/>
    </row>
    <row r="535" spans="1:38" x14ac:dyDescent="0.35">
      <c r="A535" s="3" t="s">
        <v>3260</v>
      </c>
      <c r="B535" s="4" t="s">
        <v>3266</v>
      </c>
      <c r="C535" s="4">
        <f>VLOOKUP(A535, [1]Planilha1!$A$3:$B$1015,2,FALSE)</f>
        <v>127323</v>
      </c>
      <c r="D535" s="4">
        <f t="shared" si="8"/>
        <v>35.3675</v>
      </c>
      <c r="E535" s="4" t="s">
        <v>1125</v>
      </c>
      <c r="F535" s="3" t="s">
        <v>3263</v>
      </c>
      <c r="G535" s="3" t="s">
        <v>3261</v>
      </c>
      <c r="H535" s="3" t="s">
        <v>428</v>
      </c>
      <c r="I535" s="3" t="s">
        <v>33</v>
      </c>
      <c r="J535" s="3" t="s">
        <v>41</v>
      </c>
      <c r="K535" s="3" t="s">
        <v>818</v>
      </c>
      <c r="L535" s="1">
        <v>46038.546793981484</v>
      </c>
      <c r="M535" s="1">
        <v>46038.546793981484</v>
      </c>
      <c r="N535" s="1">
        <v>46041.621342592596</v>
      </c>
      <c r="O535" s="3" t="s">
        <v>427</v>
      </c>
      <c r="P535" s="3" t="s">
        <v>3266</v>
      </c>
      <c r="Q535" s="3" t="s">
        <v>42</v>
      </c>
      <c r="R535" s="3" t="s">
        <v>3265</v>
      </c>
      <c r="S535" s="3" t="s">
        <v>37</v>
      </c>
      <c r="T535" s="3" t="s">
        <v>36</v>
      </c>
      <c r="U535" s="4" t="b">
        <v>1</v>
      </c>
      <c r="V535" s="3" t="s">
        <v>28</v>
      </c>
      <c r="W535" s="1"/>
      <c r="Y535" s="3" t="s">
        <v>29</v>
      </c>
      <c r="Z535" s="3" t="s">
        <v>29</v>
      </c>
      <c r="AA535" s="3"/>
      <c r="AB535" s="3"/>
      <c r="AC535" s="4" t="s">
        <v>30</v>
      </c>
      <c r="AD535" s="3"/>
      <c r="AE535" s="3" t="s">
        <v>3266</v>
      </c>
      <c r="AF535" s="4" t="s">
        <v>30</v>
      </c>
      <c r="AH535" s="4">
        <v>1</v>
      </c>
      <c r="AI535" s="3" t="s">
        <v>3262</v>
      </c>
      <c r="AJ535" s="4" t="s">
        <v>3264</v>
      </c>
      <c r="AK535" s="4"/>
      <c r="AL535" s="3"/>
    </row>
    <row r="536" spans="1:38" x14ac:dyDescent="0.35">
      <c r="A536" s="3" t="s">
        <v>3267</v>
      </c>
      <c r="B536" s="4" t="s">
        <v>3272</v>
      </c>
      <c r="C536" s="4">
        <f>VLOOKUP(A536, [1]Planilha1!$A$3:$B$1015,2,FALSE)</f>
        <v>6886</v>
      </c>
      <c r="D536" s="4">
        <f t="shared" si="8"/>
        <v>1.9127777777777777</v>
      </c>
      <c r="E536" s="4" t="s">
        <v>1125</v>
      </c>
      <c r="F536" s="3" t="s">
        <v>3269</v>
      </c>
      <c r="G536" s="3" t="s">
        <v>1802</v>
      </c>
      <c r="H536" s="3" t="s">
        <v>44</v>
      </c>
      <c r="I536" s="3" t="s">
        <v>33</v>
      </c>
      <c r="J536" s="3" t="s">
        <v>41</v>
      </c>
      <c r="L536" s="1">
        <v>46038.543298611112</v>
      </c>
      <c r="M536" s="1">
        <v>46038.547766203701</v>
      </c>
      <c r="N536" s="1">
        <v>46038.58761574074</v>
      </c>
      <c r="O536" s="3" t="s">
        <v>43</v>
      </c>
      <c r="P536" s="3" t="s">
        <v>3272</v>
      </c>
      <c r="Q536" s="3" t="s">
        <v>42</v>
      </c>
      <c r="R536" s="3" t="s">
        <v>3271</v>
      </c>
      <c r="S536" s="3" t="s">
        <v>62</v>
      </c>
      <c r="T536" s="3" t="s">
        <v>61</v>
      </c>
      <c r="U536" s="4" t="b">
        <v>1</v>
      </c>
      <c r="V536" s="3" t="s">
        <v>31</v>
      </c>
      <c r="W536" s="1"/>
      <c r="Y536" s="3" t="s">
        <v>32</v>
      </c>
      <c r="Z536" s="3" t="s">
        <v>32</v>
      </c>
      <c r="AA536" s="3"/>
      <c r="AB536" s="3"/>
      <c r="AC536" s="4" t="s">
        <v>30</v>
      </c>
      <c r="AD536" s="3"/>
      <c r="AE536" s="3" t="s">
        <v>3272</v>
      </c>
      <c r="AF536" s="4" t="s">
        <v>30</v>
      </c>
      <c r="AH536" s="4">
        <v>1</v>
      </c>
      <c r="AI536" s="3" t="s">
        <v>3268</v>
      </c>
      <c r="AJ536" s="4" t="s">
        <v>3270</v>
      </c>
      <c r="AK536" s="4"/>
      <c r="AL536" s="3"/>
    </row>
    <row r="537" spans="1:38" x14ac:dyDescent="0.35">
      <c r="A537" s="3" t="s">
        <v>3273</v>
      </c>
      <c r="B537" s="4" t="s">
        <v>1030</v>
      </c>
      <c r="C537" s="4">
        <v>0</v>
      </c>
      <c r="D537" s="4">
        <f t="shared" si="8"/>
        <v>0</v>
      </c>
      <c r="E537" s="4" t="s">
        <v>1125</v>
      </c>
      <c r="F537" s="3" t="s">
        <v>1028</v>
      </c>
      <c r="G537" s="3" t="s">
        <v>163</v>
      </c>
      <c r="H537" s="3" t="s">
        <v>163</v>
      </c>
      <c r="I537" s="3" t="s">
        <v>33</v>
      </c>
      <c r="J537" s="3" t="s">
        <v>60</v>
      </c>
      <c r="K537" s="3" t="s">
        <v>1175</v>
      </c>
      <c r="L537" s="1">
        <v>46038.542129629626</v>
      </c>
      <c r="M537" s="1">
        <v>46038.546377314815</v>
      </c>
      <c r="N537" s="1">
        <v>46038.546377314815</v>
      </c>
      <c r="O537" s="3" t="s">
        <v>162</v>
      </c>
      <c r="P537" s="3" t="s">
        <v>1030</v>
      </c>
      <c r="Q537" s="3" t="s">
        <v>42</v>
      </c>
      <c r="R537" s="3" t="s">
        <v>1029</v>
      </c>
      <c r="S537" s="3" t="s">
        <v>120</v>
      </c>
      <c r="T537" s="3" t="s">
        <v>119</v>
      </c>
      <c r="U537" s="4" t="b">
        <v>1</v>
      </c>
      <c r="V537" s="3" t="s">
        <v>31</v>
      </c>
      <c r="W537" s="1"/>
      <c r="Y537" s="3" t="s">
        <v>32</v>
      </c>
      <c r="Z537" s="3" t="s">
        <v>32</v>
      </c>
      <c r="AA537" s="3"/>
      <c r="AB537" s="3"/>
      <c r="AC537" s="4" t="s">
        <v>30</v>
      </c>
      <c r="AD537" s="3"/>
      <c r="AE537" s="3" t="s">
        <v>1030</v>
      </c>
      <c r="AF537" s="4" t="s">
        <v>30</v>
      </c>
      <c r="AH537" s="4">
        <v>0</v>
      </c>
      <c r="AI537" s="3" t="s">
        <v>3274</v>
      </c>
      <c r="AJ537" s="4" t="s">
        <v>5831</v>
      </c>
      <c r="AK537" s="4"/>
      <c r="AL537" s="3"/>
    </row>
    <row r="538" spans="1:38" x14ac:dyDescent="0.35">
      <c r="A538" s="3" t="s">
        <v>3275</v>
      </c>
      <c r="B538" s="4" t="s">
        <v>3281</v>
      </c>
      <c r="C538" s="4">
        <f>VLOOKUP(A538, [1]Planilha1!$A$3:$B$1015,2,FALSE)</f>
        <v>1366</v>
      </c>
      <c r="D538" s="4">
        <f t="shared" si="8"/>
        <v>0.37944444444444442</v>
      </c>
      <c r="E538" s="4" t="s">
        <v>1125</v>
      </c>
      <c r="F538" s="3" t="s">
        <v>3278</v>
      </c>
      <c r="G538" s="3" t="s">
        <v>163</v>
      </c>
      <c r="H538" s="3" t="s">
        <v>163</v>
      </c>
      <c r="I538" s="3" t="s">
        <v>33</v>
      </c>
      <c r="J538" s="3" t="s">
        <v>60</v>
      </c>
      <c r="K538" s="3" t="s">
        <v>3277</v>
      </c>
      <c r="L538" s="1">
        <v>46038.532025462962</v>
      </c>
      <c r="M538" s="1">
        <v>46038.532025462962</v>
      </c>
      <c r="N538" s="1">
        <v>46041.541666666664</v>
      </c>
      <c r="O538" s="3" t="s">
        <v>162</v>
      </c>
      <c r="P538" s="3" t="s">
        <v>3281</v>
      </c>
      <c r="Q538" s="3" t="s">
        <v>42</v>
      </c>
      <c r="R538" s="3" t="s">
        <v>3280</v>
      </c>
      <c r="S538" s="3" t="s">
        <v>37</v>
      </c>
      <c r="T538" s="3" t="s">
        <v>36</v>
      </c>
      <c r="U538" s="4" t="b">
        <v>1</v>
      </c>
      <c r="V538" s="3" t="s">
        <v>28</v>
      </c>
      <c r="W538" s="1"/>
      <c r="Y538" s="3" t="s">
        <v>29</v>
      </c>
      <c r="Z538" s="3" t="s">
        <v>29</v>
      </c>
      <c r="AA538" s="3"/>
      <c r="AB538" s="3"/>
      <c r="AC538" s="4" t="s">
        <v>30</v>
      </c>
      <c r="AD538" s="3"/>
      <c r="AE538" s="3" t="s">
        <v>3281</v>
      </c>
      <c r="AF538" s="4" t="s">
        <v>30</v>
      </c>
      <c r="AH538" s="4">
        <v>0</v>
      </c>
      <c r="AI538" s="3" t="s">
        <v>3276</v>
      </c>
      <c r="AJ538" s="4" t="s">
        <v>3279</v>
      </c>
      <c r="AK538" s="4"/>
      <c r="AL538" s="3"/>
    </row>
    <row r="539" spans="1:38" x14ac:dyDescent="0.35">
      <c r="A539" s="3" t="s">
        <v>3282</v>
      </c>
      <c r="B539" s="4" t="s">
        <v>94</v>
      </c>
      <c r="C539" s="4">
        <f>VLOOKUP(A539, [1]Planilha1!$A$3:$B$1015,2,FALSE)</f>
        <v>0</v>
      </c>
      <c r="D539" s="4">
        <f t="shared" si="8"/>
        <v>0</v>
      </c>
      <c r="E539" s="4" t="s">
        <v>1125</v>
      </c>
      <c r="F539" s="3" t="s">
        <v>92</v>
      </c>
      <c r="G539" s="3" t="s">
        <v>3283</v>
      </c>
      <c r="H539" s="3" t="s">
        <v>148</v>
      </c>
      <c r="I539" s="3" t="s">
        <v>33</v>
      </c>
      <c r="J539" s="3" t="s">
        <v>60</v>
      </c>
      <c r="L539" s="1">
        <v>46038.531412037039</v>
      </c>
      <c r="M539" s="1">
        <v>46038.532083333332</v>
      </c>
      <c r="N539" s="1">
        <v>46041.541666666664</v>
      </c>
      <c r="O539" s="3" t="s">
        <v>147</v>
      </c>
      <c r="P539" s="3" t="s">
        <v>94</v>
      </c>
      <c r="Q539" s="3" t="s">
        <v>35</v>
      </c>
      <c r="R539" s="3" t="s">
        <v>93</v>
      </c>
      <c r="S539" s="3" t="s">
        <v>82</v>
      </c>
      <c r="T539" s="3" t="s">
        <v>81</v>
      </c>
      <c r="U539" s="4" t="b">
        <v>1</v>
      </c>
      <c r="V539" s="3" t="s">
        <v>31</v>
      </c>
      <c r="W539" s="1"/>
      <c r="Y539" s="3" t="s">
        <v>32</v>
      </c>
      <c r="Z539" s="3" t="s">
        <v>32</v>
      </c>
      <c r="AA539" s="3"/>
      <c r="AB539" s="3"/>
      <c r="AC539" s="4" t="s">
        <v>30</v>
      </c>
      <c r="AD539" s="3"/>
      <c r="AE539" s="3" t="s">
        <v>94</v>
      </c>
      <c r="AF539" s="4" t="s">
        <v>30</v>
      </c>
      <c r="AH539" s="4">
        <v>0</v>
      </c>
      <c r="AI539" s="3" t="s">
        <v>3284</v>
      </c>
      <c r="AJ539" s="4"/>
      <c r="AK539" s="4"/>
      <c r="AL539" s="3"/>
    </row>
    <row r="540" spans="1:38" x14ac:dyDescent="0.35">
      <c r="A540" s="3" t="s">
        <v>3285</v>
      </c>
      <c r="B540" s="4" t="s">
        <v>1152</v>
      </c>
      <c r="C540" s="4">
        <f>VLOOKUP(A540, [1]Planilha1!$A$3:$B$1015,2,FALSE)</f>
        <v>3702</v>
      </c>
      <c r="D540" s="4">
        <f t="shared" si="8"/>
        <v>1.0283333333333333</v>
      </c>
      <c r="E540" s="4" t="s">
        <v>1125</v>
      </c>
      <c r="F540" s="3" t="s">
        <v>1149</v>
      </c>
      <c r="G540" s="3" t="s">
        <v>214</v>
      </c>
      <c r="H540" s="3" t="s">
        <v>44</v>
      </c>
      <c r="I540" s="3" t="s">
        <v>33</v>
      </c>
      <c r="J540" s="3" t="s">
        <v>60</v>
      </c>
      <c r="K540" s="3" t="s">
        <v>3287</v>
      </c>
      <c r="L540" s="1">
        <v>46038.502916666665</v>
      </c>
      <c r="M540" s="1">
        <v>46038.502916666665</v>
      </c>
      <c r="N540" s="1">
        <v>46041.541666666664</v>
      </c>
      <c r="O540" s="3" t="s">
        <v>43</v>
      </c>
      <c r="P540" s="3" t="s">
        <v>1152</v>
      </c>
      <c r="Q540" s="3" t="s">
        <v>35</v>
      </c>
      <c r="R540" s="3" t="s">
        <v>1151</v>
      </c>
      <c r="S540" s="3" t="s">
        <v>37</v>
      </c>
      <c r="T540" s="3" t="s">
        <v>36</v>
      </c>
      <c r="U540" s="4" t="b">
        <v>1</v>
      </c>
      <c r="V540" s="3" t="s">
        <v>28</v>
      </c>
      <c r="W540" s="1"/>
      <c r="Y540" s="3" t="s">
        <v>29</v>
      </c>
      <c r="Z540" s="3" t="s">
        <v>29</v>
      </c>
      <c r="AA540" s="3"/>
      <c r="AB540" s="3"/>
      <c r="AC540" s="4" t="s">
        <v>30</v>
      </c>
      <c r="AD540" s="3"/>
      <c r="AE540" s="3" t="s">
        <v>1152</v>
      </c>
      <c r="AF540" s="4" t="s">
        <v>30</v>
      </c>
      <c r="AH540" s="4">
        <v>0</v>
      </c>
      <c r="AI540" s="3" t="s">
        <v>3286</v>
      </c>
      <c r="AJ540" s="4" t="s">
        <v>1150</v>
      </c>
      <c r="AK540" s="4"/>
      <c r="AL540" s="3"/>
    </row>
    <row r="541" spans="1:38" x14ac:dyDescent="0.35">
      <c r="A541" s="3" t="s">
        <v>3288</v>
      </c>
      <c r="B541" s="4" t="s">
        <v>1092</v>
      </c>
      <c r="C541" s="4">
        <f>VLOOKUP(A541, [1]Planilha1!$A$3:$B$1015,2,FALSE)</f>
        <v>2464</v>
      </c>
      <c r="D541" s="4">
        <f t="shared" si="8"/>
        <v>0.68444444444444441</v>
      </c>
      <c r="E541" s="4" t="s">
        <v>1125</v>
      </c>
      <c r="F541" s="3" t="s">
        <v>898</v>
      </c>
      <c r="G541" s="3" t="s">
        <v>72</v>
      </c>
      <c r="H541" s="3" t="s">
        <v>44</v>
      </c>
      <c r="I541" s="3" t="s">
        <v>33</v>
      </c>
      <c r="J541" s="3" t="s">
        <v>60</v>
      </c>
      <c r="K541" s="3" t="s">
        <v>3290</v>
      </c>
      <c r="L541" s="1">
        <v>46038.487071759257</v>
      </c>
      <c r="M541" s="1">
        <v>46038.487071759257</v>
      </c>
      <c r="N541" s="1">
        <v>46041.541666666664</v>
      </c>
      <c r="O541" s="3" t="s">
        <v>43</v>
      </c>
      <c r="P541" s="3" t="s">
        <v>1092</v>
      </c>
      <c r="Q541" s="3" t="s">
        <v>42</v>
      </c>
      <c r="R541" s="3" t="s">
        <v>1091</v>
      </c>
      <c r="S541" s="3" t="s">
        <v>37</v>
      </c>
      <c r="T541" s="3" t="s">
        <v>36</v>
      </c>
      <c r="U541" s="4" t="b">
        <v>1</v>
      </c>
      <c r="V541" s="3" t="s">
        <v>28</v>
      </c>
      <c r="W541" s="1"/>
      <c r="Y541" s="3" t="s">
        <v>29</v>
      </c>
      <c r="Z541" s="3" t="s">
        <v>29</v>
      </c>
      <c r="AA541" s="3"/>
      <c r="AB541" s="3"/>
      <c r="AC541" s="4" t="s">
        <v>30</v>
      </c>
      <c r="AD541" s="3"/>
      <c r="AE541" s="3" t="s">
        <v>1092</v>
      </c>
      <c r="AF541" s="4" t="s">
        <v>30</v>
      </c>
      <c r="AH541" s="4">
        <v>0</v>
      </c>
      <c r="AI541" s="3" t="s">
        <v>3289</v>
      </c>
      <c r="AJ541" s="4" t="s">
        <v>5890</v>
      </c>
      <c r="AK541" s="4"/>
      <c r="AL541" s="3"/>
    </row>
    <row r="542" spans="1:38" x14ac:dyDescent="0.35">
      <c r="A542" s="3" t="s">
        <v>3291</v>
      </c>
      <c r="B542" s="4" t="s">
        <v>3296</v>
      </c>
      <c r="C542" s="4">
        <f>VLOOKUP(A542, [1]Planilha1!$A$3:$B$1015,2,FALSE)</f>
        <v>7674</v>
      </c>
      <c r="D542" s="4">
        <f t="shared" si="8"/>
        <v>2.1316666666666668</v>
      </c>
      <c r="E542" s="4" t="s">
        <v>1125</v>
      </c>
      <c r="F542" s="3" t="s">
        <v>3293</v>
      </c>
      <c r="G542" s="3" t="s">
        <v>74</v>
      </c>
      <c r="H542" s="3" t="s">
        <v>44</v>
      </c>
      <c r="I542" s="3" t="s">
        <v>33</v>
      </c>
      <c r="J542" s="3" t="s">
        <v>41</v>
      </c>
      <c r="L542" s="1">
        <v>46038.48228009259</v>
      </c>
      <c r="M542" s="1">
        <v>46038.485405092593</v>
      </c>
      <c r="N542" s="1">
        <v>46038.529814814814</v>
      </c>
      <c r="O542" s="3" t="s">
        <v>43</v>
      </c>
      <c r="P542" s="3" t="s">
        <v>3296</v>
      </c>
      <c r="Q542" s="3" t="s">
        <v>42</v>
      </c>
      <c r="R542" s="3" t="s">
        <v>3295</v>
      </c>
      <c r="S542" s="3" t="s">
        <v>80</v>
      </c>
      <c r="T542" s="3" t="s">
        <v>79</v>
      </c>
      <c r="U542" s="4" t="b">
        <v>1</v>
      </c>
      <c r="V542" s="3" t="s">
        <v>31</v>
      </c>
      <c r="W542" s="1"/>
      <c r="Y542" s="3" t="s">
        <v>32</v>
      </c>
      <c r="Z542" s="3" t="s">
        <v>32</v>
      </c>
      <c r="AA542" s="3"/>
      <c r="AB542" s="3"/>
      <c r="AC542" s="4" t="s">
        <v>30</v>
      </c>
      <c r="AD542" s="3"/>
      <c r="AE542" s="3" t="s">
        <v>3296</v>
      </c>
      <c r="AF542" s="4" t="s">
        <v>30</v>
      </c>
      <c r="AH542" s="4">
        <v>1</v>
      </c>
      <c r="AI542" s="3" t="s">
        <v>3292</v>
      </c>
      <c r="AJ542" s="4" t="s">
        <v>3294</v>
      </c>
      <c r="AK542" s="4"/>
      <c r="AL542" s="3"/>
    </row>
    <row r="543" spans="1:38" x14ac:dyDescent="0.35">
      <c r="A543" s="3" t="s">
        <v>3301</v>
      </c>
      <c r="B543" s="4" t="s">
        <v>3306</v>
      </c>
      <c r="C543" s="4">
        <f>VLOOKUP(A543, [1]Planilha1!$A$3:$B$1015,2,FALSE)</f>
        <v>11482</v>
      </c>
      <c r="D543" s="4">
        <f t="shared" si="8"/>
        <v>3.1894444444444443</v>
      </c>
      <c r="E543" s="4" t="s">
        <v>1125</v>
      </c>
      <c r="F543" s="3" t="s">
        <v>3304</v>
      </c>
      <c r="G543" s="3" t="s">
        <v>3302</v>
      </c>
      <c r="H543" s="3" t="s">
        <v>44</v>
      </c>
      <c r="I543" s="3" t="s">
        <v>33</v>
      </c>
      <c r="J543" s="3" t="s">
        <v>41</v>
      </c>
      <c r="L543" s="1">
        <v>46038.453946759262</v>
      </c>
      <c r="M543" s="1">
        <v>46038.462465277778</v>
      </c>
      <c r="N543" s="1">
        <v>46038.528912037036</v>
      </c>
      <c r="O543" s="3" t="s">
        <v>43</v>
      </c>
      <c r="P543" s="3" t="s">
        <v>3306</v>
      </c>
      <c r="Q543" s="3" t="s">
        <v>42</v>
      </c>
      <c r="R543" s="3" t="s">
        <v>3305</v>
      </c>
      <c r="S543" s="3" t="s">
        <v>62</v>
      </c>
      <c r="T543" s="3" t="s">
        <v>61</v>
      </c>
      <c r="U543" s="4" t="b">
        <v>1</v>
      </c>
      <c r="V543" s="3" t="s">
        <v>31</v>
      </c>
      <c r="W543" s="1"/>
      <c r="Y543" s="3" t="s">
        <v>32</v>
      </c>
      <c r="Z543" s="3" t="s">
        <v>32</v>
      </c>
      <c r="AA543" s="3"/>
      <c r="AB543" s="3"/>
      <c r="AC543" s="4" t="s">
        <v>30</v>
      </c>
      <c r="AD543" s="3"/>
      <c r="AE543" s="3" t="s">
        <v>3306</v>
      </c>
      <c r="AF543" s="4" t="s">
        <v>30</v>
      </c>
      <c r="AH543" s="4">
        <v>1</v>
      </c>
      <c r="AI543" s="3" t="s">
        <v>3303</v>
      </c>
      <c r="AJ543" s="4"/>
      <c r="AK543" s="4"/>
      <c r="AL543" s="3"/>
    </row>
    <row r="544" spans="1:38" x14ac:dyDescent="0.35">
      <c r="A544" s="3" t="s">
        <v>3307</v>
      </c>
      <c r="B544" s="4" t="s">
        <v>3090</v>
      </c>
      <c r="C544" s="4">
        <f>VLOOKUP(A544, [1]Planilha1!$A$3:$B$1015,2,FALSE)</f>
        <v>0</v>
      </c>
      <c r="D544" s="4">
        <f t="shared" si="8"/>
        <v>0</v>
      </c>
      <c r="E544" s="4" t="s">
        <v>1125</v>
      </c>
      <c r="F544" s="3" t="s">
        <v>3087</v>
      </c>
      <c r="G544" s="3" t="s">
        <v>233</v>
      </c>
      <c r="H544" s="3" t="s">
        <v>237</v>
      </c>
      <c r="I544" s="3" t="s">
        <v>33</v>
      </c>
      <c r="J544" s="3" t="s">
        <v>60</v>
      </c>
      <c r="K544" s="3" t="s">
        <v>3084</v>
      </c>
      <c r="L544" s="1">
        <v>46038.440891203703</v>
      </c>
      <c r="M544" s="1">
        <v>46038.454074074078</v>
      </c>
      <c r="N544" s="1">
        <v>46041.458333333336</v>
      </c>
      <c r="O544" s="3" t="s">
        <v>1370</v>
      </c>
      <c r="P544" s="3" t="s">
        <v>3090</v>
      </c>
      <c r="Q544" s="3" t="s">
        <v>35</v>
      </c>
      <c r="R544" s="3" t="s">
        <v>3089</v>
      </c>
      <c r="S544" s="3" t="s">
        <v>144</v>
      </c>
      <c r="T544" s="3" t="s">
        <v>143</v>
      </c>
      <c r="U544" s="4" t="b">
        <v>1</v>
      </c>
      <c r="V544" s="3" t="s">
        <v>31</v>
      </c>
      <c r="W544" s="1"/>
      <c r="Y544" s="3" t="s">
        <v>32</v>
      </c>
      <c r="Z544" s="3" t="s">
        <v>32</v>
      </c>
      <c r="AA544" s="3"/>
      <c r="AB544" s="3"/>
      <c r="AC544" s="4" t="s">
        <v>30</v>
      </c>
      <c r="AD544" s="3"/>
      <c r="AE544" s="3" t="s">
        <v>3090</v>
      </c>
      <c r="AF544" s="4" t="s">
        <v>30</v>
      </c>
      <c r="AH544" s="4">
        <v>0</v>
      </c>
      <c r="AI544" s="3" t="s">
        <v>3308</v>
      </c>
      <c r="AJ544" s="4" t="s">
        <v>3088</v>
      </c>
      <c r="AK544" s="4"/>
      <c r="AL544" s="3"/>
    </row>
    <row r="545" spans="1:38" x14ac:dyDescent="0.35">
      <c r="A545" s="3" t="s">
        <v>3309</v>
      </c>
      <c r="B545" s="4" t="s">
        <v>3314</v>
      </c>
      <c r="C545" s="4">
        <f>VLOOKUP(A545, [1]Planilha1!$A$3:$B$1015,2,FALSE)</f>
        <v>0</v>
      </c>
      <c r="D545" s="4">
        <f t="shared" si="8"/>
        <v>0</v>
      </c>
      <c r="E545" s="4" t="s">
        <v>1125</v>
      </c>
      <c r="F545" s="3" t="s">
        <v>3312</v>
      </c>
      <c r="G545" s="3" t="s">
        <v>214</v>
      </c>
      <c r="H545" s="3" t="s">
        <v>44</v>
      </c>
      <c r="I545" s="3" t="s">
        <v>33</v>
      </c>
      <c r="J545" s="3" t="s">
        <v>60</v>
      </c>
      <c r="K545" s="3" t="s">
        <v>3311</v>
      </c>
      <c r="L545" s="1">
        <v>46038.425937499997</v>
      </c>
      <c r="M545" s="1">
        <v>46038.450555555559</v>
      </c>
      <c r="N545" s="1">
        <v>46041.458333333336</v>
      </c>
      <c r="O545" s="3" t="s">
        <v>43</v>
      </c>
      <c r="P545" s="3" t="s">
        <v>3314</v>
      </c>
      <c r="Q545" s="3" t="s">
        <v>35</v>
      </c>
      <c r="R545" s="3" t="s">
        <v>3313</v>
      </c>
      <c r="S545" s="3" t="s">
        <v>144</v>
      </c>
      <c r="T545" s="3" t="s">
        <v>143</v>
      </c>
      <c r="U545" s="4" t="b">
        <v>1</v>
      </c>
      <c r="V545" s="3" t="s">
        <v>31</v>
      </c>
      <c r="W545" s="1"/>
      <c r="Y545" s="3" t="s">
        <v>32</v>
      </c>
      <c r="Z545" s="3" t="s">
        <v>32</v>
      </c>
      <c r="AA545" s="3"/>
      <c r="AB545" s="3"/>
      <c r="AC545" s="4" t="s">
        <v>30</v>
      </c>
      <c r="AD545" s="3"/>
      <c r="AE545" s="3" t="s">
        <v>3314</v>
      </c>
      <c r="AF545" s="4" t="s">
        <v>30</v>
      </c>
      <c r="AH545" s="4">
        <v>0</v>
      </c>
      <c r="AI545" s="3" t="s">
        <v>3310</v>
      </c>
      <c r="AJ545" s="4" t="s">
        <v>5891</v>
      </c>
      <c r="AK545" s="4"/>
      <c r="AL545" s="3"/>
    </row>
    <row r="546" spans="1:38" x14ac:dyDescent="0.35">
      <c r="A546" s="3" t="s">
        <v>3319</v>
      </c>
      <c r="B546" s="4" t="s">
        <v>1081</v>
      </c>
      <c r="C546" s="4">
        <f>VLOOKUP(A546, [1]Planilha1!$A$3:$B$1015,2,FALSE)</f>
        <v>0</v>
      </c>
      <c r="D546" s="4">
        <f t="shared" si="8"/>
        <v>0</v>
      </c>
      <c r="E546" s="4" t="s">
        <v>1125</v>
      </c>
      <c r="F546" s="3" t="s">
        <v>1080</v>
      </c>
      <c r="G546" s="3" t="s">
        <v>3320</v>
      </c>
      <c r="H546" s="3" t="s">
        <v>727</v>
      </c>
      <c r="I546" s="3" t="s">
        <v>33</v>
      </c>
      <c r="J546" s="3" t="s">
        <v>459</v>
      </c>
      <c r="L546" s="1">
        <v>46038.415486111109</v>
      </c>
      <c r="M546" s="1">
        <v>46038.41851851852</v>
      </c>
      <c r="N546" s="1">
        <v>46041.458333333336</v>
      </c>
      <c r="O546" s="3" t="s">
        <v>726</v>
      </c>
      <c r="P546" s="3" t="s">
        <v>1081</v>
      </c>
      <c r="Q546" s="3" t="s">
        <v>35</v>
      </c>
      <c r="S546" s="3" t="s">
        <v>276</v>
      </c>
      <c r="T546" s="3" t="s">
        <v>275</v>
      </c>
      <c r="U546" s="4" t="b">
        <v>1</v>
      </c>
      <c r="V546" s="3" t="s">
        <v>31</v>
      </c>
      <c r="W546" s="1"/>
      <c r="Y546" s="3" t="s">
        <v>32</v>
      </c>
      <c r="Z546" s="3" t="s">
        <v>32</v>
      </c>
      <c r="AA546" s="3"/>
      <c r="AB546" s="3"/>
      <c r="AC546" s="4" t="s">
        <v>30</v>
      </c>
      <c r="AD546" s="3"/>
      <c r="AE546" s="3" t="s">
        <v>1081</v>
      </c>
      <c r="AF546" s="4" t="s">
        <v>30</v>
      </c>
      <c r="AH546" s="4">
        <v>0</v>
      </c>
      <c r="AI546" s="3" t="s">
        <v>3321</v>
      </c>
      <c r="AJ546" s="4"/>
      <c r="AK546" s="4"/>
      <c r="AL546" s="3"/>
    </row>
    <row r="547" spans="1:38" x14ac:dyDescent="0.35">
      <c r="A547" s="3" t="s">
        <v>3322</v>
      </c>
      <c r="B547" s="4" t="s">
        <v>3327</v>
      </c>
      <c r="C547" s="4">
        <f>VLOOKUP(A547, [1]Planilha1!$A$3:$B$1015,2,FALSE)</f>
        <v>4647</v>
      </c>
      <c r="D547" s="4">
        <f t="shared" si="8"/>
        <v>1.2908333333333333</v>
      </c>
      <c r="E547" s="4" t="s">
        <v>1125</v>
      </c>
      <c r="F547" s="3" t="s">
        <v>3325</v>
      </c>
      <c r="G547" s="3" t="s">
        <v>100</v>
      </c>
      <c r="H547" s="3" t="s">
        <v>44</v>
      </c>
      <c r="I547" s="3" t="s">
        <v>33</v>
      </c>
      <c r="J547" s="3" t="s">
        <v>41</v>
      </c>
      <c r="K547" s="3" t="s">
        <v>3324</v>
      </c>
      <c r="L547" s="1">
        <v>46038.41097222222</v>
      </c>
      <c r="M547" s="1">
        <v>46038.417951388888</v>
      </c>
      <c r="N547" s="1">
        <v>46038.438750000001</v>
      </c>
      <c r="O547" s="3" t="s">
        <v>43</v>
      </c>
      <c r="P547" s="3" t="s">
        <v>3327</v>
      </c>
      <c r="Q547" s="3" t="s">
        <v>42</v>
      </c>
      <c r="R547" s="3" t="s">
        <v>3326</v>
      </c>
      <c r="S547" s="3" t="s">
        <v>98</v>
      </c>
      <c r="T547" s="3" t="s">
        <v>97</v>
      </c>
      <c r="U547" s="4" t="b">
        <v>1</v>
      </c>
      <c r="V547" s="3" t="s">
        <v>31</v>
      </c>
      <c r="W547" s="1"/>
      <c r="Y547" s="3" t="s">
        <v>32</v>
      </c>
      <c r="Z547" s="3" t="s">
        <v>32</v>
      </c>
      <c r="AA547" s="3"/>
      <c r="AB547" s="3"/>
      <c r="AC547" s="4" t="s">
        <v>30</v>
      </c>
      <c r="AD547" s="3"/>
      <c r="AE547" s="3" t="s">
        <v>3327</v>
      </c>
      <c r="AF547" s="4" t="s">
        <v>30</v>
      </c>
      <c r="AH547" s="4">
        <v>1</v>
      </c>
      <c r="AI547" s="3" t="s">
        <v>3323</v>
      </c>
      <c r="AJ547" s="4"/>
      <c r="AK547" s="4"/>
      <c r="AL547" s="3"/>
    </row>
    <row r="548" spans="1:38" x14ac:dyDescent="0.35">
      <c r="A548" s="3" t="s">
        <v>3328</v>
      </c>
      <c r="B548" s="4" t="s">
        <v>3318</v>
      </c>
      <c r="C548" s="4">
        <f>VLOOKUP(A548, [1]Planilha1!$A$3:$B$1015,2,FALSE)</f>
        <v>5707</v>
      </c>
      <c r="D548" s="4">
        <f t="shared" si="8"/>
        <v>1.5852777777777778</v>
      </c>
      <c r="E548" s="4" t="s">
        <v>1125</v>
      </c>
      <c r="F548" s="3" t="s">
        <v>3315</v>
      </c>
      <c r="G548" s="3" t="s">
        <v>3329</v>
      </c>
      <c r="H548" s="3" t="s">
        <v>44</v>
      </c>
      <c r="I548" s="3" t="s">
        <v>33</v>
      </c>
      <c r="J548" s="3" t="s">
        <v>41</v>
      </c>
      <c r="L548" s="1">
        <v>46038.40697916667</v>
      </c>
      <c r="M548" s="1">
        <v>46038.40697916667</v>
      </c>
      <c r="N548" s="1">
        <v>46038.437361111108</v>
      </c>
      <c r="O548" s="3" t="s">
        <v>43</v>
      </c>
      <c r="P548" s="3" t="s">
        <v>3318</v>
      </c>
      <c r="Q548" s="3" t="s">
        <v>42</v>
      </c>
      <c r="R548" s="3" t="s">
        <v>3317</v>
      </c>
      <c r="S548" s="3" t="s">
        <v>37</v>
      </c>
      <c r="T548" s="3" t="s">
        <v>36</v>
      </c>
      <c r="U548" s="4" t="b">
        <v>1</v>
      </c>
      <c r="V548" s="3" t="s">
        <v>28</v>
      </c>
      <c r="W548" s="1"/>
      <c r="Y548" s="3" t="s">
        <v>29</v>
      </c>
      <c r="Z548" s="3" t="s">
        <v>29</v>
      </c>
      <c r="AA548" s="3"/>
      <c r="AB548" s="3"/>
      <c r="AC548" s="4" t="s">
        <v>30</v>
      </c>
      <c r="AD548" s="3"/>
      <c r="AE548" s="3" t="s">
        <v>3318</v>
      </c>
      <c r="AF548" s="4" t="s">
        <v>30</v>
      </c>
      <c r="AH548" s="4">
        <v>2</v>
      </c>
      <c r="AI548" s="3" t="s">
        <v>3330</v>
      </c>
      <c r="AJ548" s="4" t="s">
        <v>3316</v>
      </c>
      <c r="AK548" s="4"/>
      <c r="AL548" s="3"/>
    </row>
    <row r="549" spans="1:38" x14ac:dyDescent="0.35">
      <c r="A549" s="3" t="s">
        <v>3331</v>
      </c>
      <c r="B549" s="4" t="s">
        <v>3336</v>
      </c>
      <c r="C549" s="4">
        <f>VLOOKUP(A549, [1]Planilha1!$A$3:$B$1015,2,FALSE)</f>
        <v>5192</v>
      </c>
      <c r="D549" s="4">
        <f t="shared" si="8"/>
        <v>1.4422222222222223</v>
      </c>
      <c r="E549" s="4" t="s">
        <v>1125</v>
      </c>
      <c r="F549" s="3" t="s">
        <v>3333</v>
      </c>
      <c r="G549" s="3" t="s">
        <v>44</v>
      </c>
      <c r="H549" s="3" t="s">
        <v>44</v>
      </c>
      <c r="I549" s="3" t="s">
        <v>33</v>
      </c>
      <c r="J549" s="3" t="s">
        <v>41</v>
      </c>
      <c r="L549" s="1">
        <v>46038.399814814817</v>
      </c>
      <c r="M549" s="1">
        <v>46038.406481481485</v>
      </c>
      <c r="N549" s="1">
        <v>46038.436527777776</v>
      </c>
      <c r="O549" s="3" t="s">
        <v>43</v>
      </c>
      <c r="P549" s="3" t="s">
        <v>3336</v>
      </c>
      <c r="Q549" s="3" t="s">
        <v>42</v>
      </c>
      <c r="R549" s="3" t="s">
        <v>3335</v>
      </c>
      <c r="S549" s="3" t="s">
        <v>96</v>
      </c>
      <c r="T549" s="3" t="s">
        <v>95</v>
      </c>
      <c r="U549" s="4" t="b">
        <v>1</v>
      </c>
      <c r="V549" s="3" t="s">
        <v>31</v>
      </c>
      <c r="W549" s="1"/>
      <c r="Y549" s="3" t="s">
        <v>32</v>
      </c>
      <c r="Z549" s="3" t="s">
        <v>32</v>
      </c>
      <c r="AA549" s="3"/>
      <c r="AB549" s="3"/>
      <c r="AC549" s="4" t="s">
        <v>30</v>
      </c>
      <c r="AD549" s="3"/>
      <c r="AE549" s="3" t="s">
        <v>3336</v>
      </c>
      <c r="AF549" s="4" t="s">
        <v>30</v>
      </c>
      <c r="AH549" s="4">
        <v>1</v>
      </c>
      <c r="AI549" s="3" t="s">
        <v>3332</v>
      </c>
      <c r="AJ549" s="4" t="s">
        <v>3334</v>
      </c>
      <c r="AK549" s="4"/>
      <c r="AL549" s="3"/>
    </row>
    <row r="550" spans="1:38" x14ac:dyDescent="0.35">
      <c r="A550" s="3" t="s">
        <v>3337</v>
      </c>
      <c r="B550" s="4" t="s">
        <v>3343</v>
      </c>
      <c r="C550" s="4">
        <f>VLOOKUP(A550, [1]Planilha1!$A$3:$B$1015,2,FALSE)</f>
        <v>7126</v>
      </c>
      <c r="D550" s="4">
        <f t="shared" si="8"/>
        <v>1.9794444444444443</v>
      </c>
      <c r="E550" s="4" t="s">
        <v>1125</v>
      </c>
      <c r="F550" s="3" t="s">
        <v>3340</v>
      </c>
      <c r="G550" s="3" t="s">
        <v>3338</v>
      </c>
      <c r="H550" s="3" t="s">
        <v>171</v>
      </c>
      <c r="I550" s="3" t="s">
        <v>33</v>
      </c>
      <c r="J550" s="3" t="s">
        <v>41</v>
      </c>
      <c r="L550" s="1">
        <v>46038.281875000001</v>
      </c>
      <c r="M550" s="1">
        <v>46038.281875000001</v>
      </c>
      <c r="N550" s="1">
        <v>46038.374143518522</v>
      </c>
      <c r="O550" s="3" t="s">
        <v>170</v>
      </c>
      <c r="P550" s="3" t="s">
        <v>3343</v>
      </c>
      <c r="Q550" s="3" t="s">
        <v>35</v>
      </c>
      <c r="R550" s="3" t="s">
        <v>3342</v>
      </c>
      <c r="S550" s="3" t="s">
        <v>37</v>
      </c>
      <c r="T550" s="3" t="s">
        <v>36</v>
      </c>
      <c r="U550" s="4" t="b">
        <v>1</v>
      </c>
      <c r="V550" s="3" t="s">
        <v>28</v>
      </c>
      <c r="W550" s="1"/>
      <c r="Y550" s="3" t="s">
        <v>29</v>
      </c>
      <c r="Z550" s="3" t="s">
        <v>29</v>
      </c>
      <c r="AA550" s="3"/>
      <c r="AB550" s="3"/>
      <c r="AC550" s="4" t="s">
        <v>30</v>
      </c>
      <c r="AD550" s="3"/>
      <c r="AE550" s="3" t="s">
        <v>3343</v>
      </c>
      <c r="AF550" s="4" t="s">
        <v>30</v>
      </c>
      <c r="AH550" s="4">
        <v>1</v>
      </c>
      <c r="AI550" s="3" t="s">
        <v>3339</v>
      </c>
      <c r="AJ550" s="4" t="s">
        <v>3341</v>
      </c>
      <c r="AK550" s="4"/>
      <c r="AL550" s="3"/>
    </row>
    <row r="551" spans="1:38" x14ac:dyDescent="0.35">
      <c r="A551" s="3" t="s">
        <v>3344</v>
      </c>
      <c r="B551" s="4" t="s">
        <v>3350</v>
      </c>
      <c r="C551" s="4">
        <f>VLOOKUP(A551, [1]Planilha1!$A$3:$B$1015,2,FALSE)</f>
        <v>13008</v>
      </c>
      <c r="D551" s="4">
        <f t="shared" si="8"/>
        <v>3.6133333333333333</v>
      </c>
      <c r="E551" s="4" t="s">
        <v>1125</v>
      </c>
      <c r="F551" s="3" t="s">
        <v>3347</v>
      </c>
      <c r="G551" s="3" t="s">
        <v>3345</v>
      </c>
      <c r="H551" s="3" t="s">
        <v>44</v>
      </c>
      <c r="I551" s="3" t="s">
        <v>33</v>
      </c>
      <c r="J551" s="3" t="s">
        <v>41</v>
      </c>
      <c r="L551" s="1">
        <v>46037.7815625</v>
      </c>
      <c r="M551" s="1">
        <v>46037.7815625</v>
      </c>
      <c r="N551" s="1">
        <v>46038.405034722222</v>
      </c>
      <c r="O551" s="3" t="s">
        <v>43</v>
      </c>
      <c r="P551" s="3" t="s">
        <v>3350</v>
      </c>
      <c r="Q551" s="3" t="s">
        <v>42</v>
      </c>
      <c r="R551" s="3" t="s">
        <v>3349</v>
      </c>
      <c r="S551" s="3" t="s">
        <v>37</v>
      </c>
      <c r="T551" s="3" t="s">
        <v>36</v>
      </c>
      <c r="U551" s="4" t="b">
        <v>1</v>
      </c>
      <c r="V551" s="3" t="s">
        <v>28</v>
      </c>
      <c r="W551" s="1"/>
      <c r="Y551" s="3" t="s">
        <v>29</v>
      </c>
      <c r="Z551" s="3" t="s">
        <v>29</v>
      </c>
      <c r="AA551" s="3"/>
      <c r="AB551" s="3"/>
      <c r="AC551" s="4" t="s">
        <v>30</v>
      </c>
      <c r="AD551" s="3"/>
      <c r="AE551" s="3" t="s">
        <v>3350</v>
      </c>
      <c r="AF551" s="4" t="s">
        <v>30</v>
      </c>
      <c r="AH551" s="4">
        <v>2</v>
      </c>
      <c r="AI551" s="3" t="s">
        <v>3346</v>
      </c>
      <c r="AJ551" s="4" t="s">
        <v>3348</v>
      </c>
      <c r="AK551" s="4"/>
      <c r="AL551" s="3"/>
    </row>
    <row r="552" spans="1:38" x14ac:dyDescent="0.35">
      <c r="A552" s="3" t="s">
        <v>3351</v>
      </c>
      <c r="B552" s="4" t="s">
        <v>3357</v>
      </c>
      <c r="C552" s="4">
        <f>VLOOKUP(A552, [1]Planilha1!$A$3:$B$1015,2,FALSE)</f>
        <v>10085</v>
      </c>
      <c r="D552" s="4">
        <f t="shared" si="8"/>
        <v>2.8013888888888889</v>
      </c>
      <c r="E552" s="4" t="s">
        <v>1125</v>
      </c>
      <c r="F552" s="3" t="s">
        <v>3355</v>
      </c>
      <c r="G552" s="3" t="s">
        <v>3352</v>
      </c>
      <c r="H552" s="3" t="s">
        <v>112</v>
      </c>
      <c r="I552" s="3" t="s">
        <v>33</v>
      </c>
      <c r="J552" s="3" t="s">
        <v>41</v>
      </c>
      <c r="K552" s="3" t="s">
        <v>3354</v>
      </c>
      <c r="L552" s="1">
        <v>46037.754004629627</v>
      </c>
      <c r="M552" s="1">
        <v>46037.754004629627</v>
      </c>
      <c r="N552" s="1">
        <v>46038.370729166665</v>
      </c>
      <c r="O552" s="3" t="s">
        <v>111</v>
      </c>
      <c r="P552" s="3" t="s">
        <v>3357</v>
      </c>
      <c r="Q552" s="3" t="s">
        <v>42</v>
      </c>
      <c r="R552" s="3" t="s">
        <v>3356</v>
      </c>
      <c r="S552" s="3" t="s">
        <v>37</v>
      </c>
      <c r="T552" s="3" t="s">
        <v>36</v>
      </c>
      <c r="U552" s="4" t="b">
        <v>1</v>
      </c>
      <c r="V552" s="3" t="s">
        <v>28</v>
      </c>
      <c r="W552" s="1"/>
      <c r="Y552" s="3" t="s">
        <v>29</v>
      </c>
      <c r="Z552" s="3" t="s">
        <v>29</v>
      </c>
      <c r="AA552" s="3"/>
      <c r="AB552" s="3"/>
      <c r="AC552" s="4" t="s">
        <v>30</v>
      </c>
      <c r="AD552" s="3"/>
      <c r="AE552" s="3" t="s">
        <v>3357</v>
      </c>
      <c r="AF552" s="4" t="s">
        <v>30</v>
      </c>
      <c r="AH552" s="4">
        <v>0</v>
      </c>
      <c r="AI552" s="3" t="s">
        <v>3353</v>
      </c>
      <c r="AJ552" s="4" t="s">
        <v>5892</v>
      </c>
      <c r="AK552" s="4"/>
      <c r="AL552" s="3"/>
    </row>
    <row r="553" spans="1:38" x14ac:dyDescent="0.35">
      <c r="A553" s="3" t="s">
        <v>3358</v>
      </c>
      <c r="B553" s="4" t="s">
        <v>2125</v>
      </c>
      <c r="C553" s="4">
        <f>VLOOKUP(A553, [1]Planilha1!$A$3:$B$1015,2,FALSE)</f>
        <v>438</v>
      </c>
      <c r="D553" s="4">
        <f t="shared" si="8"/>
        <v>0.12166666666666667</v>
      </c>
      <c r="E553" s="4" t="s">
        <v>1125</v>
      </c>
      <c r="F553" s="3" t="s">
        <v>2123</v>
      </c>
      <c r="G553" s="3" t="s">
        <v>74</v>
      </c>
      <c r="H553" s="3" t="s">
        <v>44</v>
      </c>
      <c r="I553" s="3" t="s">
        <v>33</v>
      </c>
      <c r="J553" s="3" t="s">
        <v>41</v>
      </c>
      <c r="L553" s="1">
        <v>46037.746134259258</v>
      </c>
      <c r="M553" s="1">
        <v>46037.747465277775</v>
      </c>
      <c r="N553" s="1">
        <v>46038.347094907411</v>
      </c>
      <c r="O553" s="3" t="s">
        <v>43</v>
      </c>
      <c r="P553" s="3" t="s">
        <v>2125</v>
      </c>
      <c r="Q553" s="3" t="s">
        <v>42</v>
      </c>
      <c r="R553" s="3" t="s">
        <v>2124</v>
      </c>
      <c r="S553" s="3" t="s">
        <v>80</v>
      </c>
      <c r="T553" s="3" t="s">
        <v>79</v>
      </c>
      <c r="U553" s="4" t="b">
        <v>1</v>
      </c>
      <c r="V553" s="3" t="s">
        <v>31</v>
      </c>
      <c r="W553" s="1"/>
      <c r="Y553" s="3" t="s">
        <v>32</v>
      </c>
      <c r="Z553" s="3" t="s">
        <v>32</v>
      </c>
      <c r="AA553" s="3"/>
      <c r="AB553" s="3"/>
      <c r="AC553" s="4" t="s">
        <v>30</v>
      </c>
      <c r="AD553" s="3"/>
      <c r="AE553" s="3" t="s">
        <v>2125</v>
      </c>
      <c r="AF553" s="4" t="s">
        <v>30</v>
      </c>
      <c r="AH553" s="4">
        <v>1</v>
      </c>
      <c r="AI553" s="3" t="s">
        <v>3359</v>
      </c>
      <c r="AJ553" s="4" t="s">
        <v>5856</v>
      </c>
      <c r="AK553" s="4"/>
      <c r="AL553" s="3"/>
    </row>
    <row r="554" spans="1:38" x14ac:dyDescent="0.35">
      <c r="A554" s="3" t="s">
        <v>3360</v>
      </c>
      <c r="B554" s="4" t="s">
        <v>3366</v>
      </c>
      <c r="C554" s="4">
        <f>VLOOKUP(A554, [1]Planilha1!$A$3:$B$1015,2,FALSE)</f>
        <v>0</v>
      </c>
      <c r="D554" s="4">
        <f t="shared" si="8"/>
        <v>0</v>
      </c>
      <c r="E554" s="4" t="s">
        <v>1125</v>
      </c>
      <c r="F554" s="3" t="s">
        <v>3363</v>
      </c>
      <c r="G554" s="3" t="s">
        <v>126</v>
      </c>
      <c r="H554" s="3" t="s">
        <v>126</v>
      </c>
      <c r="I554" s="3" t="s">
        <v>33</v>
      </c>
      <c r="J554" s="3" t="s">
        <v>60</v>
      </c>
      <c r="K554" s="3" t="s">
        <v>3362</v>
      </c>
      <c r="L554" s="1">
        <v>46037.72965277778</v>
      </c>
      <c r="M554" s="1">
        <v>46037.735092592593</v>
      </c>
      <c r="N554" s="1">
        <v>46040.75</v>
      </c>
      <c r="O554" s="3" t="s">
        <v>125</v>
      </c>
      <c r="P554" s="3" t="s">
        <v>3366</v>
      </c>
      <c r="Q554" s="3" t="s">
        <v>42</v>
      </c>
      <c r="R554" s="3" t="s">
        <v>3365</v>
      </c>
      <c r="S554" s="3" t="s">
        <v>120</v>
      </c>
      <c r="T554" s="3" t="s">
        <v>119</v>
      </c>
      <c r="U554" s="4" t="b">
        <v>1</v>
      </c>
      <c r="V554" s="3" t="s">
        <v>31</v>
      </c>
      <c r="W554" s="1"/>
      <c r="Y554" s="3" t="s">
        <v>32</v>
      </c>
      <c r="Z554" s="3" t="s">
        <v>32</v>
      </c>
      <c r="AA554" s="3"/>
      <c r="AB554" s="3"/>
      <c r="AC554" s="4" t="s">
        <v>30</v>
      </c>
      <c r="AD554" s="3"/>
      <c r="AE554" s="3" t="s">
        <v>3366</v>
      </c>
      <c r="AF554" s="4" t="s">
        <v>30</v>
      </c>
      <c r="AH554" s="4">
        <v>0</v>
      </c>
      <c r="AI554" s="3" t="s">
        <v>3361</v>
      </c>
      <c r="AJ554" s="4" t="s">
        <v>3364</v>
      </c>
      <c r="AK554" s="4"/>
      <c r="AL554" s="3"/>
    </row>
    <row r="555" spans="1:38" x14ac:dyDescent="0.35">
      <c r="A555" s="3" t="s">
        <v>3367</v>
      </c>
      <c r="B555" s="4" t="s">
        <v>3372</v>
      </c>
      <c r="C555" s="4">
        <f>VLOOKUP(A555, [1]Planilha1!$A$3:$B$1015,2,FALSE)</f>
        <v>17046</v>
      </c>
      <c r="D555" s="4">
        <f t="shared" si="8"/>
        <v>4.7350000000000003</v>
      </c>
      <c r="E555" s="4" t="s">
        <v>1125</v>
      </c>
      <c r="F555" s="3" t="s">
        <v>3370</v>
      </c>
      <c r="G555" s="3" t="s">
        <v>3368</v>
      </c>
      <c r="H555" s="3" t="s">
        <v>224</v>
      </c>
      <c r="I555" s="3" t="s">
        <v>33</v>
      </c>
      <c r="J555" s="3" t="s">
        <v>41</v>
      </c>
      <c r="L555" s="1">
        <v>46037.708506944444</v>
      </c>
      <c r="M555" s="1">
        <v>46037.708506944444</v>
      </c>
      <c r="N555" s="1">
        <v>46038.364317129628</v>
      </c>
      <c r="O555" s="3" t="s">
        <v>223</v>
      </c>
      <c r="P555" s="3" t="s">
        <v>3372</v>
      </c>
      <c r="Q555" s="3" t="s">
        <v>35</v>
      </c>
      <c r="R555" s="3" t="s">
        <v>3371</v>
      </c>
      <c r="S555" s="3" t="s">
        <v>37</v>
      </c>
      <c r="T555" s="3" t="s">
        <v>36</v>
      </c>
      <c r="U555" s="4" t="b">
        <v>1</v>
      </c>
      <c r="V555" s="3" t="s">
        <v>28</v>
      </c>
      <c r="W555" s="1"/>
      <c r="Y555" s="3" t="s">
        <v>29</v>
      </c>
      <c r="Z555" s="3" t="s">
        <v>29</v>
      </c>
      <c r="AA555" s="3"/>
      <c r="AB555" s="3"/>
      <c r="AC555" s="4" t="s">
        <v>30</v>
      </c>
      <c r="AD555" s="3"/>
      <c r="AE555" s="3" t="s">
        <v>3372</v>
      </c>
      <c r="AF555" s="4" t="s">
        <v>30</v>
      </c>
      <c r="AH555" s="4">
        <v>1</v>
      </c>
      <c r="AI555" s="3" t="s">
        <v>3369</v>
      </c>
      <c r="AJ555" s="4" t="s">
        <v>5893</v>
      </c>
      <c r="AK555" s="4"/>
      <c r="AL555" s="3"/>
    </row>
    <row r="556" spans="1:38" x14ac:dyDescent="0.35">
      <c r="A556" s="3" t="s">
        <v>3373</v>
      </c>
      <c r="B556" s="4" t="s">
        <v>3372</v>
      </c>
      <c r="C556" s="4">
        <f>VLOOKUP(A556, [1]Planilha1!$A$3:$B$1015,2,FALSE)</f>
        <v>0</v>
      </c>
      <c r="D556" s="4">
        <f t="shared" si="8"/>
        <v>0</v>
      </c>
      <c r="E556" s="4" t="s">
        <v>1125</v>
      </c>
      <c r="F556" s="3" t="s">
        <v>3370</v>
      </c>
      <c r="G556" s="3" t="s">
        <v>3374</v>
      </c>
      <c r="H556" s="3" t="s">
        <v>44</v>
      </c>
      <c r="I556" s="3" t="s">
        <v>33</v>
      </c>
      <c r="J556" s="3" t="s">
        <v>60</v>
      </c>
      <c r="K556" s="3" t="s">
        <v>3376</v>
      </c>
      <c r="L556" s="1">
        <v>46037.70034722222</v>
      </c>
      <c r="M556" s="1">
        <v>46037.705636574072</v>
      </c>
      <c r="N556" s="1">
        <v>46040.708333333336</v>
      </c>
      <c r="O556" s="3" t="s">
        <v>43</v>
      </c>
      <c r="P556" s="3" t="s">
        <v>3372</v>
      </c>
      <c r="Q556" s="3" t="s">
        <v>42</v>
      </c>
      <c r="R556" s="3" t="s">
        <v>3371</v>
      </c>
      <c r="S556" s="3" t="s">
        <v>120</v>
      </c>
      <c r="T556" s="3" t="s">
        <v>119</v>
      </c>
      <c r="U556" s="4" t="b">
        <v>1</v>
      </c>
      <c r="V556" s="3" t="s">
        <v>31</v>
      </c>
      <c r="W556" s="1"/>
      <c r="Y556" s="3" t="s">
        <v>32</v>
      </c>
      <c r="Z556" s="3" t="s">
        <v>32</v>
      </c>
      <c r="AA556" s="3"/>
      <c r="AB556" s="3"/>
      <c r="AC556" s="4" t="s">
        <v>30</v>
      </c>
      <c r="AD556" s="3"/>
      <c r="AE556" s="3" t="s">
        <v>3372</v>
      </c>
      <c r="AF556" s="4" t="s">
        <v>30</v>
      </c>
      <c r="AH556" s="4">
        <v>0</v>
      </c>
      <c r="AI556" s="3" t="s">
        <v>3375</v>
      </c>
      <c r="AJ556" s="4" t="s">
        <v>5893</v>
      </c>
      <c r="AK556" s="4"/>
      <c r="AL556" s="3"/>
    </row>
    <row r="557" spans="1:38" x14ac:dyDescent="0.35">
      <c r="A557" s="3" t="s">
        <v>3377</v>
      </c>
      <c r="B557" s="4" t="s">
        <v>3382</v>
      </c>
      <c r="C557" s="4">
        <f>VLOOKUP(A557, [1]Planilha1!$A$3:$B$1015,2,FALSE)</f>
        <v>8532</v>
      </c>
      <c r="D557" s="4">
        <f t="shared" si="8"/>
        <v>2.37</v>
      </c>
      <c r="E557" s="4" t="s">
        <v>1125</v>
      </c>
      <c r="F557" s="3" t="s">
        <v>3379</v>
      </c>
      <c r="G557" s="3" t="s">
        <v>74</v>
      </c>
      <c r="H557" s="3" t="s">
        <v>44</v>
      </c>
      <c r="I557" s="3" t="s">
        <v>33</v>
      </c>
      <c r="J557" s="3" t="s">
        <v>41</v>
      </c>
      <c r="L557" s="1">
        <v>46037.693761574075</v>
      </c>
      <c r="M557" s="1">
        <v>46037.700624999998</v>
      </c>
      <c r="N557" s="1">
        <v>46038.346331018518</v>
      </c>
      <c r="O557" s="3" t="s">
        <v>43</v>
      </c>
      <c r="P557" s="3" t="s">
        <v>3382</v>
      </c>
      <c r="Q557" s="3" t="s">
        <v>42</v>
      </c>
      <c r="R557" s="3" t="s">
        <v>3381</v>
      </c>
      <c r="S557" s="3" t="s">
        <v>80</v>
      </c>
      <c r="T557" s="3" t="s">
        <v>79</v>
      </c>
      <c r="U557" s="4" t="b">
        <v>1</v>
      </c>
      <c r="V557" s="3" t="s">
        <v>31</v>
      </c>
      <c r="W557" s="1"/>
      <c r="Y557" s="3" t="s">
        <v>32</v>
      </c>
      <c r="Z557" s="3" t="s">
        <v>32</v>
      </c>
      <c r="AA557" s="3"/>
      <c r="AB557" s="3"/>
      <c r="AC557" s="4" t="s">
        <v>30</v>
      </c>
      <c r="AD557" s="3"/>
      <c r="AE557" s="3" t="s">
        <v>3382</v>
      </c>
      <c r="AF557" s="4" t="s">
        <v>30</v>
      </c>
      <c r="AH557" s="4">
        <v>1</v>
      </c>
      <c r="AI557" s="3" t="s">
        <v>3378</v>
      </c>
      <c r="AJ557" s="4" t="s">
        <v>3380</v>
      </c>
      <c r="AK557" s="4"/>
      <c r="AL557" s="3"/>
    </row>
    <row r="558" spans="1:38" x14ac:dyDescent="0.35">
      <c r="A558" s="3" t="s">
        <v>3383</v>
      </c>
      <c r="B558" s="4" t="s">
        <v>3387</v>
      </c>
      <c r="C558" s="4">
        <f>VLOOKUP(A558, [1]Planilha1!$A$3:$B$1015,2,FALSE)</f>
        <v>0</v>
      </c>
      <c r="D558" s="4">
        <f t="shared" si="8"/>
        <v>0</v>
      </c>
      <c r="E558" s="4" t="s">
        <v>1125</v>
      </c>
      <c r="F558" s="3" t="s">
        <v>3386</v>
      </c>
      <c r="G558" s="3" t="s">
        <v>677</v>
      </c>
      <c r="H558" s="3" t="s">
        <v>677</v>
      </c>
      <c r="I558" s="3" t="s">
        <v>33</v>
      </c>
      <c r="J558" s="3" t="s">
        <v>60</v>
      </c>
      <c r="K558" s="3" t="s">
        <v>3385</v>
      </c>
      <c r="L558" s="1">
        <v>46037.693495370368</v>
      </c>
      <c r="M558" s="1">
        <v>46037.700972222221</v>
      </c>
      <c r="N558" s="1">
        <v>46040.708333333336</v>
      </c>
      <c r="O558" s="3" t="s">
        <v>1097</v>
      </c>
      <c r="P558" s="3" t="s">
        <v>3387</v>
      </c>
      <c r="Q558" s="3" t="s">
        <v>42</v>
      </c>
      <c r="R558" s="3" t="s">
        <v>3388</v>
      </c>
      <c r="S558" s="3" t="s">
        <v>120</v>
      </c>
      <c r="T558" s="3" t="s">
        <v>119</v>
      </c>
      <c r="U558" s="4" t="b">
        <v>1</v>
      </c>
      <c r="V558" s="3" t="s">
        <v>31</v>
      </c>
      <c r="W558" s="1"/>
      <c r="Y558" s="3" t="s">
        <v>32</v>
      </c>
      <c r="Z558" s="3" t="s">
        <v>32</v>
      </c>
      <c r="AA558" s="3"/>
      <c r="AB558" s="3"/>
      <c r="AC558" s="4" t="s">
        <v>30</v>
      </c>
      <c r="AD558" s="3"/>
      <c r="AE558" s="3" t="s">
        <v>3387</v>
      </c>
      <c r="AF558" s="4" t="s">
        <v>30</v>
      </c>
      <c r="AH558" s="4">
        <v>0</v>
      </c>
      <c r="AI558" s="3" t="s">
        <v>3384</v>
      </c>
      <c r="AJ558" s="4" t="s">
        <v>5894</v>
      </c>
      <c r="AK558" s="4"/>
      <c r="AL558" s="3"/>
    </row>
    <row r="559" spans="1:38" x14ac:dyDescent="0.35">
      <c r="A559" s="3" t="s">
        <v>3389</v>
      </c>
      <c r="B559" s="4" t="s">
        <v>1081</v>
      </c>
      <c r="C559" s="4">
        <f>VLOOKUP(A559, [1]Planilha1!$A$3:$B$1015,2,FALSE)</f>
        <v>0</v>
      </c>
      <c r="D559" s="4">
        <f t="shared" si="8"/>
        <v>0</v>
      </c>
      <c r="E559" s="4" t="s">
        <v>1125</v>
      </c>
      <c r="F559" s="3" t="s">
        <v>1080</v>
      </c>
      <c r="G559" s="3" t="s">
        <v>1125</v>
      </c>
      <c r="H559" s="3" t="s">
        <v>727</v>
      </c>
      <c r="I559" s="3" t="s">
        <v>33</v>
      </c>
      <c r="J559" s="3" t="s">
        <v>459</v>
      </c>
      <c r="L559" s="1">
        <v>46037.693043981482</v>
      </c>
      <c r="M559" s="1">
        <v>46037.703414351854</v>
      </c>
      <c r="N559" s="1">
        <v>46040.708333333336</v>
      </c>
      <c r="O559" s="3" t="s">
        <v>726</v>
      </c>
      <c r="P559" s="3" t="s">
        <v>1081</v>
      </c>
      <c r="Q559" s="3" t="s">
        <v>35</v>
      </c>
      <c r="S559" s="3" t="s">
        <v>80</v>
      </c>
      <c r="T559" s="3" t="s">
        <v>79</v>
      </c>
      <c r="U559" s="4" t="b">
        <v>1</v>
      </c>
      <c r="V559" s="3" t="s">
        <v>31</v>
      </c>
      <c r="W559" s="1"/>
      <c r="Y559" s="3" t="s">
        <v>32</v>
      </c>
      <c r="Z559" s="3" t="s">
        <v>32</v>
      </c>
      <c r="AA559" s="3"/>
      <c r="AB559" s="3"/>
      <c r="AC559" s="4" t="s">
        <v>30</v>
      </c>
      <c r="AD559" s="3"/>
      <c r="AE559" s="3" t="s">
        <v>1081</v>
      </c>
      <c r="AF559" s="4" t="s">
        <v>30</v>
      </c>
      <c r="AH559" s="4">
        <v>0</v>
      </c>
      <c r="AI559" s="3" t="s">
        <v>3390</v>
      </c>
      <c r="AJ559" s="4"/>
      <c r="AK559" s="4"/>
      <c r="AL559" s="3"/>
    </row>
    <row r="560" spans="1:38" x14ac:dyDescent="0.35">
      <c r="A560" s="3" t="s">
        <v>3391</v>
      </c>
      <c r="B560" s="4" t="s">
        <v>3396</v>
      </c>
      <c r="C560" s="4">
        <f>VLOOKUP(A560, [1]Planilha1!$A$3:$B$1015,2,FALSE)</f>
        <v>24410</v>
      </c>
      <c r="D560" s="4">
        <f t="shared" si="8"/>
        <v>6.7805555555555559</v>
      </c>
      <c r="E560" s="4" t="s">
        <v>1125</v>
      </c>
      <c r="F560" s="3" t="s">
        <v>3394</v>
      </c>
      <c r="G560" s="3" t="s">
        <v>3392</v>
      </c>
      <c r="H560" s="3" t="s">
        <v>171</v>
      </c>
      <c r="I560" s="3" t="s">
        <v>33</v>
      </c>
      <c r="J560" s="3" t="s">
        <v>41</v>
      </c>
      <c r="L560" s="1">
        <v>46037.664594907408</v>
      </c>
      <c r="M560" s="1">
        <v>46037.664594907408</v>
      </c>
      <c r="N560" s="1">
        <v>46038.361712962964</v>
      </c>
      <c r="O560" s="3" t="s">
        <v>170</v>
      </c>
      <c r="P560" s="3" t="s">
        <v>3396</v>
      </c>
      <c r="Q560" s="3" t="s">
        <v>42</v>
      </c>
      <c r="R560" s="3" t="s">
        <v>3395</v>
      </c>
      <c r="S560" s="3" t="s">
        <v>37</v>
      </c>
      <c r="T560" s="3" t="s">
        <v>36</v>
      </c>
      <c r="U560" s="4" t="b">
        <v>1</v>
      </c>
      <c r="V560" s="3" t="s">
        <v>28</v>
      </c>
      <c r="W560" s="1"/>
      <c r="Y560" s="3" t="s">
        <v>29</v>
      </c>
      <c r="Z560" s="3" t="s">
        <v>29</v>
      </c>
      <c r="AA560" s="3"/>
      <c r="AB560" s="3"/>
      <c r="AC560" s="4" t="s">
        <v>30</v>
      </c>
      <c r="AD560" s="3"/>
      <c r="AE560" s="3" t="s">
        <v>3396</v>
      </c>
      <c r="AF560" s="4" t="s">
        <v>30</v>
      </c>
      <c r="AH560" s="4">
        <v>1</v>
      </c>
      <c r="AI560" s="3" t="s">
        <v>3393</v>
      </c>
      <c r="AJ560" s="4" t="s">
        <v>5895</v>
      </c>
      <c r="AK560" s="4"/>
      <c r="AL560" s="3"/>
    </row>
    <row r="561" spans="1:38" x14ac:dyDescent="0.35">
      <c r="A561" s="3" t="s">
        <v>3397</v>
      </c>
      <c r="B561" s="4" t="s">
        <v>3108</v>
      </c>
      <c r="C561" s="4">
        <f>VLOOKUP(A561, [1]Planilha1!$A$3:$B$1015,2,FALSE)</f>
        <v>0</v>
      </c>
      <c r="D561" s="4">
        <f t="shared" si="8"/>
        <v>0</v>
      </c>
      <c r="E561" s="4" t="s">
        <v>1125</v>
      </c>
      <c r="F561" s="3" t="s">
        <v>3400</v>
      </c>
      <c r="G561" s="3" t="s">
        <v>134</v>
      </c>
      <c r="H561" s="3" t="s">
        <v>138</v>
      </c>
      <c r="I561" s="3" t="s">
        <v>33</v>
      </c>
      <c r="J561" s="3" t="s">
        <v>60</v>
      </c>
      <c r="K561" s="3" t="s">
        <v>3399</v>
      </c>
      <c r="L561" s="1">
        <v>46037.663344907407</v>
      </c>
      <c r="M561" s="1">
        <v>46037.675509259258</v>
      </c>
      <c r="N561" s="1">
        <v>46040.708333333336</v>
      </c>
      <c r="O561" s="3" t="s">
        <v>137</v>
      </c>
      <c r="P561" s="3" t="s">
        <v>3108</v>
      </c>
      <c r="Q561" s="3" t="s">
        <v>35</v>
      </c>
      <c r="R561" s="3" t="s">
        <v>3107</v>
      </c>
      <c r="S561" s="3" t="s">
        <v>144</v>
      </c>
      <c r="T561" s="3" t="s">
        <v>143</v>
      </c>
      <c r="U561" s="4" t="b">
        <v>1</v>
      </c>
      <c r="V561" s="3" t="s">
        <v>31</v>
      </c>
      <c r="W561" s="1"/>
      <c r="Y561" s="3" t="s">
        <v>32</v>
      </c>
      <c r="Z561" s="3" t="s">
        <v>32</v>
      </c>
      <c r="AA561" s="3"/>
      <c r="AB561" s="3"/>
      <c r="AC561" s="4" t="s">
        <v>30</v>
      </c>
      <c r="AD561" s="3"/>
      <c r="AE561" s="3" t="s">
        <v>3108</v>
      </c>
      <c r="AF561" s="4" t="s">
        <v>30</v>
      </c>
      <c r="AH561" s="4">
        <v>0</v>
      </c>
      <c r="AI561" s="3" t="s">
        <v>3398</v>
      </c>
      <c r="AJ561" s="4" t="s">
        <v>5896</v>
      </c>
      <c r="AK561" s="4"/>
      <c r="AL561" s="3"/>
    </row>
    <row r="562" spans="1:38" x14ac:dyDescent="0.35">
      <c r="A562" s="3" t="s">
        <v>3401</v>
      </c>
      <c r="B562" s="4" t="s">
        <v>3407</v>
      </c>
      <c r="C562" s="4">
        <f>VLOOKUP(A562, [1]Planilha1!$A$3:$B$1015,2,FALSE)</f>
        <v>37104</v>
      </c>
      <c r="D562" s="4">
        <f t="shared" si="8"/>
        <v>10.306666666666667</v>
      </c>
      <c r="E562" s="4" t="s">
        <v>1125</v>
      </c>
      <c r="F562" s="3" t="s">
        <v>3404</v>
      </c>
      <c r="G562" s="3" t="s">
        <v>3402</v>
      </c>
      <c r="H562" s="3" t="s">
        <v>44</v>
      </c>
      <c r="I562" s="3" t="s">
        <v>33</v>
      </c>
      <c r="J562" s="3" t="s">
        <v>41</v>
      </c>
      <c r="L562" s="1">
        <v>46037.662199074075</v>
      </c>
      <c r="M562" s="1">
        <v>46037.662199074075</v>
      </c>
      <c r="N562" s="1">
        <v>46038.404236111113</v>
      </c>
      <c r="O562" s="3" t="s">
        <v>43</v>
      </c>
      <c r="P562" s="3" t="s">
        <v>3407</v>
      </c>
      <c r="Q562" s="3" t="s">
        <v>42</v>
      </c>
      <c r="R562" s="3" t="s">
        <v>3406</v>
      </c>
      <c r="S562" s="3" t="s">
        <v>37</v>
      </c>
      <c r="T562" s="3" t="s">
        <v>36</v>
      </c>
      <c r="U562" s="4" t="b">
        <v>1</v>
      </c>
      <c r="V562" s="3" t="s">
        <v>28</v>
      </c>
      <c r="W562" s="1"/>
      <c r="Y562" s="3" t="s">
        <v>29</v>
      </c>
      <c r="Z562" s="3" t="s">
        <v>29</v>
      </c>
      <c r="AA562" s="3"/>
      <c r="AB562" s="3"/>
      <c r="AC562" s="4" t="s">
        <v>30</v>
      </c>
      <c r="AD562" s="3"/>
      <c r="AE562" s="3" t="s">
        <v>3407</v>
      </c>
      <c r="AF562" s="4" t="s">
        <v>30</v>
      </c>
      <c r="AH562" s="4">
        <v>3</v>
      </c>
      <c r="AI562" s="3" t="s">
        <v>3403</v>
      </c>
      <c r="AJ562" s="4" t="s">
        <v>3405</v>
      </c>
      <c r="AK562" s="4"/>
      <c r="AL562" s="3"/>
    </row>
    <row r="563" spans="1:38" x14ac:dyDescent="0.35">
      <c r="A563" s="3" t="s">
        <v>3408</v>
      </c>
      <c r="B563" s="4" t="s">
        <v>1894</v>
      </c>
      <c r="C563" s="4">
        <f>VLOOKUP(A563, [1]Planilha1!$A$3:$B$1015,2,FALSE)</f>
        <v>17036</v>
      </c>
      <c r="D563" s="4">
        <f t="shared" si="8"/>
        <v>4.7322222222222221</v>
      </c>
      <c r="E563" s="4" t="s">
        <v>1125</v>
      </c>
      <c r="F563" s="3" t="s">
        <v>1892</v>
      </c>
      <c r="G563" s="3" t="s">
        <v>1802</v>
      </c>
      <c r="H563" s="3" t="s">
        <v>44</v>
      </c>
      <c r="I563" s="3" t="s">
        <v>33</v>
      </c>
      <c r="J563" s="3" t="s">
        <v>41</v>
      </c>
      <c r="L563" s="1">
        <v>46037.649282407408</v>
      </c>
      <c r="M563" s="1">
        <v>46037.651412037034</v>
      </c>
      <c r="N563" s="1">
        <v>46038.345312500001</v>
      </c>
      <c r="O563" s="3" t="s">
        <v>43</v>
      </c>
      <c r="P563" s="3" t="s">
        <v>1894</v>
      </c>
      <c r="Q563" s="3" t="s">
        <v>42</v>
      </c>
      <c r="R563" s="3" t="s">
        <v>1893</v>
      </c>
      <c r="S563" s="3" t="s">
        <v>62</v>
      </c>
      <c r="T563" s="3" t="s">
        <v>61</v>
      </c>
      <c r="U563" s="4" t="b">
        <v>1</v>
      </c>
      <c r="V563" s="3" t="s">
        <v>31</v>
      </c>
      <c r="W563" s="1"/>
      <c r="Y563" s="3" t="s">
        <v>32</v>
      </c>
      <c r="Z563" s="3" t="s">
        <v>32</v>
      </c>
      <c r="AA563" s="3"/>
      <c r="AB563" s="3"/>
      <c r="AC563" s="4" t="s">
        <v>30</v>
      </c>
      <c r="AD563" s="3"/>
      <c r="AE563" s="3" t="s">
        <v>1894</v>
      </c>
      <c r="AF563" s="4" t="s">
        <v>30</v>
      </c>
      <c r="AH563" s="4">
        <v>1</v>
      </c>
      <c r="AI563" s="3" t="s">
        <v>3409</v>
      </c>
      <c r="AJ563" s="4"/>
      <c r="AK563" s="4"/>
      <c r="AL563" s="3"/>
    </row>
    <row r="564" spans="1:38" x14ac:dyDescent="0.35">
      <c r="A564" s="3" t="s">
        <v>3410</v>
      </c>
      <c r="B564" s="4" t="s">
        <v>229</v>
      </c>
      <c r="C564" s="4">
        <f>VLOOKUP(A564, [1]Planilha1!$A$3:$B$1015,2,FALSE)</f>
        <v>4078</v>
      </c>
      <c r="D564" s="4">
        <f t="shared" si="8"/>
        <v>1.1327777777777779</v>
      </c>
      <c r="E564" s="4" t="s">
        <v>1125</v>
      </c>
      <c r="F564" s="3" t="s">
        <v>226</v>
      </c>
      <c r="G564" s="3" t="s">
        <v>3411</v>
      </c>
      <c r="H564" s="3" t="s">
        <v>428</v>
      </c>
      <c r="I564" s="3" t="s">
        <v>33</v>
      </c>
      <c r="J564" s="3" t="s">
        <v>41</v>
      </c>
      <c r="L564" s="1">
        <v>46037.641111111108</v>
      </c>
      <c r="M564" s="1">
        <v>46037.641111111108</v>
      </c>
      <c r="N564" s="1">
        <v>46037.664710648147</v>
      </c>
      <c r="O564" s="3" t="s">
        <v>427</v>
      </c>
      <c r="P564" s="3" t="s">
        <v>229</v>
      </c>
      <c r="Q564" s="3" t="s">
        <v>42</v>
      </c>
      <c r="R564" s="3" t="s">
        <v>228</v>
      </c>
      <c r="S564" s="3" t="s">
        <v>37</v>
      </c>
      <c r="T564" s="3" t="s">
        <v>36</v>
      </c>
      <c r="U564" s="4" t="b">
        <v>1</v>
      </c>
      <c r="V564" s="3" t="s">
        <v>28</v>
      </c>
      <c r="W564" s="1"/>
      <c r="Y564" s="3" t="s">
        <v>29</v>
      </c>
      <c r="Z564" s="3" t="s">
        <v>29</v>
      </c>
      <c r="AA564" s="3"/>
      <c r="AB564" s="3"/>
      <c r="AC564" s="4" t="s">
        <v>30</v>
      </c>
      <c r="AD564" s="3"/>
      <c r="AE564" s="3" t="s">
        <v>229</v>
      </c>
      <c r="AF564" s="4" t="s">
        <v>30</v>
      </c>
      <c r="AH564" s="4">
        <v>1</v>
      </c>
      <c r="AI564" s="3" t="s">
        <v>3412</v>
      </c>
      <c r="AJ564" s="4" t="s">
        <v>227</v>
      </c>
      <c r="AK564" s="4"/>
      <c r="AL564" s="3"/>
    </row>
    <row r="565" spans="1:38" x14ac:dyDescent="0.35">
      <c r="A565" s="3" t="s">
        <v>3413</v>
      </c>
      <c r="B565" s="4" t="s">
        <v>1769</v>
      </c>
      <c r="C565" s="4">
        <f>VLOOKUP(A565, [1]Planilha1!$A$3:$B$1015,2,FALSE)</f>
        <v>4802</v>
      </c>
      <c r="D565" s="4">
        <f t="shared" si="8"/>
        <v>1.3338888888888889</v>
      </c>
      <c r="E565" s="4" t="s">
        <v>1125</v>
      </c>
      <c r="F565" s="3" t="s">
        <v>1766</v>
      </c>
      <c r="G565" s="3" t="s">
        <v>74</v>
      </c>
      <c r="H565" s="3" t="s">
        <v>44</v>
      </c>
      <c r="I565" s="3" t="s">
        <v>33</v>
      </c>
      <c r="J565" s="3" t="s">
        <v>41</v>
      </c>
      <c r="L565" s="1">
        <v>46037.63140046296</v>
      </c>
      <c r="M565" s="1">
        <v>46037.632928240739</v>
      </c>
      <c r="N565" s="1">
        <v>46037.660717592589</v>
      </c>
      <c r="O565" s="3" t="s">
        <v>43</v>
      </c>
      <c r="P565" s="3" t="s">
        <v>1769</v>
      </c>
      <c r="Q565" s="3" t="s">
        <v>42</v>
      </c>
      <c r="R565" s="3" t="s">
        <v>1768</v>
      </c>
      <c r="S565" s="3" t="s">
        <v>80</v>
      </c>
      <c r="T565" s="3" t="s">
        <v>79</v>
      </c>
      <c r="U565" s="4" t="b">
        <v>1</v>
      </c>
      <c r="V565" s="3" t="s">
        <v>31</v>
      </c>
      <c r="W565" s="1"/>
      <c r="Y565" s="3" t="s">
        <v>32</v>
      </c>
      <c r="Z565" s="3" t="s">
        <v>32</v>
      </c>
      <c r="AA565" s="3"/>
      <c r="AB565" s="3"/>
      <c r="AC565" s="4" t="s">
        <v>30</v>
      </c>
      <c r="AD565" s="3"/>
      <c r="AE565" s="3" t="s">
        <v>1769</v>
      </c>
      <c r="AF565" s="4" t="s">
        <v>30</v>
      </c>
      <c r="AH565" s="4">
        <v>1</v>
      </c>
      <c r="AI565" s="3" t="s">
        <v>3414</v>
      </c>
      <c r="AJ565" s="4" t="s">
        <v>1767</v>
      </c>
      <c r="AK565" s="4"/>
      <c r="AL565" s="3"/>
    </row>
    <row r="566" spans="1:38" x14ac:dyDescent="0.35">
      <c r="A566" s="3" t="s">
        <v>3415</v>
      </c>
      <c r="B566" s="4" t="s">
        <v>3421</v>
      </c>
      <c r="C566" s="4">
        <f>VLOOKUP(A566, [1]Planilha1!$A$3:$B$1015,2,FALSE)</f>
        <v>23258</v>
      </c>
      <c r="D566" s="4">
        <f t="shared" si="8"/>
        <v>6.4605555555555556</v>
      </c>
      <c r="E566" s="4" t="s">
        <v>1125</v>
      </c>
      <c r="F566" s="3" t="s">
        <v>3418</v>
      </c>
      <c r="G566" s="3" t="s">
        <v>3416</v>
      </c>
      <c r="H566" s="3" t="s">
        <v>44</v>
      </c>
      <c r="I566" s="3" t="s">
        <v>33</v>
      </c>
      <c r="J566" s="3" t="s">
        <v>41</v>
      </c>
      <c r="L566" s="1">
        <v>46037.631296296298</v>
      </c>
      <c r="M566" s="1">
        <v>46037.631296296298</v>
      </c>
      <c r="N566" s="1">
        <v>46038.344201388885</v>
      </c>
      <c r="O566" s="3" t="s">
        <v>43</v>
      </c>
      <c r="P566" s="3" t="s">
        <v>3421</v>
      </c>
      <c r="Q566" s="3" t="s">
        <v>42</v>
      </c>
      <c r="R566" s="3" t="s">
        <v>3420</v>
      </c>
      <c r="S566" s="3" t="s">
        <v>37</v>
      </c>
      <c r="T566" s="3" t="s">
        <v>36</v>
      </c>
      <c r="U566" s="4" t="b">
        <v>1</v>
      </c>
      <c r="V566" s="3" t="s">
        <v>28</v>
      </c>
      <c r="W566" s="1"/>
      <c r="Y566" s="3" t="s">
        <v>29</v>
      </c>
      <c r="Z566" s="3" t="s">
        <v>29</v>
      </c>
      <c r="AA566" s="3"/>
      <c r="AB566" s="3"/>
      <c r="AC566" s="4" t="s">
        <v>30</v>
      </c>
      <c r="AD566" s="3"/>
      <c r="AE566" s="3" t="s">
        <v>3421</v>
      </c>
      <c r="AF566" s="4" t="s">
        <v>30</v>
      </c>
      <c r="AH566" s="4">
        <v>2</v>
      </c>
      <c r="AI566" s="3" t="s">
        <v>3417</v>
      </c>
      <c r="AJ566" s="4" t="s">
        <v>3419</v>
      </c>
      <c r="AK566" s="4"/>
      <c r="AL566" s="3"/>
    </row>
    <row r="567" spans="1:38" x14ac:dyDescent="0.35">
      <c r="A567" s="3" t="s">
        <v>3422</v>
      </c>
      <c r="B567" s="4" t="s">
        <v>3428</v>
      </c>
      <c r="C567" s="4">
        <f>VLOOKUP(A567, [1]Planilha1!$A$3:$B$1015,2,FALSE)</f>
        <v>0</v>
      </c>
      <c r="D567" s="4">
        <f t="shared" si="8"/>
        <v>0</v>
      </c>
      <c r="E567" s="4" t="s">
        <v>1125</v>
      </c>
      <c r="F567" s="3" t="s">
        <v>3425</v>
      </c>
      <c r="G567" s="3" t="s">
        <v>214</v>
      </c>
      <c r="H567" s="3" t="s">
        <v>44</v>
      </c>
      <c r="I567" s="3" t="s">
        <v>33</v>
      </c>
      <c r="J567" s="3" t="s">
        <v>60</v>
      </c>
      <c r="K567" s="3" t="s">
        <v>3424</v>
      </c>
      <c r="L567" s="1">
        <v>46037.630613425928</v>
      </c>
      <c r="M567" s="1">
        <v>46037.668773148151</v>
      </c>
      <c r="N567" s="1">
        <v>46040.708333333336</v>
      </c>
      <c r="O567" s="3" t="s">
        <v>43</v>
      </c>
      <c r="P567" s="3" t="s">
        <v>3428</v>
      </c>
      <c r="Q567" s="3" t="s">
        <v>35</v>
      </c>
      <c r="R567" s="3" t="s">
        <v>3427</v>
      </c>
      <c r="S567" s="3" t="s">
        <v>144</v>
      </c>
      <c r="T567" s="3" t="s">
        <v>143</v>
      </c>
      <c r="U567" s="4" t="b">
        <v>1</v>
      </c>
      <c r="V567" s="3" t="s">
        <v>31</v>
      </c>
      <c r="W567" s="1"/>
      <c r="Y567" s="3" t="s">
        <v>32</v>
      </c>
      <c r="Z567" s="3" t="s">
        <v>32</v>
      </c>
      <c r="AA567" s="3"/>
      <c r="AB567" s="3"/>
      <c r="AC567" s="4" t="s">
        <v>30</v>
      </c>
      <c r="AD567" s="3"/>
      <c r="AE567" s="3" t="s">
        <v>3428</v>
      </c>
      <c r="AF567" s="4" t="s">
        <v>30</v>
      </c>
      <c r="AH567" s="4">
        <v>0</v>
      </c>
      <c r="AI567" s="3" t="s">
        <v>3423</v>
      </c>
      <c r="AJ567" s="4" t="s">
        <v>3426</v>
      </c>
      <c r="AK567" s="4"/>
      <c r="AL567" s="3"/>
    </row>
    <row r="568" spans="1:38" x14ac:dyDescent="0.35">
      <c r="A568" s="3" t="s">
        <v>3429</v>
      </c>
      <c r="B568" s="4" t="s">
        <v>1081</v>
      </c>
      <c r="C568" s="4">
        <f>VLOOKUP(A568, [1]Planilha1!$A$3:$B$1015,2,FALSE)</f>
        <v>0</v>
      </c>
      <c r="D568" s="4">
        <f t="shared" si="8"/>
        <v>0</v>
      </c>
      <c r="E568" s="4" t="s">
        <v>1125</v>
      </c>
      <c r="F568" s="3" t="s">
        <v>1080</v>
      </c>
      <c r="G568" s="3" t="s">
        <v>44</v>
      </c>
      <c r="H568" s="3" t="s">
        <v>44</v>
      </c>
      <c r="I568" s="3" t="s">
        <v>33</v>
      </c>
      <c r="J568" s="3" t="s">
        <v>459</v>
      </c>
      <c r="L568" s="1">
        <v>46037.626122685186</v>
      </c>
      <c r="M568" s="1">
        <v>46037.630648148152</v>
      </c>
      <c r="N568" s="1">
        <v>46040.666666666664</v>
      </c>
      <c r="O568" s="3" t="s">
        <v>43</v>
      </c>
      <c r="P568" s="3" t="s">
        <v>1081</v>
      </c>
      <c r="Q568" s="3" t="s">
        <v>35</v>
      </c>
      <c r="S568" s="3" t="s">
        <v>80</v>
      </c>
      <c r="T568" s="3" t="s">
        <v>79</v>
      </c>
      <c r="U568" s="4" t="b">
        <v>1</v>
      </c>
      <c r="V568" s="3" t="s">
        <v>31</v>
      </c>
      <c r="W568" s="1"/>
      <c r="Y568" s="3" t="s">
        <v>32</v>
      </c>
      <c r="Z568" s="3" t="s">
        <v>32</v>
      </c>
      <c r="AA568" s="3"/>
      <c r="AB568" s="3"/>
      <c r="AC568" s="4" t="s">
        <v>30</v>
      </c>
      <c r="AD568" s="3"/>
      <c r="AE568" s="3" t="s">
        <v>1081</v>
      </c>
      <c r="AF568" s="4" t="s">
        <v>30</v>
      </c>
      <c r="AH568" s="4">
        <v>0</v>
      </c>
      <c r="AI568" s="3" t="s">
        <v>3430</v>
      </c>
      <c r="AJ568" s="4"/>
      <c r="AK568" s="4"/>
      <c r="AL568" s="3"/>
    </row>
    <row r="569" spans="1:38" x14ac:dyDescent="0.35">
      <c r="A569" s="3" t="s">
        <v>3431</v>
      </c>
      <c r="B569" s="4" t="s">
        <v>3437</v>
      </c>
      <c r="C569" s="4">
        <f>VLOOKUP(A569, [1]Planilha1!$A$3:$B$1015,2,FALSE)</f>
        <v>0</v>
      </c>
      <c r="D569" s="4">
        <f t="shared" si="8"/>
        <v>0</v>
      </c>
      <c r="E569" s="4" t="s">
        <v>1125</v>
      </c>
      <c r="F569" s="3" t="s">
        <v>3434</v>
      </c>
      <c r="G569" s="3" t="s">
        <v>1874</v>
      </c>
      <c r="H569" s="3" t="s">
        <v>224</v>
      </c>
      <c r="I569" s="3" t="s">
        <v>33</v>
      </c>
      <c r="J569" s="3" t="s">
        <v>60</v>
      </c>
      <c r="K569" s="3" t="s">
        <v>3433</v>
      </c>
      <c r="L569" s="1">
        <v>46037.622395833336</v>
      </c>
      <c r="M569" s="1">
        <v>46037.65253472222</v>
      </c>
      <c r="N569" s="1">
        <v>46040.666666666664</v>
      </c>
      <c r="O569" s="3" t="s">
        <v>223</v>
      </c>
      <c r="P569" s="3" t="s">
        <v>3437</v>
      </c>
      <c r="Q569" s="3" t="s">
        <v>35</v>
      </c>
      <c r="R569" s="3" t="s">
        <v>3436</v>
      </c>
      <c r="S569" s="3" t="s">
        <v>144</v>
      </c>
      <c r="T569" s="3" t="s">
        <v>143</v>
      </c>
      <c r="U569" s="4" t="b">
        <v>1</v>
      </c>
      <c r="V569" s="3" t="s">
        <v>31</v>
      </c>
      <c r="W569" s="1"/>
      <c r="Y569" s="3" t="s">
        <v>32</v>
      </c>
      <c r="Z569" s="3" t="s">
        <v>32</v>
      </c>
      <c r="AA569" s="3"/>
      <c r="AB569" s="3"/>
      <c r="AC569" s="4" t="s">
        <v>30</v>
      </c>
      <c r="AD569" s="3"/>
      <c r="AE569" s="3" t="s">
        <v>3437</v>
      </c>
      <c r="AF569" s="4" t="s">
        <v>30</v>
      </c>
      <c r="AH569" s="4">
        <v>0</v>
      </c>
      <c r="AI569" s="3" t="s">
        <v>3432</v>
      </c>
      <c r="AJ569" s="4" t="s">
        <v>3435</v>
      </c>
      <c r="AK569" s="4"/>
      <c r="AL569" s="3"/>
    </row>
    <row r="570" spans="1:38" x14ac:dyDescent="0.35">
      <c r="A570" s="3" t="s">
        <v>3438</v>
      </c>
      <c r="B570" s="4" t="s">
        <v>3444</v>
      </c>
      <c r="C570" s="4">
        <f>VLOOKUP(A570, [1]Planilha1!$A$3:$B$1015,2,FALSE)</f>
        <v>0</v>
      </c>
      <c r="D570" s="4">
        <f t="shared" si="8"/>
        <v>0</v>
      </c>
      <c r="E570" s="4" t="s">
        <v>1125</v>
      </c>
      <c r="F570" s="3" t="s">
        <v>3441</v>
      </c>
      <c r="G570" s="3" t="s">
        <v>134</v>
      </c>
      <c r="H570" s="3" t="s">
        <v>138</v>
      </c>
      <c r="I570" s="3" t="s">
        <v>33</v>
      </c>
      <c r="J570" s="3" t="s">
        <v>60</v>
      </c>
      <c r="K570" s="3" t="s">
        <v>3440</v>
      </c>
      <c r="L570" s="1">
        <v>46037.613287037035</v>
      </c>
      <c r="M570" s="1">
        <v>46037.621180555558</v>
      </c>
      <c r="N570" s="1">
        <v>46040.625</v>
      </c>
      <c r="O570" s="3" t="s">
        <v>137</v>
      </c>
      <c r="P570" s="3" t="s">
        <v>3444</v>
      </c>
      <c r="Q570" s="3" t="s">
        <v>35</v>
      </c>
      <c r="R570" s="3" t="s">
        <v>3443</v>
      </c>
      <c r="S570" s="3" t="s">
        <v>144</v>
      </c>
      <c r="T570" s="3" t="s">
        <v>143</v>
      </c>
      <c r="U570" s="4" t="b">
        <v>1</v>
      </c>
      <c r="V570" s="3" t="s">
        <v>31</v>
      </c>
      <c r="W570" s="1"/>
      <c r="Y570" s="3" t="s">
        <v>32</v>
      </c>
      <c r="Z570" s="3" t="s">
        <v>32</v>
      </c>
      <c r="AA570" s="3"/>
      <c r="AB570" s="3"/>
      <c r="AC570" s="4" t="s">
        <v>30</v>
      </c>
      <c r="AD570" s="3"/>
      <c r="AE570" s="3" t="s">
        <v>3444</v>
      </c>
      <c r="AF570" s="4" t="s">
        <v>30</v>
      </c>
      <c r="AH570" s="4">
        <v>0</v>
      </c>
      <c r="AI570" s="3" t="s">
        <v>3439</v>
      </c>
      <c r="AJ570" s="4" t="s">
        <v>3442</v>
      </c>
      <c r="AK570" s="4"/>
      <c r="AL570" s="3"/>
    </row>
    <row r="571" spans="1:38" x14ac:dyDescent="0.35">
      <c r="A571" s="3" t="s">
        <v>3445</v>
      </c>
      <c r="B571" s="4" t="s">
        <v>3450</v>
      </c>
      <c r="C571" s="4">
        <f>VLOOKUP(A571, [1]Planilha1!$A$3:$B$1015,2,FALSE)</f>
        <v>1630</v>
      </c>
      <c r="D571" s="4">
        <f t="shared" si="8"/>
        <v>0.45277777777777778</v>
      </c>
      <c r="E571" s="4" t="s">
        <v>1125</v>
      </c>
      <c r="F571" s="3" t="s">
        <v>3447</v>
      </c>
      <c r="G571" s="3" t="s">
        <v>3198</v>
      </c>
      <c r="H571" s="3" t="s">
        <v>457</v>
      </c>
      <c r="I571" s="3" t="s">
        <v>33</v>
      </c>
      <c r="J571" s="3" t="s">
        <v>60</v>
      </c>
      <c r="L571" s="1">
        <v>46037.605763888889</v>
      </c>
      <c r="M571" s="1">
        <v>46037.605763888889</v>
      </c>
      <c r="N571" s="1">
        <v>46040.625</v>
      </c>
      <c r="O571" s="3" t="s">
        <v>460</v>
      </c>
      <c r="P571" s="3" t="s">
        <v>3450</v>
      </c>
      <c r="Q571" s="3" t="s">
        <v>35</v>
      </c>
      <c r="R571" s="3" t="s">
        <v>3449</v>
      </c>
      <c r="S571" s="3" t="s">
        <v>37</v>
      </c>
      <c r="T571" s="3" t="s">
        <v>36</v>
      </c>
      <c r="U571" s="4" t="b">
        <v>1</v>
      </c>
      <c r="V571" s="3" t="s">
        <v>28</v>
      </c>
      <c r="W571" s="1"/>
      <c r="Y571" s="3" t="s">
        <v>29</v>
      </c>
      <c r="Z571" s="3" t="s">
        <v>29</v>
      </c>
      <c r="AA571" s="3"/>
      <c r="AB571" s="3"/>
      <c r="AC571" s="4" t="s">
        <v>30</v>
      </c>
      <c r="AD571" s="3"/>
      <c r="AE571" s="3" t="s">
        <v>3450</v>
      </c>
      <c r="AF571" s="4" t="s">
        <v>30</v>
      </c>
      <c r="AH571" s="4">
        <v>0</v>
      </c>
      <c r="AI571" s="3" t="s">
        <v>3446</v>
      </c>
      <c r="AJ571" s="4" t="s">
        <v>3448</v>
      </c>
      <c r="AK571" s="4"/>
      <c r="AL571" s="3"/>
    </row>
    <row r="572" spans="1:38" x14ac:dyDescent="0.35">
      <c r="A572" s="3" t="s">
        <v>3451</v>
      </c>
      <c r="B572" s="4"/>
      <c r="C572" s="4">
        <f>VLOOKUP(A572, [1]Planilha1!$A$3:$B$1015,2,FALSE)</f>
        <v>8864</v>
      </c>
      <c r="D572" s="4">
        <f t="shared" si="8"/>
        <v>2.4622222222222221</v>
      </c>
      <c r="E572" s="4" t="s">
        <v>1125</v>
      </c>
      <c r="F572" s="3" t="s">
        <v>3453</v>
      </c>
      <c r="G572" s="3" t="s">
        <v>74</v>
      </c>
      <c r="H572" s="3" t="s">
        <v>44</v>
      </c>
      <c r="I572" s="3" t="s">
        <v>33</v>
      </c>
      <c r="J572" s="3" t="s">
        <v>41</v>
      </c>
      <c r="L572" s="1">
        <v>46037.60533564815</v>
      </c>
      <c r="M572" s="1">
        <v>46037.607997685183</v>
      </c>
      <c r="N572" s="1">
        <v>46037.65929398148</v>
      </c>
      <c r="O572" s="3" t="s">
        <v>43</v>
      </c>
      <c r="Q572" s="3" t="s">
        <v>42</v>
      </c>
      <c r="R572" s="3" t="s">
        <v>3454</v>
      </c>
      <c r="S572" s="3" t="s">
        <v>80</v>
      </c>
      <c r="T572" s="3" t="s">
        <v>79</v>
      </c>
      <c r="U572" s="4" t="b">
        <v>1</v>
      </c>
      <c r="V572" s="3" t="s">
        <v>31</v>
      </c>
      <c r="W572" s="1"/>
      <c r="Y572" s="3" t="s">
        <v>32</v>
      </c>
      <c r="Z572" s="3" t="s">
        <v>32</v>
      </c>
      <c r="AA572" s="3"/>
      <c r="AB572" s="3"/>
      <c r="AC572" s="4" t="s">
        <v>30</v>
      </c>
      <c r="AD572" s="3"/>
      <c r="AE572" s="3"/>
      <c r="AF572" s="4" t="s">
        <v>30</v>
      </c>
      <c r="AH572" s="4">
        <v>1</v>
      </c>
      <c r="AI572" s="3" t="s">
        <v>3452</v>
      </c>
      <c r="AJ572" s="4" t="s">
        <v>5897</v>
      </c>
      <c r="AK572" s="4"/>
      <c r="AL572" s="3"/>
    </row>
    <row r="573" spans="1:38" x14ac:dyDescent="0.35">
      <c r="A573" s="3" t="s">
        <v>3455</v>
      </c>
      <c r="B573" s="4" t="s">
        <v>1485</v>
      </c>
      <c r="C573" s="4">
        <f>VLOOKUP(A573, [1]Planilha1!$A$3:$B$1015,2,FALSE)</f>
        <v>8936</v>
      </c>
      <c r="D573" s="4">
        <f t="shared" si="8"/>
        <v>2.4822222222222221</v>
      </c>
      <c r="E573" s="4" t="s">
        <v>1125</v>
      </c>
      <c r="F573" s="3" t="s">
        <v>1482</v>
      </c>
      <c r="G573" s="3" t="s">
        <v>74</v>
      </c>
      <c r="H573" s="3" t="s">
        <v>44</v>
      </c>
      <c r="I573" s="3" t="s">
        <v>33</v>
      </c>
      <c r="J573" s="3" t="s">
        <v>41</v>
      </c>
      <c r="L573" s="1">
        <v>46037.603067129632</v>
      </c>
      <c r="M573" s="1">
        <v>46037.608275462961</v>
      </c>
      <c r="N573" s="1">
        <v>46037.659988425927</v>
      </c>
      <c r="O573" s="3" t="s">
        <v>43</v>
      </c>
      <c r="P573" s="3" t="s">
        <v>1485</v>
      </c>
      <c r="Q573" s="3" t="s">
        <v>42</v>
      </c>
      <c r="R573" s="3" t="s">
        <v>1484</v>
      </c>
      <c r="S573" s="3" t="s">
        <v>80</v>
      </c>
      <c r="T573" s="3" t="s">
        <v>79</v>
      </c>
      <c r="U573" s="4" t="b">
        <v>1</v>
      </c>
      <c r="V573" s="3" t="s">
        <v>31</v>
      </c>
      <c r="W573" s="1"/>
      <c r="Y573" s="3" t="s">
        <v>32</v>
      </c>
      <c r="Z573" s="3" t="s">
        <v>32</v>
      </c>
      <c r="AA573" s="3"/>
      <c r="AB573" s="3"/>
      <c r="AC573" s="4" t="s">
        <v>30</v>
      </c>
      <c r="AD573" s="3"/>
      <c r="AE573" s="3" t="s">
        <v>1485</v>
      </c>
      <c r="AF573" s="4" t="s">
        <v>30</v>
      </c>
      <c r="AH573" s="4">
        <v>1</v>
      </c>
      <c r="AI573" s="3" t="s">
        <v>3456</v>
      </c>
      <c r="AJ573" s="4" t="s">
        <v>1483</v>
      </c>
      <c r="AK573" s="4"/>
      <c r="AL573" s="3"/>
    </row>
    <row r="574" spans="1:38" x14ac:dyDescent="0.35">
      <c r="A574" s="3" t="s">
        <v>3457</v>
      </c>
      <c r="B574" s="4" t="s">
        <v>3462</v>
      </c>
      <c r="C574" s="4">
        <f>VLOOKUP(A574, [1]Planilha1!$A$3:$B$1015,2,FALSE)</f>
        <v>0</v>
      </c>
      <c r="D574" s="4">
        <f t="shared" si="8"/>
        <v>0</v>
      </c>
      <c r="E574" s="4" t="s">
        <v>1125</v>
      </c>
      <c r="F574" s="3" t="s">
        <v>3460</v>
      </c>
      <c r="G574" s="3" t="s">
        <v>134</v>
      </c>
      <c r="H574" s="3" t="s">
        <v>138</v>
      </c>
      <c r="I574" s="3" t="s">
        <v>33</v>
      </c>
      <c r="J574" s="3" t="s">
        <v>60</v>
      </c>
      <c r="K574" s="3" t="s">
        <v>3459</v>
      </c>
      <c r="L574" s="1">
        <v>46037.598020833335</v>
      </c>
      <c r="M574" s="1">
        <v>46037.604178240741</v>
      </c>
      <c r="N574" s="1">
        <v>46040.625</v>
      </c>
      <c r="O574" s="3" t="s">
        <v>137</v>
      </c>
      <c r="P574" s="3" t="s">
        <v>3462</v>
      </c>
      <c r="Q574" s="3" t="s">
        <v>35</v>
      </c>
      <c r="R574" s="3" t="s">
        <v>3461</v>
      </c>
      <c r="S574" s="3" t="s">
        <v>144</v>
      </c>
      <c r="T574" s="3" t="s">
        <v>143</v>
      </c>
      <c r="U574" s="4" t="b">
        <v>1</v>
      </c>
      <c r="V574" s="3" t="s">
        <v>31</v>
      </c>
      <c r="W574" s="1"/>
      <c r="Y574" s="3" t="s">
        <v>32</v>
      </c>
      <c r="Z574" s="3" t="s">
        <v>32</v>
      </c>
      <c r="AA574" s="3"/>
      <c r="AB574" s="3"/>
      <c r="AC574" s="4" t="s">
        <v>30</v>
      </c>
      <c r="AD574" s="3"/>
      <c r="AE574" s="3" t="s">
        <v>3462</v>
      </c>
      <c r="AF574" s="4" t="s">
        <v>30</v>
      </c>
      <c r="AH574" s="4">
        <v>0</v>
      </c>
      <c r="AI574" s="3" t="s">
        <v>3458</v>
      </c>
      <c r="AJ574" s="4" t="s">
        <v>5898</v>
      </c>
      <c r="AK574" s="4"/>
      <c r="AL574" s="3"/>
    </row>
    <row r="575" spans="1:38" x14ac:dyDescent="0.35">
      <c r="A575" s="3" t="s">
        <v>3463</v>
      </c>
      <c r="B575" s="4" t="s">
        <v>3469</v>
      </c>
      <c r="C575" s="4">
        <f>VLOOKUP(A575, [1]Planilha1!$A$3:$B$1015,2,FALSE)</f>
        <v>3171</v>
      </c>
      <c r="D575" s="4">
        <f t="shared" si="8"/>
        <v>0.88083333333333336</v>
      </c>
      <c r="E575" s="4" t="s">
        <v>1125</v>
      </c>
      <c r="F575" s="3" t="s">
        <v>3466</v>
      </c>
      <c r="G575" s="3" t="s">
        <v>3464</v>
      </c>
      <c r="H575" s="3" t="s">
        <v>138</v>
      </c>
      <c r="I575" s="3" t="s">
        <v>33</v>
      </c>
      <c r="J575" s="3" t="s">
        <v>41</v>
      </c>
      <c r="L575" s="1">
        <v>46037.586782407408</v>
      </c>
      <c r="M575" s="1">
        <v>46037.586782407408</v>
      </c>
      <c r="N575" s="1">
        <v>46037.599016203705</v>
      </c>
      <c r="O575" s="3" t="s">
        <v>137</v>
      </c>
      <c r="P575" s="3" t="s">
        <v>3469</v>
      </c>
      <c r="Q575" s="3" t="s">
        <v>42</v>
      </c>
      <c r="R575" s="3" t="s">
        <v>3468</v>
      </c>
      <c r="S575" s="3" t="s">
        <v>37</v>
      </c>
      <c r="T575" s="3" t="s">
        <v>36</v>
      </c>
      <c r="U575" s="4" t="b">
        <v>1</v>
      </c>
      <c r="V575" s="3" t="s">
        <v>28</v>
      </c>
      <c r="W575" s="1"/>
      <c r="Y575" s="3" t="s">
        <v>29</v>
      </c>
      <c r="Z575" s="3" t="s">
        <v>29</v>
      </c>
      <c r="AA575" s="3"/>
      <c r="AB575" s="3"/>
      <c r="AC575" s="4" t="s">
        <v>30</v>
      </c>
      <c r="AD575" s="3"/>
      <c r="AE575" s="3" t="s">
        <v>3469</v>
      </c>
      <c r="AF575" s="4" t="s">
        <v>30</v>
      </c>
      <c r="AH575" s="4">
        <v>0</v>
      </c>
      <c r="AI575" s="3" t="s">
        <v>3465</v>
      </c>
      <c r="AJ575" s="4" t="s">
        <v>3467</v>
      </c>
      <c r="AK575" s="4"/>
      <c r="AL575" s="3"/>
    </row>
    <row r="576" spans="1:38" x14ac:dyDescent="0.35">
      <c r="A576" s="3" t="s">
        <v>3470</v>
      </c>
      <c r="B576" s="4" t="s">
        <v>3476</v>
      </c>
      <c r="C576" s="4">
        <f>VLOOKUP(A576, [1]Planilha1!$A$3:$B$1015,2,FALSE)</f>
        <v>3392</v>
      </c>
      <c r="D576" s="4">
        <f t="shared" si="8"/>
        <v>0.94222222222222218</v>
      </c>
      <c r="E576" s="4" t="s">
        <v>1125</v>
      </c>
      <c r="F576" s="3" t="s">
        <v>3473</v>
      </c>
      <c r="G576" s="3" t="s">
        <v>134</v>
      </c>
      <c r="H576" s="3" t="s">
        <v>138</v>
      </c>
      <c r="I576" s="3" t="s">
        <v>33</v>
      </c>
      <c r="J576" s="3" t="s">
        <v>60</v>
      </c>
      <c r="K576" s="3" t="s">
        <v>3472</v>
      </c>
      <c r="L576" s="1">
        <v>46037.577094907407</v>
      </c>
      <c r="M576" s="1">
        <v>46037.577094907407</v>
      </c>
      <c r="N576" s="1">
        <v>46040.625</v>
      </c>
      <c r="O576" s="3" t="s">
        <v>137</v>
      </c>
      <c r="P576" s="3" t="s">
        <v>3476</v>
      </c>
      <c r="Q576" s="3" t="s">
        <v>35</v>
      </c>
      <c r="R576" s="3" t="s">
        <v>3475</v>
      </c>
      <c r="S576" s="3" t="s">
        <v>37</v>
      </c>
      <c r="T576" s="3" t="s">
        <v>36</v>
      </c>
      <c r="U576" s="4" t="b">
        <v>1</v>
      </c>
      <c r="V576" s="3" t="s">
        <v>28</v>
      </c>
      <c r="W576" s="1"/>
      <c r="Y576" s="3" t="s">
        <v>29</v>
      </c>
      <c r="Z576" s="3" t="s">
        <v>29</v>
      </c>
      <c r="AA576" s="3"/>
      <c r="AB576" s="3"/>
      <c r="AC576" s="4" t="s">
        <v>30</v>
      </c>
      <c r="AD576" s="3"/>
      <c r="AE576" s="3" t="s">
        <v>3476</v>
      </c>
      <c r="AF576" s="4" t="s">
        <v>30</v>
      </c>
      <c r="AH576" s="4">
        <v>0</v>
      </c>
      <c r="AI576" s="3" t="s">
        <v>3471</v>
      </c>
      <c r="AJ576" s="4" t="s">
        <v>3474</v>
      </c>
      <c r="AK576" s="4"/>
      <c r="AL576" s="3"/>
    </row>
    <row r="577" spans="1:38" x14ac:dyDescent="0.35">
      <c r="A577" s="3" t="s">
        <v>3477</v>
      </c>
      <c r="B577" s="4" t="s">
        <v>3483</v>
      </c>
      <c r="C577" s="4">
        <f>VLOOKUP(A577, [1]Planilha1!$A$3:$B$1015,2,FALSE)</f>
        <v>3272</v>
      </c>
      <c r="D577" s="4">
        <f t="shared" si="8"/>
        <v>0.90888888888888886</v>
      </c>
      <c r="E577" s="4" t="s">
        <v>1125</v>
      </c>
      <c r="F577" s="3" t="s">
        <v>3480</v>
      </c>
      <c r="G577" s="3" t="s">
        <v>214</v>
      </c>
      <c r="H577" s="3" t="s">
        <v>44</v>
      </c>
      <c r="I577" s="3" t="s">
        <v>33</v>
      </c>
      <c r="J577" s="3" t="s">
        <v>60</v>
      </c>
      <c r="K577" s="3" t="s">
        <v>3479</v>
      </c>
      <c r="L577" s="1">
        <v>46037.55872685185</v>
      </c>
      <c r="M577" s="1">
        <v>46037.55872685185</v>
      </c>
      <c r="N577" s="1">
        <v>46040.583333333336</v>
      </c>
      <c r="O577" s="3" t="s">
        <v>43</v>
      </c>
      <c r="P577" s="3" t="s">
        <v>3483</v>
      </c>
      <c r="Q577" s="3" t="s">
        <v>35</v>
      </c>
      <c r="R577" s="3" t="s">
        <v>3482</v>
      </c>
      <c r="S577" s="3" t="s">
        <v>37</v>
      </c>
      <c r="T577" s="3" t="s">
        <v>36</v>
      </c>
      <c r="U577" s="4" t="b">
        <v>1</v>
      </c>
      <c r="V577" s="3" t="s">
        <v>28</v>
      </c>
      <c r="W577" s="1"/>
      <c r="Y577" s="3" t="s">
        <v>29</v>
      </c>
      <c r="Z577" s="3" t="s">
        <v>29</v>
      </c>
      <c r="AA577" s="3"/>
      <c r="AB577" s="3"/>
      <c r="AC577" s="4" t="s">
        <v>30</v>
      </c>
      <c r="AD577" s="3"/>
      <c r="AE577" s="3" t="s">
        <v>3483</v>
      </c>
      <c r="AF577" s="4" t="s">
        <v>30</v>
      </c>
      <c r="AH577" s="4">
        <v>0</v>
      </c>
      <c r="AI577" s="3" t="s">
        <v>3478</v>
      </c>
      <c r="AJ577" s="4" t="s">
        <v>3481</v>
      </c>
      <c r="AK577" s="4"/>
      <c r="AL577" s="3"/>
    </row>
    <row r="578" spans="1:38" x14ac:dyDescent="0.35">
      <c r="A578" s="3" t="s">
        <v>3484</v>
      </c>
      <c r="B578" s="4" t="s">
        <v>3490</v>
      </c>
      <c r="C578" s="4">
        <f>VLOOKUP(A578, [1]Planilha1!$A$3:$B$1015,2,FALSE)</f>
        <v>0</v>
      </c>
      <c r="D578" s="4">
        <f t="shared" si="8"/>
        <v>0</v>
      </c>
      <c r="E578" s="4" t="s">
        <v>1125</v>
      </c>
      <c r="F578" s="3" t="s">
        <v>3487</v>
      </c>
      <c r="G578" s="3" t="s">
        <v>214</v>
      </c>
      <c r="H578" s="3" t="s">
        <v>44</v>
      </c>
      <c r="I578" s="3" t="s">
        <v>33</v>
      </c>
      <c r="J578" s="3" t="s">
        <v>60</v>
      </c>
      <c r="K578" s="3" t="s">
        <v>3486</v>
      </c>
      <c r="L578" s="1">
        <v>46037.545949074076</v>
      </c>
      <c r="M578" s="1">
        <v>46037.578379629631</v>
      </c>
      <c r="N578" s="1">
        <v>46040.583333333336</v>
      </c>
      <c r="O578" s="3" t="s">
        <v>43</v>
      </c>
      <c r="P578" s="3" t="s">
        <v>3490</v>
      </c>
      <c r="Q578" s="3" t="s">
        <v>35</v>
      </c>
      <c r="R578" s="3" t="s">
        <v>3489</v>
      </c>
      <c r="S578" s="3" t="s">
        <v>144</v>
      </c>
      <c r="T578" s="3" t="s">
        <v>143</v>
      </c>
      <c r="U578" s="4" t="b">
        <v>1</v>
      </c>
      <c r="V578" s="3" t="s">
        <v>31</v>
      </c>
      <c r="W578" s="1"/>
      <c r="Y578" s="3" t="s">
        <v>32</v>
      </c>
      <c r="Z578" s="3" t="s">
        <v>32</v>
      </c>
      <c r="AA578" s="3"/>
      <c r="AB578" s="3"/>
      <c r="AC578" s="4" t="s">
        <v>30</v>
      </c>
      <c r="AD578" s="3"/>
      <c r="AE578" s="3" t="s">
        <v>3490</v>
      </c>
      <c r="AF578" s="4" t="s">
        <v>30</v>
      </c>
      <c r="AH578" s="4">
        <v>0</v>
      </c>
      <c r="AI578" s="3" t="s">
        <v>3485</v>
      </c>
      <c r="AJ578" s="4" t="s">
        <v>3488</v>
      </c>
      <c r="AK578" s="4"/>
      <c r="AL578" s="3"/>
    </row>
    <row r="579" spans="1:38" x14ac:dyDescent="0.35">
      <c r="A579" s="3" t="s">
        <v>3491</v>
      </c>
      <c r="B579" s="4" t="s">
        <v>3497</v>
      </c>
      <c r="C579" s="4">
        <f>VLOOKUP(A579, [1]Planilha1!$A$3:$B$1015,2,FALSE)</f>
        <v>0</v>
      </c>
      <c r="D579" s="4">
        <f t="shared" ref="D579:D642" si="9">C579/3600</f>
        <v>0</v>
      </c>
      <c r="E579" s="4" t="s">
        <v>1125</v>
      </c>
      <c r="F579" s="3" t="s">
        <v>3494</v>
      </c>
      <c r="G579" s="3" t="s">
        <v>214</v>
      </c>
      <c r="H579" s="3" t="s">
        <v>44</v>
      </c>
      <c r="I579" s="3" t="s">
        <v>33</v>
      </c>
      <c r="J579" s="3" t="s">
        <v>60</v>
      </c>
      <c r="K579" s="3" t="s">
        <v>3493</v>
      </c>
      <c r="L579" s="1">
        <v>46037.536400462966</v>
      </c>
      <c r="M579" s="1">
        <v>46037.553495370368</v>
      </c>
      <c r="N579" s="1">
        <v>46040.583333333336</v>
      </c>
      <c r="O579" s="3" t="s">
        <v>43</v>
      </c>
      <c r="P579" s="3" t="s">
        <v>3497</v>
      </c>
      <c r="Q579" s="3" t="s">
        <v>35</v>
      </c>
      <c r="R579" s="3" t="s">
        <v>3496</v>
      </c>
      <c r="S579" s="3" t="s">
        <v>144</v>
      </c>
      <c r="T579" s="3" t="s">
        <v>143</v>
      </c>
      <c r="U579" s="4" t="b">
        <v>1</v>
      </c>
      <c r="V579" s="3" t="s">
        <v>31</v>
      </c>
      <c r="W579" s="1"/>
      <c r="Y579" s="3" t="s">
        <v>32</v>
      </c>
      <c r="Z579" s="3" t="s">
        <v>32</v>
      </c>
      <c r="AA579" s="3"/>
      <c r="AB579" s="3"/>
      <c r="AC579" s="4" t="s">
        <v>30</v>
      </c>
      <c r="AD579" s="3"/>
      <c r="AE579" s="3" t="s">
        <v>3497</v>
      </c>
      <c r="AF579" s="4" t="s">
        <v>30</v>
      </c>
      <c r="AH579" s="4">
        <v>0</v>
      </c>
      <c r="AI579" s="3" t="s">
        <v>3492</v>
      </c>
      <c r="AJ579" s="4" t="s">
        <v>3495</v>
      </c>
      <c r="AK579" s="4"/>
      <c r="AL579" s="3"/>
    </row>
    <row r="580" spans="1:38" x14ac:dyDescent="0.35">
      <c r="A580" s="3" t="s">
        <v>3501</v>
      </c>
      <c r="B580" s="4" t="s">
        <v>3506</v>
      </c>
      <c r="C580" s="4">
        <f>VLOOKUP(A580, [1]Planilha1!$A$3:$B$1015,2,FALSE)</f>
        <v>0</v>
      </c>
      <c r="D580" s="4">
        <f t="shared" si="9"/>
        <v>0</v>
      </c>
      <c r="E580" s="4" t="s">
        <v>1125</v>
      </c>
      <c r="F580" s="3" t="s">
        <v>3504</v>
      </c>
      <c r="G580" s="3" t="s">
        <v>134</v>
      </c>
      <c r="H580" s="3" t="s">
        <v>138</v>
      </c>
      <c r="I580" s="3" t="s">
        <v>33</v>
      </c>
      <c r="J580" s="3" t="s">
        <v>60</v>
      </c>
      <c r="K580" s="3" t="s">
        <v>3503</v>
      </c>
      <c r="L580" s="1">
        <v>46037.519849537035</v>
      </c>
      <c r="M580" s="1">
        <v>46037.529988425929</v>
      </c>
      <c r="N580" s="1">
        <v>46040.541666666664</v>
      </c>
      <c r="O580" s="3" t="s">
        <v>137</v>
      </c>
      <c r="P580" s="3" t="s">
        <v>3506</v>
      </c>
      <c r="Q580" s="3" t="s">
        <v>35</v>
      </c>
      <c r="R580" s="3" t="s">
        <v>3505</v>
      </c>
      <c r="S580" s="3" t="s">
        <v>144</v>
      </c>
      <c r="T580" s="3" t="s">
        <v>143</v>
      </c>
      <c r="U580" s="4" t="b">
        <v>1</v>
      </c>
      <c r="V580" s="3" t="s">
        <v>31</v>
      </c>
      <c r="W580" s="1"/>
      <c r="Y580" s="3" t="s">
        <v>32</v>
      </c>
      <c r="Z580" s="3" t="s">
        <v>32</v>
      </c>
      <c r="AA580" s="3"/>
      <c r="AB580" s="3"/>
      <c r="AC580" s="4" t="s">
        <v>30</v>
      </c>
      <c r="AD580" s="3"/>
      <c r="AE580" s="3" t="s">
        <v>3506</v>
      </c>
      <c r="AF580" s="4" t="s">
        <v>30</v>
      </c>
      <c r="AH580" s="4">
        <v>0</v>
      </c>
      <c r="AI580" s="3" t="s">
        <v>3502</v>
      </c>
      <c r="AJ580" s="4" t="s">
        <v>5899</v>
      </c>
      <c r="AK580" s="4"/>
      <c r="AL580" s="3"/>
    </row>
    <row r="581" spans="1:38" x14ac:dyDescent="0.35">
      <c r="A581" s="3" t="s">
        <v>3507</v>
      </c>
      <c r="B581" s="4" t="s">
        <v>3513</v>
      </c>
      <c r="C581" s="4">
        <f>VLOOKUP(A581, [1]Planilha1!$A$3:$B$1015,2,FALSE)</f>
        <v>7160</v>
      </c>
      <c r="D581" s="4">
        <f t="shared" si="9"/>
        <v>1.9888888888888889</v>
      </c>
      <c r="E581" s="4" t="s">
        <v>1125</v>
      </c>
      <c r="F581" s="3" t="s">
        <v>3510</v>
      </c>
      <c r="G581" s="3" t="s">
        <v>100</v>
      </c>
      <c r="H581" s="3" t="s">
        <v>44</v>
      </c>
      <c r="I581" s="3" t="s">
        <v>33</v>
      </c>
      <c r="J581" s="3" t="s">
        <v>41</v>
      </c>
      <c r="K581" s="3" t="s">
        <v>3509</v>
      </c>
      <c r="L581" s="1">
        <v>46037.514745370368</v>
      </c>
      <c r="M581" s="1">
        <v>46037.539687500001</v>
      </c>
      <c r="N581" s="1">
        <v>46037.581122685187</v>
      </c>
      <c r="O581" s="3" t="s">
        <v>43</v>
      </c>
      <c r="P581" s="3" t="s">
        <v>3513</v>
      </c>
      <c r="Q581" s="3" t="s">
        <v>42</v>
      </c>
      <c r="R581" s="3" t="s">
        <v>3512</v>
      </c>
      <c r="S581" s="3" t="s">
        <v>190</v>
      </c>
      <c r="T581" s="3" t="s">
        <v>189</v>
      </c>
      <c r="U581" s="4" t="b">
        <v>1</v>
      </c>
      <c r="V581" s="3" t="s">
        <v>31</v>
      </c>
      <c r="W581" s="1"/>
      <c r="Y581" s="3" t="s">
        <v>32</v>
      </c>
      <c r="Z581" s="3" t="s">
        <v>32</v>
      </c>
      <c r="AA581" s="3"/>
      <c r="AB581" s="3"/>
      <c r="AC581" s="4" t="s">
        <v>30</v>
      </c>
      <c r="AD581" s="3"/>
      <c r="AE581" s="3" t="s">
        <v>3513</v>
      </c>
      <c r="AF581" s="4" t="s">
        <v>30</v>
      </c>
      <c r="AH581" s="4">
        <v>1</v>
      </c>
      <c r="AI581" s="3" t="s">
        <v>3508</v>
      </c>
      <c r="AJ581" s="4" t="s">
        <v>3511</v>
      </c>
      <c r="AK581" s="4"/>
      <c r="AL581" s="3"/>
    </row>
    <row r="582" spans="1:38" x14ac:dyDescent="0.35">
      <c r="A582" s="3" t="s">
        <v>3514</v>
      </c>
      <c r="B582" s="4" t="s">
        <v>1498</v>
      </c>
      <c r="C582" s="4">
        <f>VLOOKUP(A582, [1]Planilha1!$A$3:$B$1015,2,FALSE)</f>
        <v>20970</v>
      </c>
      <c r="D582" s="4">
        <f t="shared" si="9"/>
        <v>5.8250000000000002</v>
      </c>
      <c r="E582" s="4" t="s">
        <v>1125</v>
      </c>
      <c r="F582" s="3" t="s">
        <v>1495</v>
      </c>
      <c r="G582" s="3" t="s">
        <v>3515</v>
      </c>
      <c r="H582" s="3" t="s">
        <v>44</v>
      </c>
      <c r="I582" s="3" t="s">
        <v>33</v>
      </c>
      <c r="J582" s="3" t="s">
        <v>41</v>
      </c>
      <c r="L582" s="1">
        <v>46037.480613425927</v>
      </c>
      <c r="M582" s="1">
        <v>46037.480613425927</v>
      </c>
      <c r="N582" s="1">
        <v>46037.580451388887</v>
      </c>
      <c r="O582" s="3" t="s">
        <v>43</v>
      </c>
      <c r="P582" s="3" t="s">
        <v>1498</v>
      </c>
      <c r="Q582" s="3" t="s">
        <v>42</v>
      </c>
      <c r="R582" s="3" t="s">
        <v>1497</v>
      </c>
      <c r="S582" s="3" t="s">
        <v>37</v>
      </c>
      <c r="T582" s="3" t="s">
        <v>36</v>
      </c>
      <c r="U582" s="4" t="b">
        <v>1</v>
      </c>
      <c r="V582" s="3" t="s">
        <v>28</v>
      </c>
      <c r="W582" s="1"/>
      <c r="Y582" s="3" t="s">
        <v>29</v>
      </c>
      <c r="Z582" s="3" t="s">
        <v>29</v>
      </c>
      <c r="AA582" s="3"/>
      <c r="AB582" s="3"/>
      <c r="AC582" s="4" t="s">
        <v>30</v>
      </c>
      <c r="AD582" s="3"/>
      <c r="AE582" s="3" t="s">
        <v>1498</v>
      </c>
      <c r="AF582" s="4" t="s">
        <v>30</v>
      </c>
      <c r="AH582" s="4">
        <v>2</v>
      </c>
      <c r="AI582" s="3" t="s">
        <v>3516</v>
      </c>
      <c r="AJ582" s="4" t="s">
        <v>1496</v>
      </c>
      <c r="AK582" s="4"/>
      <c r="AL582" s="3"/>
    </row>
    <row r="583" spans="1:38" x14ac:dyDescent="0.35">
      <c r="A583" s="3" t="s">
        <v>3517</v>
      </c>
      <c r="B583" s="4" t="s">
        <v>3522</v>
      </c>
      <c r="C583" s="4">
        <f>VLOOKUP(A583, [1]Planilha1!$A$3:$B$1015,2,FALSE)</f>
        <v>7754</v>
      </c>
      <c r="D583" s="4">
        <f t="shared" si="9"/>
        <v>2.153888888888889</v>
      </c>
      <c r="E583" s="4" t="s">
        <v>1125</v>
      </c>
      <c r="F583" s="3" t="s">
        <v>3519</v>
      </c>
      <c r="G583" s="3" t="s">
        <v>74</v>
      </c>
      <c r="H583" s="3" t="s">
        <v>44</v>
      </c>
      <c r="I583" s="3" t="s">
        <v>33</v>
      </c>
      <c r="J583" s="3" t="s">
        <v>41</v>
      </c>
      <c r="L583" s="1">
        <v>46037.47347222222</v>
      </c>
      <c r="M583" s="1">
        <v>46037.480011574073</v>
      </c>
      <c r="N583" s="1">
        <v>46037.524884259263</v>
      </c>
      <c r="O583" s="3" t="s">
        <v>43</v>
      </c>
      <c r="P583" s="3" t="s">
        <v>3522</v>
      </c>
      <c r="Q583" s="3" t="s">
        <v>42</v>
      </c>
      <c r="R583" s="3" t="s">
        <v>3521</v>
      </c>
      <c r="S583" s="3" t="s">
        <v>80</v>
      </c>
      <c r="T583" s="3" t="s">
        <v>79</v>
      </c>
      <c r="U583" s="4" t="b">
        <v>1</v>
      </c>
      <c r="V583" s="3" t="s">
        <v>31</v>
      </c>
      <c r="W583" s="1"/>
      <c r="Y583" s="3" t="s">
        <v>32</v>
      </c>
      <c r="Z583" s="3" t="s">
        <v>32</v>
      </c>
      <c r="AA583" s="3"/>
      <c r="AB583" s="3"/>
      <c r="AC583" s="4" t="s">
        <v>30</v>
      </c>
      <c r="AD583" s="3"/>
      <c r="AE583" s="3" t="s">
        <v>3522</v>
      </c>
      <c r="AF583" s="4" t="s">
        <v>30</v>
      </c>
      <c r="AH583" s="4">
        <v>1</v>
      </c>
      <c r="AI583" s="3" t="s">
        <v>3518</v>
      </c>
      <c r="AJ583" s="4" t="s">
        <v>3520</v>
      </c>
      <c r="AK583" s="4"/>
      <c r="AL583" s="3"/>
    </row>
    <row r="584" spans="1:38" x14ac:dyDescent="0.35">
      <c r="A584" s="3" t="s">
        <v>3523</v>
      </c>
      <c r="B584" s="4" t="s">
        <v>2816</v>
      </c>
      <c r="C584" s="4">
        <f>VLOOKUP(A584, [1]Planilha1!$A$3:$B$1015,2,FALSE)</f>
        <v>18340</v>
      </c>
      <c r="D584" s="4">
        <f t="shared" si="9"/>
        <v>5.0944444444444441</v>
      </c>
      <c r="E584" s="4" t="s">
        <v>1125</v>
      </c>
      <c r="F584" s="3" t="s">
        <v>2813</v>
      </c>
      <c r="G584" s="3" t="s">
        <v>74</v>
      </c>
      <c r="H584" s="3" t="s">
        <v>44</v>
      </c>
      <c r="I584" s="3" t="s">
        <v>33</v>
      </c>
      <c r="J584" s="3" t="s">
        <v>607</v>
      </c>
      <c r="L584" s="1">
        <v>46037.469340277778</v>
      </c>
      <c r="M584" s="1">
        <v>46037.473460648151</v>
      </c>
      <c r="N584" s="1">
        <v>46040.583333333336</v>
      </c>
      <c r="O584" s="3" t="s">
        <v>43</v>
      </c>
      <c r="P584" s="3" t="s">
        <v>2816</v>
      </c>
      <c r="Q584" s="3" t="s">
        <v>35</v>
      </c>
      <c r="R584" s="3" t="s">
        <v>2815</v>
      </c>
      <c r="S584" s="3" t="s">
        <v>80</v>
      </c>
      <c r="T584" s="3" t="s">
        <v>79</v>
      </c>
      <c r="U584" s="4" t="b">
        <v>1</v>
      </c>
      <c r="V584" s="3" t="s">
        <v>31</v>
      </c>
      <c r="W584" s="1"/>
      <c r="Y584" s="3" t="s">
        <v>32</v>
      </c>
      <c r="Z584" s="3" t="s">
        <v>32</v>
      </c>
      <c r="AA584" s="3"/>
      <c r="AB584" s="3"/>
      <c r="AC584" s="4" t="s">
        <v>30</v>
      </c>
      <c r="AD584" s="3"/>
      <c r="AE584" s="3" t="s">
        <v>2816</v>
      </c>
      <c r="AF584" s="4" t="s">
        <v>30</v>
      </c>
      <c r="AH584" s="4">
        <v>1</v>
      </c>
      <c r="AI584" s="3" t="s">
        <v>3524</v>
      </c>
      <c r="AJ584" s="4" t="s">
        <v>2814</v>
      </c>
      <c r="AK584" s="4"/>
      <c r="AL584" s="3"/>
    </row>
    <row r="585" spans="1:38" x14ac:dyDescent="0.35">
      <c r="A585" s="3" t="s">
        <v>3525</v>
      </c>
      <c r="B585" s="4" t="s">
        <v>3529</v>
      </c>
      <c r="C585" s="4">
        <f>VLOOKUP(A585, [1]Planilha1!$A$3:$B$1015,2,FALSE)</f>
        <v>3598</v>
      </c>
      <c r="D585" s="4">
        <f t="shared" si="9"/>
        <v>0.99944444444444447</v>
      </c>
      <c r="E585" s="4" t="s">
        <v>1125</v>
      </c>
      <c r="F585" s="3" t="s">
        <v>3527</v>
      </c>
      <c r="G585" s="3" t="s">
        <v>74</v>
      </c>
      <c r="H585" s="3" t="s">
        <v>44</v>
      </c>
      <c r="I585" s="3" t="s">
        <v>33</v>
      </c>
      <c r="J585" s="3" t="s">
        <v>41</v>
      </c>
      <c r="L585" s="1">
        <v>46037.446377314816</v>
      </c>
      <c r="M585" s="1">
        <v>46037.451064814813</v>
      </c>
      <c r="N585" s="1">
        <v>46037.471886574072</v>
      </c>
      <c r="O585" s="3" t="s">
        <v>43</v>
      </c>
      <c r="P585" s="3" t="s">
        <v>3529</v>
      </c>
      <c r="Q585" s="3" t="s">
        <v>42</v>
      </c>
      <c r="R585" s="3" t="s">
        <v>3528</v>
      </c>
      <c r="S585" s="3" t="s">
        <v>80</v>
      </c>
      <c r="T585" s="3" t="s">
        <v>79</v>
      </c>
      <c r="U585" s="4" t="b">
        <v>1</v>
      </c>
      <c r="V585" s="3" t="s">
        <v>31</v>
      </c>
      <c r="W585" s="1"/>
      <c r="Y585" s="3" t="s">
        <v>32</v>
      </c>
      <c r="Z585" s="3" t="s">
        <v>32</v>
      </c>
      <c r="AA585" s="3"/>
      <c r="AB585" s="3"/>
      <c r="AC585" s="4" t="s">
        <v>30</v>
      </c>
      <c r="AD585" s="3"/>
      <c r="AE585" s="3" t="s">
        <v>3529</v>
      </c>
      <c r="AF585" s="4" t="s">
        <v>30</v>
      </c>
      <c r="AH585" s="4">
        <v>1</v>
      </c>
      <c r="AI585" s="3" t="s">
        <v>3526</v>
      </c>
      <c r="AJ585" s="4"/>
      <c r="AK585" s="4"/>
      <c r="AL585" s="3"/>
    </row>
    <row r="586" spans="1:38" x14ac:dyDescent="0.35">
      <c r="A586" s="3" t="s">
        <v>3530</v>
      </c>
      <c r="B586" s="4" t="s">
        <v>3535</v>
      </c>
      <c r="C586" s="4">
        <f>VLOOKUP(A586, [1]Planilha1!$A$3:$B$1015,2,FALSE)</f>
        <v>5660</v>
      </c>
      <c r="D586" s="4">
        <f t="shared" si="9"/>
        <v>1.5722222222222222</v>
      </c>
      <c r="E586" s="4" t="s">
        <v>1125</v>
      </c>
      <c r="F586" s="3" t="s">
        <v>3532</v>
      </c>
      <c r="G586" s="3" t="s">
        <v>74</v>
      </c>
      <c r="H586" s="3" t="s">
        <v>44</v>
      </c>
      <c r="I586" s="3" t="s">
        <v>33</v>
      </c>
      <c r="J586" s="3" t="s">
        <v>41</v>
      </c>
      <c r="L586" s="1">
        <v>46037.435937499999</v>
      </c>
      <c r="M586" s="1">
        <v>46037.43855324074</v>
      </c>
      <c r="N586" s="1">
        <v>46037.471307870372</v>
      </c>
      <c r="O586" s="3" t="s">
        <v>43</v>
      </c>
      <c r="P586" s="3" t="s">
        <v>3535</v>
      </c>
      <c r="Q586" s="3" t="s">
        <v>42</v>
      </c>
      <c r="R586" s="3" t="s">
        <v>3534</v>
      </c>
      <c r="S586" s="3" t="s">
        <v>80</v>
      </c>
      <c r="T586" s="3" t="s">
        <v>79</v>
      </c>
      <c r="U586" s="4" t="b">
        <v>1</v>
      </c>
      <c r="V586" s="3" t="s">
        <v>31</v>
      </c>
      <c r="W586" s="1"/>
      <c r="Y586" s="3" t="s">
        <v>32</v>
      </c>
      <c r="Z586" s="3" t="s">
        <v>32</v>
      </c>
      <c r="AA586" s="3"/>
      <c r="AB586" s="3"/>
      <c r="AC586" s="4" t="s">
        <v>30</v>
      </c>
      <c r="AD586" s="3"/>
      <c r="AE586" s="3" t="s">
        <v>3535</v>
      </c>
      <c r="AF586" s="4" t="s">
        <v>30</v>
      </c>
      <c r="AH586" s="4">
        <v>1</v>
      </c>
      <c r="AI586" s="3" t="s">
        <v>3531</v>
      </c>
      <c r="AJ586" s="4" t="s">
        <v>3533</v>
      </c>
      <c r="AK586" s="4"/>
      <c r="AL586" s="3"/>
    </row>
    <row r="587" spans="1:38" x14ac:dyDescent="0.35">
      <c r="A587" s="3" t="s">
        <v>3536</v>
      </c>
      <c r="B587" s="4" t="s">
        <v>555</v>
      </c>
      <c r="C587" s="4">
        <f>VLOOKUP(A587, [1]Planilha1!$A$3:$B$1015,2,FALSE)</f>
        <v>810</v>
      </c>
      <c r="D587" s="4">
        <f t="shared" si="9"/>
        <v>0.22500000000000001</v>
      </c>
      <c r="E587" s="4" t="s">
        <v>1125</v>
      </c>
      <c r="F587" s="3" t="s">
        <v>553</v>
      </c>
      <c r="G587" s="3" t="s">
        <v>72</v>
      </c>
      <c r="H587" s="3" t="s">
        <v>163</v>
      </c>
      <c r="I587" s="3" t="s">
        <v>33</v>
      </c>
      <c r="J587" s="3" t="s">
        <v>60</v>
      </c>
      <c r="K587" s="3" t="s">
        <v>3538</v>
      </c>
      <c r="L587" s="1">
        <v>46037.43482638889</v>
      </c>
      <c r="M587" s="1">
        <v>46037.43482638889</v>
      </c>
      <c r="N587" s="1">
        <v>46040.458344907405</v>
      </c>
      <c r="O587" s="3" t="s">
        <v>162</v>
      </c>
      <c r="P587" s="3" t="s">
        <v>555</v>
      </c>
      <c r="Q587" s="3" t="s">
        <v>42</v>
      </c>
      <c r="R587" s="3" t="s">
        <v>554</v>
      </c>
      <c r="S587" s="3" t="s">
        <v>37</v>
      </c>
      <c r="T587" s="3" t="s">
        <v>36</v>
      </c>
      <c r="U587" s="4" t="b">
        <v>1</v>
      </c>
      <c r="V587" s="3" t="s">
        <v>28</v>
      </c>
      <c r="W587" s="1"/>
      <c r="Y587" s="3" t="s">
        <v>29</v>
      </c>
      <c r="Z587" s="3" t="s">
        <v>29</v>
      </c>
      <c r="AA587" s="3"/>
      <c r="AB587" s="3"/>
      <c r="AC587" s="4" t="s">
        <v>30</v>
      </c>
      <c r="AD587" s="3"/>
      <c r="AE587" s="3" t="s">
        <v>555</v>
      </c>
      <c r="AF587" s="4" t="s">
        <v>30</v>
      </c>
      <c r="AH587" s="4">
        <v>0</v>
      </c>
      <c r="AI587" s="3" t="s">
        <v>3537</v>
      </c>
      <c r="AJ587" s="4" t="s">
        <v>5900</v>
      </c>
      <c r="AK587" s="4"/>
      <c r="AL587" s="3"/>
    </row>
    <row r="588" spans="1:38" x14ac:dyDescent="0.35">
      <c r="A588" s="3" t="s">
        <v>3539</v>
      </c>
      <c r="B588" s="4" t="s">
        <v>3545</v>
      </c>
      <c r="C588" s="4">
        <f>VLOOKUP(A588, [1]Planilha1!$A$3:$B$1015,2,FALSE)</f>
        <v>5502</v>
      </c>
      <c r="D588" s="4">
        <f t="shared" si="9"/>
        <v>1.5283333333333333</v>
      </c>
      <c r="E588" s="4" t="s">
        <v>1125</v>
      </c>
      <c r="F588" s="3" t="s">
        <v>3542</v>
      </c>
      <c r="G588" s="3" t="s">
        <v>214</v>
      </c>
      <c r="H588" s="3" t="s">
        <v>44</v>
      </c>
      <c r="I588" s="3" t="s">
        <v>33</v>
      </c>
      <c r="J588" s="3" t="s">
        <v>41</v>
      </c>
      <c r="K588" s="3" t="s">
        <v>3541</v>
      </c>
      <c r="L588" s="1">
        <v>46037.427256944444</v>
      </c>
      <c r="M588" s="1">
        <v>46037.438622685186</v>
      </c>
      <c r="N588" s="1">
        <v>46037.470462962963</v>
      </c>
      <c r="O588" s="3" t="s">
        <v>43</v>
      </c>
      <c r="P588" s="3" t="s">
        <v>3545</v>
      </c>
      <c r="Q588" s="3" t="s">
        <v>42</v>
      </c>
      <c r="R588" s="3" t="s">
        <v>3544</v>
      </c>
      <c r="S588" s="3" t="s">
        <v>144</v>
      </c>
      <c r="T588" s="3" t="s">
        <v>143</v>
      </c>
      <c r="U588" s="4" t="b">
        <v>1</v>
      </c>
      <c r="V588" s="3" t="s">
        <v>31</v>
      </c>
      <c r="W588" s="1"/>
      <c r="Y588" s="3" t="s">
        <v>32</v>
      </c>
      <c r="Z588" s="3" t="s">
        <v>32</v>
      </c>
      <c r="AA588" s="3"/>
      <c r="AB588" s="3"/>
      <c r="AC588" s="4" t="s">
        <v>30</v>
      </c>
      <c r="AD588" s="3"/>
      <c r="AE588" s="3" t="s">
        <v>3545</v>
      </c>
      <c r="AF588" s="4" t="s">
        <v>30</v>
      </c>
      <c r="AH588" s="4">
        <v>1</v>
      </c>
      <c r="AI588" s="3" t="s">
        <v>3540</v>
      </c>
      <c r="AJ588" s="4" t="s">
        <v>3543</v>
      </c>
      <c r="AK588" s="4"/>
      <c r="AL588" s="3"/>
    </row>
    <row r="589" spans="1:38" x14ac:dyDescent="0.35">
      <c r="A589" s="3" t="s">
        <v>3546</v>
      </c>
      <c r="B589" s="4" t="s">
        <v>3437</v>
      </c>
      <c r="C589" s="4">
        <f>VLOOKUP(A589, [1]Planilha1!$A$3:$B$1015,2,FALSE)</f>
        <v>10090</v>
      </c>
      <c r="D589" s="4">
        <f t="shared" si="9"/>
        <v>2.8027777777777776</v>
      </c>
      <c r="E589" s="4" t="s">
        <v>1125</v>
      </c>
      <c r="F589" s="3" t="s">
        <v>3434</v>
      </c>
      <c r="G589" s="3" t="s">
        <v>3547</v>
      </c>
      <c r="H589" s="3" t="s">
        <v>224</v>
      </c>
      <c r="I589" s="3" t="s">
        <v>33</v>
      </c>
      <c r="J589" s="3" t="s">
        <v>41</v>
      </c>
      <c r="K589" s="3" t="s">
        <v>3549</v>
      </c>
      <c r="L589" s="1">
        <v>46037.421400462961</v>
      </c>
      <c r="M589" s="1">
        <v>46037.421400462961</v>
      </c>
      <c r="N589" s="1">
        <v>46037.479791666665</v>
      </c>
      <c r="O589" s="3" t="s">
        <v>223</v>
      </c>
      <c r="P589" s="3" t="s">
        <v>3437</v>
      </c>
      <c r="Q589" s="3" t="s">
        <v>42</v>
      </c>
      <c r="R589" s="3" t="s">
        <v>3436</v>
      </c>
      <c r="S589" s="3" t="s">
        <v>37</v>
      </c>
      <c r="T589" s="3" t="s">
        <v>36</v>
      </c>
      <c r="U589" s="4" t="b">
        <v>1</v>
      </c>
      <c r="V589" s="3" t="s">
        <v>28</v>
      </c>
      <c r="W589" s="1"/>
      <c r="Y589" s="3" t="s">
        <v>29</v>
      </c>
      <c r="Z589" s="3" t="s">
        <v>29</v>
      </c>
      <c r="AA589" s="3"/>
      <c r="AB589" s="3"/>
      <c r="AC589" s="4" t="s">
        <v>30</v>
      </c>
      <c r="AD589" s="3"/>
      <c r="AE589" s="3" t="s">
        <v>3437</v>
      </c>
      <c r="AF589" s="4" t="s">
        <v>30</v>
      </c>
      <c r="AH589" s="4">
        <v>1</v>
      </c>
      <c r="AI589" s="3" t="s">
        <v>3548</v>
      </c>
      <c r="AJ589" s="4" t="s">
        <v>3435</v>
      </c>
      <c r="AK589" s="4"/>
      <c r="AL589" s="3"/>
    </row>
    <row r="590" spans="1:38" x14ac:dyDescent="0.35">
      <c r="A590" s="3" t="s">
        <v>3550</v>
      </c>
      <c r="B590" s="4" t="s">
        <v>3557</v>
      </c>
      <c r="C590" s="4">
        <f>VLOOKUP(A590, [1]Planilha1!$A$3:$B$1015,2,FALSE)</f>
        <v>9966</v>
      </c>
      <c r="D590" s="4">
        <f t="shared" si="9"/>
        <v>2.7683333333333335</v>
      </c>
      <c r="E590" s="4" t="s">
        <v>1125</v>
      </c>
      <c r="F590" s="3" t="s">
        <v>3554</v>
      </c>
      <c r="G590" s="3" t="s">
        <v>3551</v>
      </c>
      <c r="H590" s="3" t="s">
        <v>171</v>
      </c>
      <c r="I590" s="3" t="s">
        <v>33</v>
      </c>
      <c r="J590" s="3" t="s">
        <v>41</v>
      </c>
      <c r="K590" s="3" t="s">
        <v>3553</v>
      </c>
      <c r="L590" s="1">
        <v>46037.419444444444</v>
      </c>
      <c r="M590" s="1">
        <v>46037.419444444444</v>
      </c>
      <c r="N590" s="1">
        <v>46037.477118055554</v>
      </c>
      <c r="O590" s="3" t="s">
        <v>170</v>
      </c>
      <c r="P590" s="3" t="s">
        <v>3557</v>
      </c>
      <c r="Q590" s="3" t="s">
        <v>42</v>
      </c>
      <c r="R590" s="3" t="s">
        <v>3556</v>
      </c>
      <c r="S590" s="3" t="s">
        <v>37</v>
      </c>
      <c r="T590" s="3" t="s">
        <v>36</v>
      </c>
      <c r="U590" s="4" t="b">
        <v>1</v>
      </c>
      <c r="V590" s="3" t="s">
        <v>28</v>
      </c>
      <c r="W590" s="1"/>
      <c r="Y590" s="3" t="s">
        <v>29</v>
      </c>
      <c r="Z590" s="3" t="s">
        <v>29</v>
      </c>
      <c r="AA590" s="3"/>
      <c r="AB590" s="3"/>
      <c r="AC590" s="4" t="s">
        <v>30</v>
      </c>
      <c r="AD590" s="3"/>
      <c r="AE590" s="3" t="s">
        <v>3557</v>
      </c>
      <c r="AF590" s="4" t="s">
        <v>30</v>
      </c>
      <c r="AH590" s="4">
        <v>1</v>
      </c>
      <c r="AI590" s="3" t="s">
        <v>3552</v>
      </c>
      <c r="AJ590" s="4" t="s">
        <v>3555</v>
      </c>
      <c r="AK590" s="4"/>
      <c r="AL590" s="3"/>
    </row>
    <row r="591" spans="1:38" x14ac:dyDescent="0.35">
      <c r="A591" s="3" t="s">
        <v>3558</v>
      </c>
      <c r="B591" s="4" t="s">
        <v>417</v>
      </c>
      <c r="C591" s="4">
        <f>VLOOKUP(A591, [1]Planilha1!$A$3:$B$1015,2,FALSE)</f>
        <v>0</v>
      </c>
      <c r="D591" s="4">
        <f t="shared" si="9"/>
        <v>0</v>
      </c>
      <c r="E591" s="4" t="s">
        <v>1125</v>
      </c>
      <c r="F591" s="3" t="s">
        <v>414</v>
      </c>
      <c r="G591" s="3" t="s">
        <v>1874</v>
      </c>
      <c r="H591" s="3" t="s">
        <v>224</v>
      </c>
      <c r="I591" s="3" t="s">
        <v>33</v>
      </c>
      <c r="J591" s="3" t="s">
        <v>60</v>
      </c>
      <c r="K591" s="3" t="s">
        <v>3560</v>
      </c>
      <c r="L591" s="1">
        <v>46037.377604166664</v>
      </c>
      <c r="M591" s="1">
        <v>46037.448865740742</v>
      </c>
      <c r="N591" s="1">
        <v>46040.458344907405</v>
      </c>
      <c r="O591" s="3" t="s">
        <v>223</v>
      </c>
      <c r="P591" s="3" t="s">
        <v>417</v>
      </c>
      <c r="Q591" s="3" t="s">
        <v>35</v>
      </c>
      <c r="R591" s="3" t="s">
        <v>416</v>
      </c>
      <c r="S591" s="3" t="s">
        <v>144</v>
      </c>
      <c r="T591" s="3" t="s">
        <v>143</v>
      </c>
      <c r="U591" s="4" t="b">
        <v>1</v>
      </c>
      <c r="V591" s="3" t="s">
        <v>31</v>
      </c>
      <c r="W591" s="1"/>
      <c r="Y591" s="3" t="s">
        <v>32</v>
      </c>
      <c r="Z591" s="3" t="s">
        <v>32</v>
      </c>
      <c r="AA591" s="3"/>
      <c r="AB591" s="3"/>
      <c r="AC591" s="4" t="s">
        <v>30</v>
      </c>
      <c r="AD591" s="3"/>
      <c r="AE591" s="3" t="s">
        <v>417</v>
      </c>
      <c r="AF591" s="4" t="s">
        <v>30</v>
      </c>
      <c r="AH591" s="4">
        <v>0</v>
      </c>
      <c r="AI591" s="3" t="s">
        <v>3559</v>
      </c>
      <c r="AJ591" s="4" t="s">
        <v>415</v>
      </c>
      <c r="AK591" s="4"/>
      <c r="AL591" s="3"/>
    </row>
    <row r="592" spans="1:38" x14ac:dyDescent="0.35">
      <c r="A592" s="3" t="s">
        <v>3561</v>
      </c>
      <c r="B592" s="4" t="s">
        <v>371</v>
      </c>
      <c r="C592" s="4">
        <f>VLOOKUP(A592, [1]Planilha1!$A$3:$B$1015,2,FALSE)</f>
        <v>335</v>
      </c>
      <c r="D592" s="4">
        <f t="shared" si="9"/>
        <v>9.3055555555555558E-2</v>
      </c>
      <c r="E592" s="4" t="s">
        <v>1125</v>
      </c>
      <c r="F592" s="3" t="s">
        <v>368</v>
      </c>
      <c r="G592" s="3" t="s">
        <v>72</v>
      </c>
      <c r="H592" s="3" t="s">
        <v>677</v>
      </c>
      <c r="I592" s="3" t="s">
        <v>33</v>
      </c>
      <c r="J592" s="3" t="s">
        <v>60</v>
      </c>
      <c r="L592" s="1">
        <v>46037.359965277778</v>
      </c>
      <c r="M592" s="1">
        <v>46037.359965277778</v>
      </c>
      <c r="N592" s="1">
        <v>46040.375011574077</v>
      </c>
      <c r="O592" s="3" t="s">
        <v>1097</v>
      </c>
      <c r="P592" s="3" t="s">
        <v>371</v>
      </c>
      <c r="Q592" s="3" t="s">
        <v>42</v>
      </c>
      <c r="R592" s="3" t="s">
        <v>370</v>
      </c>
      <c r="S592" s="3" t="s">
        <v>37</v>
      </c>
      <c r="T592" s="3" t="s">
        <v>36</v>
      </c>
      <c r="U592" s="4" t="b">
        <v>1</v>
      </c>
      <c r="V592" s="3" t="s">
        <v>28</v>
      </c>
      <c r="W592" s="1"/>
      <c r="Y592" s="3" t="s">
        <v>29</v>
      </c>
      <c r="Z592" s="3" t="s">
        <v>29</v>
      </c>
      <c r="AA592" s="3"/>
      <c r="AB592" s="3"/>
      <c r="AC592" s="4" t="s">
        <v>30</v>
      </c>
      <c r="AD592" s="3"/>
      <c r="AE592" s="3" t="s">
        <v>371</v>
      </c>
      <c r="AF592" s="4" t="s">
        <v>30</v>
      </c>
      <c r="AH592" s="4">
        <v>0</v>
      </c>
      <c r="AI592" s="3" t="s">
        <v>367</v>
      </c>
      <c r="AJ592" s="4" t="s">
        <v>369</v>
      </c>
      <c r="AK592" s="4"/>
      <c r="AL592" s="3"/>
    </row>
    <row r="593" spans="1:38" x14ac:dyDescent="0.35">
      <c r="A593" s="3" t="s">
        <v>3562</v>
      </c>
      <c r="B593" s="4" t="s">
        <v>3567</v>
      </c>
      <c r="C593" s="4">
        <f>VLOOKUP(A593, [1]Planilha1!$A$3:$B$1015,2,FALSE)</f>
        <v>27239</v>
      </c>
      <c r="D593" s="4">
        <f t="shared" si="9"/>
        <v>7.5663888888888886</v>
      </c>
      <c r="E593" s="4" t="s">
        <v>1125</v>
      </c>
      <c r="F593" s="3" t="s">
        <v>3565</v>
      </c>
      <c r="G593" s="3" t="s">
        <v>3563</v>
      </c>
      <c r="H593" s="3" t="s">
        <v>428</v>
      </c>
      <c r="I593" s="3" t="s">
        <v>33</v>
      </c>
      <c r="J593" s="3" t="s">
        <v>41</v>
      </c>
      <c r="L593" s="1">
        <v>46037.342407407406</v>
      </c>
      <c r="M593" s="1">
        <v>46037.342407407406</v>
      </c>
      <c r="N593" s="1">
        <v>46037.469224537039</v>
      </c>
      <c r="O593" s="3" t="s">
        <v>427</v>
      </c>
      <c r="P593" s="3" t="s">
        <v>3567</v>
      </c>
      <c r="Q593" s="3" t="s">
        <v>42</v>
      </c>
      <c r="R593" s="3" t="s">
        <v>3566</v>
      </c>
      <c r="S593" s="3" t="s">
        <v>37</v>
      </c>
      <c r="T593" s="3" t="s">
        <v>36</v>
      </c>
      <c r="U593" s="4" t="b">
        <v>1</v>
      </c>
      <c r="V593" s="3" t="s">
        <v>28</v>
      </c>
      <c r="W593" s="1"/>
      <c r="Y593" s="3" t="s">
        <v>29</v>
      </c>
      <c r="Z593" s="3" t="s">
        <v>29</v>
      </c>
      <c r="AA593" s="3"/>
      <c r="AB593" s="3"/>
      <c r="AC593" s="4" t="s">
        <v>30</v>
      </c>
      <c r="AD593" s="3"/>
      <c r="AE593" s="3" t="s">
        <v>3567</v>
      </c>
      <c r="AF593" s="4" t="s">
        <v>30</v>
      </c>
      <c r="AH593" s="4">
        <v>0</v>
      </c>
      <c r="AI593" s="3" t="s">
        <v>3564</v>
      </c>
      <c r="AJ593" s="4" t="s">
        <v>5901</v>
      </c>
      <c r="AK593" s="4"/>
      <c r="AL593" s="3"/>
    </row>
    <row r="594" spans="1:38" x14ac:dyDescent="0.35">
      <c r="A594" s="3" t="s">
        <v>3568</v>
      </c>
      <c r="B594" s="4" t="s">
        <v>3574</v>
      </c>
      <c r="C594" s="4">
        <f>VLOOKUP(A594, [1]Planilha1!$A$3:$B$1015,2,FALSE)</f>
        <v>0</v>
      </c>
      <c r="D594" s="4">
        <f t="shared" si="9"/>
        <v>0</v>
      </c>
      <c r="E594" s="4" t="s">
        <v>1125</v>
      </c>
      <c r="F594" s="3" t="s">
        <v>3571</v>
      </c>
      <c r="G594" s="3" t="s">
        <v>214</v>
      </c>
      <c r="H594" s="3" t="s">
        <v>44</v>
      </c>
      <c r="I594" s="3" t="s">
        <v>33</v>
      </c>
      <c r="J594" s="3" t="s">
        <v>60</v>
      </c>
      <c r="K594" s="3" t="s">
        <v>3570</v>
      </c>
      <c r="L594" s="1">
        <v>46037.341782407406</v>
      </c>
      <c r="M594" s="1">
        <v>46037.35769675926</v>
      </c>
      <c r="N594" s="1">
        <v>46040.375011574077</v>
      </c>
      <c r="O594" s="3" t="s">
        <v>43</v>
      </c>
      <c r="P594" s="3" t="s">
        <v>3574</v>
      </c>
      <c r="Q594" s="3" t="s">
        <v>35</v>
      </c>
      <c r="R594" s="3" t="s">
        <v>3573</v>
      </c>
      <c r="S594" s="3" t="s">
        <v>144</v>
      </c>
      <c r="T594" s="3" t="s">
        <v>143</v>
      </c>
      <c r="U594" s="4" t="b">
        <v>1</v>
      </c>
      <c r="V594" s="3" t="s">
        <v>31</v>
      </c>
      <c r="W594" s="1"/>
      <c r="Y594" s="3" t="s">
        <v>32</v>
      </c>
      <c r="Z594" s="3" t="s">
        <v>32</v>
      </c>
      <c r="AA594" s="3"/>
      <c r="AB594" s="3"/>
      <c r="AC594" s="4" t="s">
        <v>30</v>
      </c>
      <c r="AD594" s="3"/>
      <c r="AE594" s="3" t="s">
        <v>3574</v>
      </c>
      <c r="AF594" s="4" t="s">
        <v>30</v>
      </c>
      <c r="AH594" s="4">
        <v>0</v>
      </c>
      <c r="AI594" s="3" t="s">
        <v>3569</v>
      </c>
      <c r="AJ594" s="4" t="s">
        <v>3572</v>
      </c>
      <c r="AK594" s="4"/>
      <c r="AL594" s="3"/>
    </row>
    <row r="595" spans="1:38" x14ac:dyDescent="0.35">
      <c r="A595" s="3" t="s">
        <v>3575</v>
      </c>
      <c r="B595" s="4" t="s">
        <v>3581</v>
      </c>
      <c r="C595" s="4">
        <f>VLOOKUP(A595, [1]Planilha1!$A$3:$B$1015,2,FALSE)</f>
        <v>21494</v>
      </c>
      <c r="D595" s="4">
        <f t="shared" si="9"/>
        <v>5.9705555555555554</v>
      </c>
      <c r="E595" s="4" t="s">
        <v>1125</v>
      </c>
      <c r="F595" s="3" t="s">
        <v>3579</v>
      </c>
      <c r="G595" s="3" t="s">
        <v>3576</v>
      </c>
      <c r="H595" s="3" t="s">
        <v>428</v>
      </c>
      <c r="I595" s="3" t="s">
        <v>33</v>
      </c>
      <c r="J595" s="3" t="s">
        <v>41</v>
      </c>
      <c r="K595" s="3" t="s">
        <v>3578</v>
      </c>
      <c r="L595" s="1">
        <v>46036.921307870369</v>
      </c>
      <c r="M595" s="1">
        <v>46036.921307870369</v>
      </c>
      <c r="N595" s="1">
        <v>46037.457719907405</v>
      </c>
      <c r="O595" s="3" t="s">
        <v>427</v>
      </c>
      <c r="P595" s="3" t="s">
        <v>3581</v>
      </c>
      <c r="Q595" s="3" t="s">
        <v>42</v>
      </c>
      <c r="R595" s="3" t="s">
        <v>3580</v>
      </c>
      <c r="S595" s="3" t="s">
        <v>37</v>
      </c>
      <c r="T595" s="3" t="s">
        <v>36</v>
      </c>
      <c r="U595" s="4" t="b">
        <v>1</v>
      </c>
      <c r="V595" s="3" t="s">
        <v>28</v>
      </c>
      <c r="W595" s="1"/>
      <c r="Y595" s="3" t="s">
        <v>29</v>
      </c>
      <c r="Z595" s="3" t="s">
        <v>29</v>
      </c>
      <c r="AA595" s="3"/>
      <c r="AB595" s="3"/>
      <c r="AC595" s="4" t="s">
        <v>30</v>
      </c>
      <c r="AD595" s="3"/>
      <c r="AE595" s="3" t="s">
        <v>3581</v>
      </c>
      <c r="AF595" s="4" t="s">
        <v>30</v>
      </c>
      <c r="AH595" s="4">
        <v>1</v>
      </c>
      <c r="AI595" s="3" t="s">
        <v>3577</v>
      </c>
      <c r="AJ595" s="4" t="s">
        <v>5902</v>
      </c>
      <c r="AK595" s="4"/>
      <c r="AL595" s="3"/>
    </row>
    <row r="596" spans="1:38" x14ac:dyDescent="0.35">
      <c r="A596" s="3" t="s">
        <v>3582</v>
      </c>
      <c r="B596" s="4" t="s">
        <v>175</v>
      </c>
      <c r="C596" s="4">
        <f>VLOOKUP(A596, [1]Planilha1!$A$3:$B$1015,2,FALSE)</f>
        <v>20370</v>
      </c>
      <c r="D596" s="4">
        <f t="shared" si="9"/>
        <v>5.6583333333333332</v>
      </c>
      <c r="E596" s="4" t="s">
        <v>1125</v>
      </c>
      <c r="F596" s="3" t="s">
        <v>172</v>
      </c>
      <c r="G596" s="3" t="s">
        <v>3583</v>
      </c>
      <c r="H596" s="3" t="s">
        <v>428</v>
      </c>
      <c r="I596" s="3" t="s">
        <v>33</v>
      </c>
      <c r="J596" s="3" t="s">
        <v>41</v>
      </c>
      <c r="L596" s="1">
        <v>46036.868090277778</v>
      </c>
      <c r="M596" s="1">
        <v>46036.868090277778</v>
      </c>
      <c r="N596" s="1">
        <v>46037.451215277775</v>
      </c>
      <c r="O596" s="3" t="s">
        <v>427</v>
      </c>
      <c r="P596" s="3" t="s">
        <v>175</v>
      </c>
      <c r="Q596" s="3" t="s">
        <v>42</v>
      </c>
      <c r="R596" s="3" t="s">
        <v>174</v>
      </c>
      <c r="S596" s="3" t="s">
        <v>37</v>
      </c>
      <c r="T596" s="3" t="s">
        <v>36</v>
      </c>
      <c r="U596" s="4" t="b">
        <v>1</v>
      </c>
      <c r="V596" s="3" t="s">
        <v>28</v>
      </c>
      <c r="W596" s="1"/>
      <c r="Y596" s="3" t="s">
        <v>29</v>
      </c>
      <c r="Z596" s="3" t="s">
        <v>29</v>
      </c>
      <c r="AA596" s="3"/>
      <c r="AB596" s="3"/>
      <c r="AC596" s="4" t="s">
        <v>30</v>
      </c>
      <c r="AD596" s="3"/>
      <c r="AE596" s="3" t="s">
        <v>175</v>
      </c>
      <c r="AF596" s="4" t="s">
        <v>30</v>
      </c>
      <c r="AH596" s="4">
        <v>1</v>
      </c>
      <c r="AI596" s="3" t="s">
        <v>3584</v>
      </c>
      <c r="AJ596" s="4" t="s">
        <v>173</v>
      </c>
      <c r="AK596" s="4"/>
      <c r="AL596" s="3"/>
    </row>
    <row r="597" spans="1:38" x14ac:dyDescent="0.35">
      <c r="A597" s="3" t="s">
        <v>3585</v>
      </c>
      <c r="B597" s="4" t="s">
        <v>3300</v>
      </c>
      <c r="C597" s="4">
        <f>VLOOKUP(A597, [1]Planilha1!$A$3:$B$1015,2,FALSE)</f>
        <v>381848</v>
      </c>
      <c r="D597" s="4">
        <f t="shared" si="9"/>
        <v>106.06888888888889</v>
      </c>
      <c r="E597" s="4" t="s">
        <v>1125</v>
      </c>
      <c r="F597" s="3" t="s">
        <v>3297</v>
      </c>
      <c r="G597" s="3" t="s">
        <v>3586</v>
      </c>
      <c r="H597" s="3" t="s">
        <v>3590</v>
      </c>
      <c r="I597" s="3" t="s">
        <v>33</v>
      </c>
      <c r="J597" s="3" t="s">
        <v>340</v>
      </c>
      <c r="K597" s="3" t="s">
        <v>3588</v>
      </c>
      <c r="L597" s="1">
        <v>46036.780416666668</v>
      </c>
      <c r="M597" s="1">
        <v>46036.780416666668</v>
      </c>
      <c r="N597" s="1">
        <v>46048.75</v>
      </c>
      <c r="O597" s="3" t="s">
        <v>3589</v>
      </c>
      <c r="P597" s="3" t="s">
        <v>3300</v>
      </c>
      <c r="Q597" s="3" t="s">
        <v>67</v>
      </c>
      <c r="R597" s="3" t="s">
        <v>3299</v>
      </c>
      <c r="S597" s="3" t="s">
        <v>37</v>
      </c>
      <c r="T597" s="3" t="s">
        <v>36</v>
      </c>
      <c r="U597" s="4" t="b">
        <v>0</v>
      </c>
      <c r="V597" s="3" t="s">
        <v>28</v>
      </c>
      <c r="W597" s="1"/>
      <c r="Y597" s="3" t="s">
        <v>29</v>
      </c>
      <c r="Z597" s="3" t="s">
        <v>29</v>
      </c>
      <c r="AA597" s="3"/>
      <c r="AB597" s="3"/>
      <c r="AC597" s="4" t="s">
        <v>30</v>
      </c>
      <c r="AD597" s="3"/>
      <c r="AE597" s="3" t="s">
        <v>3300</v>
      </c>
      <c r="AF597" s="4" t="s">
        <v>30</v>
      </c>
      <c r="AH597" s="4">
        <v>0</v>
      </c>
      <c r="AI597" s="3" t="s">
        <v>3587</v>
      </c>
      <c r="AJ597" s="4" t="s">
        <v>3298</v>
      </c>
      <c r="AK597" s="4"/>
      <c r="AL597" s="3"/>
    </row>
    <row r="598" spans="1:38" x14ac:dyDescent="0.35">
      <c r="A598" s="3" t="s">
        <v>3591</v>
      </c>
      <c r="B598" s="4" t="s">
        <v>1559</v>
      </c>
      <c r="C598" s="4">
        <f>VLOOKUP(A598, [1]Planilha1!$A$3:$B$1015,2,FALSE)</f>
        <v>2666</v>
      </c>
      <c r="D598" s="4">
        <f t="shared" si="9"/>
        <v>0.74055555555555552</v>
      </c>
      <c r="E598" s="4" t="s">
        <v>1125</v>
      </c>
      <c r="F598" s="3" t="s">
        <v>1556</v>
      </c>
      <c r="G598" s="3" t="s">
        <v>3592</v>
      </c>
      <c r="H598" s="3" t="s">
        <v>44</v>
      </c>
      <c r="I598" s="3" t="s">
        <v>33</v>
      </c>
      <c r="J598" s="3" t="s">
        <v>60</v>
      </c>
      <c r="L598" s="1">
        <v>46036.724502314813</v>
      </c>
      <c r="M598" s="1">
        <v>46036.724502314813</v>
      </c>
      <c r="N598" s="1">
        <v>46039.75</v>
      </c>
      <c r="O598" s="3" t="s">
        <v>43</v>
      </c>
      <c r="P598" s="3" t="s">
        <v>1559</v>
      </c>
      <c r="Q598" s="3" t="s">
        <v>42</v>
      </c>
      <c r="R598" s="3" t="s">
        <v>1558</v>
      </c>
      <c r="S598" s="3" t="s">
        <v>37</v>
      </c>
      <c r="T598" s="3" t="s">
        <v>36</v>
      </c>
      <c r="U598" s="4" t="b">
        <v>1</v>
      </c>
      <c r="V598" s="3" t="s">
        <v>28</v>
      </c>
      <c r="W598" s="1"/>
      <c r="Y598" s="3" t="s">
        <v>29</v>
      </c>
      <c r="Z598" s="3" t="s">
        <v>29</v>
      </c>
      <c r="AA598" s="3"/>
      <c r="AB598" s="3"/>
      <c r="AC598" s="4" t="s">
        <v>30</v>
      </c>
      <c r="AD598" s="3"/>
      <c r="AE598" s="3" t="s">
        <v>1559</v>
      </c>
      <c r="AF598" s="4" t="s">
        <v>30</v>
      </c>
      <c r="AH598" s="4">
        <v>0</v>
      </c>
      <c r="AI598" s="3" t="s">
        <v>3593</v>
      </c>
      <c r="AJ598" s="4" t="s">
        <v>1557</v>
      </c>
      <c r="AK598" s="4"/>
      <c r="AL598" s="3"/>
    </row>
    <row r="599" spans="1:38" x14ac:dyDescent="0.35">
      <c r="A599" s="3" t="s">
        <v>3594</v>
      </c>
      <c r="B599" s="4" t="s">
        <v>94</v>
      </c>
      <c r="C599" s="4">
        <v>0</v>
      </c>
      <c r="D599" s="4">
        <f t="shared" si="9"/>
        <v>0</v>
      </c>
      <c r="E599" s="4" t="s">
        <v>1125</v>
      </c>
      <c r="F599" s="3" t="s">
        <v>92</v>
      </c>
      <c r="G599" s="3" t="s">
        <v>3595</v>
      </c>
      <c r="H599" s="3" t="s">
        <v>622</v>
      </c>
      <c r="I599" s="3" t="s">
        <v>33</v>
      </c>
      <c r="J599" s="3" t="s">
        <v>41</v>
      </c>
      <c r="L599" s="1">
        <v>46036.721550925926</v>
      </c>
      <c r="M599" s="1">
        <v>46036.727465277778</v>
      </c>
      <c r="N599" s="1">
        <v>46036.727465277778</v>
      </c>
      <c r="O599" s="3" t="s">
        <v>621</v>
      </c>
      <c r="P599" s="3" t="s">
        <v>94</v>
      </c>
      <c r="Q599" s="3" t="s">
        <v>42</v>
      </c>
      <c r="R599" s="3" t="s">
        <v>93</v>
      </c>
      <c r="S599" s="3" t="s">
        <v>339</v>
      </c>
      <c r="T599" s="3" t="s">
        <v>338</v>
      </c>
      <c r="U599" s="4" t="b">
        <v>1</v>
      </c>
      <c r="V599" s="3" t="s">
        <v>31</v>
      </c>
      <c r="W599" s="1"/>
      <c r="Y599" s="3" t="s">
        <v>32</v>
      </c>
      <c r="Z599" s="3" t="s">
        <v>32</v>
      </c>
      <c r="AA599" s="3"/>
      <c r="AB599" s="3"/>
      <c r="AC599" s="4" t="s">
        <v>30</v>
      </c>
      <c r="AD599" s="3"/>
      <c r="AE599" s="3" t="s">
        <v>94</v>
      </c>
      <c r="AF599" s="4" t="s">
        <v>30</v>
      </c>
      <c r="AH599" s="4">
        <v>0</v>
      </c>
      <c r="AI599" s="3" t="s">
        <v>3596</v>
      </c>
      <c r="AJ599" s="4"/>
      <c r="AK599" s="4"/>
      <c r="AL599" s="3"/>
    </row>
    <row r="600" spans="1:38" x14ac:dyDescent="0.35">
      <c r="A600" s="3" t="s">
        <v>3597</v>
      </c>
      <c r="B600" s="4" t="s">
        <v>3601</v>
      </c>
      <c r="C600" s="4">
        <f>VLOOKUP(A600, [1]Planilha1!$A$3:$B$1015,2,FALSE)</f>
        <v>3952</v>
      </c>
      <c r="D600" s="4">
        <f t="shared" si="9"/>
        <v>1.0977777777777777</v>
      </c>
      <c r="E600" s="4" t="s">
        <v>1125</v>
      </c>
      <c r="F600" s="3" t="s">
        <v>3599</v>
      </c>
      <c r="G600" s="3" t="s">
        <v>816</v>
      </c>
      <c r="H600" s="3" t="s">
        <v>44</v>
      </c>
      <c r="I600" s="3" t="s">
        <v>33</v>
      </c>
      <c r="J600" s="3" t="s">
        <v>41</v>
      </c>
      <c r="L600" s="1">
        <v>46036.712233796294</v>
      </c>
      <c r="M600" s="1">
        <v>46036.716099537036</v>
      </c>
      <c r="N600" s="1">
        <v>46036.738969907405</v>
      </c>
      <c r="O600" s="3" t="s">
        <v>43</v>
      </c>
      <c r="P600" s="3" t="s">
        <v>3601</v>
      </c>
      <c r="Q600" s="3" t="s">
        <v>42</v>
      </c>
      <c r="R600" s="3" t="s">
        <v>3600</v>
      </c>
      <c r="S600" s="3" t="s">
        <v>62</v>
      </c>
      <c r="T600" s="3" t="s">
        <v>61</v>
      </c>
      <c r="U600" s="4" t="b">
        <v>1</v>
      </c>
      <c r="V600" s="3" t="s">
        <v>31</v>
      </c>
      <c r="W600" s="1"/>
      <c r="Y600" s="3" t="s">
        <v>32</v>
      </c>
      <c r="Z600" s="3" t="s">
        <v>32</v>
      </c>
      <c r="AA600" s="3"/>
      <c r="AB600" s="3"/>
      <c r="AC600" s="4" t="s">
        <v>30</v>
      </c>
      <c r="AD600" s="3"/>
      <c r="AE600" s="3" t="s">
        <v>3601</v>
      </c>
      <c r="AF600" s="4" t="s">
        <v>30</v>
      </c>
      <c r="AH600" s="4">
        <v>1</v>
      </c>
      <c r="AI600" s="3" t="s">
        <v>3598</v>
      </c>
      <c r="AJ600" s="4" t="s">
        <v>5903</v>
      </c>
      <c r="AK600" s="4"/>
      <c r="AL600" s="3"/>
    </row>
    <row r="601" spans="1:38" x14ac:dyDescent="0.35">
      <c r="A601" s="3" t="s">
        <v>3606</v>
      </c>
      <c r="B601" s="4" t="s">
        <v>721</v>
      </c>
      <c r="C601" s="4">
        <f>VLOOKUP(A601, [1]Planilha1!$A$3:$B$1015,2,FALSE)</f>
        <v>5652</v>
      </c>
      <c r="D601" s="4">
        <f t="shared" si="9"/>
        <v>1.57</v>
      </c>
      <c r="E601" s="4" t="s">
        <v>1125</v>
      </c>
      <c r="F601" s="3" t="s">
        <v>718</v>
      </c>
      <c r="G601" s="3" t="s">
        <v>3607</v>
      </c>
      <c r="H601" s="3" t="s">
        <v>428</v>
      </c>
      <c r="I601" s="3" t="s">
        <v>33</v>
      </c>
      <c r="J601" s="3" t="s">
        <v>41</v>
      </c>
      <c r="K601" s="3" t="s">
        <v>818</v>
      </c>
      <c r="L601" s="1">
        <v>46036.703402777777</v>
      </c>
      <c r="M601" s="1">
        <v>46036.70548611111</v>
      </c>
      <c r="N601" s="1">
        <v>46036.738194444442</v>
      </c>
      <c r="O601" s="3" t="s">
        <v>427</v>
      </c>
      <c r="P601" s="3" t="s">
        <v>721</v>
      </c>
      <c r="Q601" s="3" t="s">
        <v>35</v>
      </c>
      <c r="R601" s="3" t="s">
        <v>720</v>
      </c>
      <c r="S601" s="3" t="s">
        <v>91</v>
      </c>
      <c r="T601" s="3" t="s">
        <v>90</v>
      </c>
      <c r="U601" s="4" t="b">
        <v>1</v>
      </c>
      <c r="V601" s="3" t="s">
        <v>31</v>
      </c>
      <c r="W601" s="1"/>
      <c r="Y601" s="3" t="s">
        <v>32</v>
      </c>
      <c r="Z601" s="3" t="s">
        <v>32</v>
      </c>
      <c r="AA601" s="3"/>
      <c r="AB601" s="3"/>
      <c r="AC601" s="4" t="s">
        <v>30</v>
      </c>
      <c r="AD601" s="3"/>
      <c r="AE601" s="3" t="s">
        <v>721</v>
      </c>
      <c r="AF601" s="4" t="s">
        <v>30</v>
      </c>
      <c r="AH601" s="4">
        <v>0</v>
      </c>
      <c r="AI601" s="3" t="s">
        <v>3608</v>
      </c>
      <c r="AJ601" s="4" t="s">
        <v>719</v>
      </c>
      <c r="AK601" s="4"/>
      <c r="AL601" s="3"/>
    </row>
    <row r="602" spans="1:38" x14ac:dyDescent="0.35">
      <c r="A602" s="3" t="s">
        <v>3609</v>
      </c>
      <c r="B602" s="4" t="s">
        <v>3614</v>
      </c>
      <c r="C602" s="4">
        <f>VLOOKUP(A602, [1]Planilha1!$A$3:$B$1015,2,FALSE)</f>
        <v>4788</v>
      </c>
      <c r="D602" s="4">
        <f t="shared" si="9"/>
        <v>1.33</v>
      </c>
      <c r="E602" s="4" t="s">
        <v>1125</v>
      </c>
      <c r="F602" s="3" t="s">
        <v>3611</v>
      </c>
      <c r="G602" s="3" t="s">
        <v>74</v>
      </c>
      <c r="H602" s="3" t="s">
        <v>44</v>
      </c>
      <c r="I602" s="3" t="s">
        <v>33</v>
      </c>
      <c r="J602" s="3" t="s">
        <v>41</v>
      </c>
      <c r="L602" s="1">
        <v>46036.701724537037</v>
      </c>
      <c r="M602" s="1">
        <v>46036.71193287037</v>
      </c>
      <c r="N602" s="1">
        <v>46036.739641203705</v>
      </c>
      <c r="O602" s="3" t="s">
        <v>43</v>
      </c>
      <c r="P602" s="3" t="s">
        <v>3614</v>
      </c>
      <c r="Q602" s="3" t="s">
        <v>42</v>
      </c>
      <c r="R602" s="3" t="s">
        <v>3613</v>
      </c>
      <c r="S602" s="3" t="s">
        <v>80</v>
      </c>
      <c r="T602" s="3" t="s">
        <v>79</v>
      </c>
      <c r="U602" s="4" t="b">
        <v>1</v>
      </c>
      <c r="V602" s="3" t="s">
        <v>31</v>
      </c>
      <c r="W602" s="1"/>
      <c r="Y602" s="3" t="s">
        <v>32</v>
      </c>
      <c r="Z602" s="3" t="s">
        <v>32</v>
      </c>
      <c r="AA602" s="3"/>
      <c r="AB602" s="3"/>
      <c r="AC602" s="4" t="s">
        <v>30</v>
      </c>
      <c r="AD602" s="3"/>
      <c r="AE602" s="3" t="s">
        <v>3614</v>
      </c>
      <c r="AF602" s="4" t="s">
        <v>30</v>
      </c>
      <c r="AH602" s="4">
        <v>1</v>
      </c>
      <c r="AI602" s="3" t="s">
        <v>3610</v>
      </c>
      <c r="AJ602" s="4" t="s">
        <v>3612</v>
      </c>
      <c r="AK602" s="4"/>
      <c r="AL602" s="3"/>
    </row>
    <row r="603" spans="1:38" x14ac:dyDescent="0.35">
      <c r="A603" s="3" t="s">
        <v>3615</v>
      </c>
      <c r="B603" s="4" t="s">
        <v>58</v>
      </c>
      <c r="C603" s="4">
        <f>VLOOKUP(A603, [1]Planilha1!$A$3:$B$1015,2,FALSE)</f>
        <v>40</v>
      </c>
      <c r="D603" s="4">
        <f t="shared" si="9"/>
        <v>1.1111111111111112E-2</v>
      </c>
      <c r="E603" s="4" t="s">
        <v>1125</v>
      </c>
      <c r="F603" s="3" t="s">
        <v>54</v>
      </c>
      <c r="G603" s="3" t="s">
        <v>3616</v>
      </c>
      <c r="H603" s="3" t="s">
        <v>148</v>
      </c>
      <c r="I603" s="3" t="s">
        <v>33</v>
      </c>
      <c r="J603" s="3" t="s">
        <v>152</v>
      </c>
      <c r="L603" s="1">
        <v>46036.679907407408</v>
      </c>
      <c r="M603" s="1">
        <v>46036.683738425927</v>
      </c>
      <c r="N603" s="1">
        <v>46056.406099537038</v>
      </c>
      <c r="O603" s="3" t="s">
        <v>3618</v>
      </c>
      <c r="P603" s="3" t="s">
        <v>57</v>
      </c>
      <c r="Q603" s="3" t="s">
        <v>52</v>
      </c>
      <c r="R603" s="3" t="s">
        <v>56</v>
      </c>
      <c r="S603" s="3" t="s">
        <v>64</v>
      </c>
      <c r="T603" s="3" t="s">
        <v>63</v>
      </c>
      <c r="U603" s="4" t="b">
        <v>0</v>
      </c>
      <c r="V603" s="3" t="s">
        <v>28</v>
      </c>
      <c r="W603" s="1"/>
      <c r="Y603" s="3" t="s">
        <v>29</v>
      </c>
      <c r="Z603" s="3" t="s">
        <v>29</v>
      </c>
      <c r="AA603" s="3" t="s">
        <v>996</v>
      </c>
      <c r="AB603" s="3" t="s">
        <v>58</v>
      </c>
      <c r="AC603" s="4" t="s">
        <v>30</v>
      </c>
      <c r="AD603" s="3" t="s">
        <v>59</v>
      </c>
      <c r="AE603" s="3" t="s">
        <v>57</v>
      </c>
      <c r="AF603" s="4" t="s">
        <v>30</v>
      </c>
      <c r="AH603" s="4">
        <v>0</v>
      </c>
      <c r="AI603" s="3" t="s">
        <v>3617</v>
      </c>
      <c r="AJ603" s="4" t="s">
        <v>55</v>
      </c>
      <c r="AK603" s="4" t="s">
        <v>997</v>
      </c>
      <c r="AL603" s="3"/>
    </row>
    <row r="604" spans="1:38" x14ac:dyDescent="0.35">
      <c r="A604" s="3" t="s">
        <v>3619</v>
      </c>
      <c r="B604" s="4" t="s">
        <v>1167</v>
      </c>
      <c r="C604" s="4">
        <f>VLOOKUP(A604, [1]Planilha1!$A$3:$B$1015,2,FALSE)</f>
        <v>2424</v>
      </c>
      <c r="D604" s="4">
        <f t="shared" si="9"/>
        <v>0.67333333333333334</v>
      </c>
      <c r="E604" s="4" t="s">
        <v>1125</v>
      </c>
      <c r="F604" s="3" t="s">
        <v>1914</v>
      </c>
      <c r="G604" s="3" t="s">
        <v>3620</v>
      </c>
      <c r="H604" s="3" t="s">
        <v>44</v>
      </c>
      <c r="I604" s="3" t="s">
        <v>33</v>
      </c>
      <c r="J604" s="3" t="s">
        <v>41</v>
      </c>
      <c r="L604" s="1">
        <v>46036.667222222219</v>
      </c>
      <c r="M604" s="1">
        <v>46036.675011574072</v>
      </c>
      <c r="N604" s="1">
        <v>46036.689039351855</v>
      </c>
      <c r="O604" s="3" t="s">
        <v>43</v>
      </c>
      <c r="P604" s="3" t="s">
        <v>1167</v>
      </c>
      <c r="Q604" s="3" t="s">
        <v>42</v>
      </c>
      <c r="R604" s="3" t="s">
        <v>1166</v>
      </c>
      <c r="S604" s="3" t="s">
        <v>276</v>
      </c>
      <c r="T604" s="3" t="s">
        <v>275</v>
      </c>
      <c r="U604" s="4" t="b">
        <v>1</v>
      </c>
      <c r="V604" s="3" t="s">
        <v>31</v>
      </c>
      <c r="W604" s="1"/>
      <c r="Y604" s="3" t="s">
        <v>32</v>
      </c>
      <c r="Z604" s="3" t="s">
        <v>32</v>
      </c>
      <c r="AA604" s="3"/>
      <c r="AB604" s="3"/>
      <c r="AC604" s="4" t="s">
        <v>30</v>
      </c>
      <c r="AD604" s="3"/>
      <c r="AE604" s="3" t="s">
        <v>1167</v>
      </c>
      <c r="AF604" s="4" t="s">
        <v>30</v>
      </c>
      <c r="AH604" s="4">
        <v>1</v>
      </c>
      <c r="AI604" s="3" t="s">
        <v>3621</v>
      </c>
      <c r="AJ604" s="4" t="s">
        <v>5853</v>
      </c>
      <c r="AK604" s="4"/>
      <c r="AL604" s="3"/>
    </row>
    <row r="605" spans="1:38" x14ac:dyDescent="0.35">
      <c r="A605" s="3" t="s">
        <v>3623</v>
      </c>
      <c r="B605" s="4" t="s">
        <v>3629</v>
      </c>
      <c r="C605" s="4">
        <f>VLOOKUP(A605, [1]Planilha1!$A$3:$B$1015,2,FALSE)</f>
        <v>6222</v>
      </c>
      <c r="D605" s="4">
        <f t="shared" si="9"/>
        <v>1.7283333333333333</v>
      </c>
      <c r="E605" s="4" t="s">
        <v>1125</v>
      </c>
      <c r="F605" s="3" t="s">
        <v>3626</v>
      </c>
      <c r="G605" s="3" t="s">
        <v>3624</v>
      </c>
      <c r="H605" s="3" t="s">
        <v>138</v>
      </c>
      <c r="I605" s="3" t="s">
        <v>33</v>
      </c>
      <c r="J605" s="3" t="s">
        <v>41</v>
      </c>
      <c r="L605" s="1">
        <v>46036.649282407408</v>
      </c>
      <c r="M605" s="1">
        <v>46036.649282407408</v>
      </c>
      <c r="N605" s="1">
        <v>46036.67328703704</v>
      </c>
      <c r="O605" s="3" t="s">
        <v>137</v>
      </c>
      <c r="P605" s="3" t="s">
        <v>3629</v>
      </c>
      <c r="Q605" s="3" t="s">
        <v>42</v>
      </c>
      <c r="R605" s="3" t="s">
        <v>3628</v>
      </c>
      <c r="S605" s="3" t="s">
        <v>37</v>
      </c>
      <c r="T605" s="3" t="s">
        <v>36</v>
      </c>
      <c r="U605" s="4" t="b">
        <v>1</v>
      </c>
      <c r="V605" s="3" t="s">
        <v>28</v>
      </c>
      <c r="W605" s="1"/>
      <c r="Y605" s="3" t="s">
        <v>29</v>
      </c>
      <c r="Z605" s="3" t="s">
        <v>29</v>
      </c>
      <c r="AA605" s="3"/>
      <c r="AB605" s="3"/>
      <c r="AC605" s="4" t="s">
        <v>30</v>
      </c>
      <c r="AD605" s="3"/>
      <c r="AE605" s="3" t="s">
        <v>3629</v>
      </c>
      <c r="AF605" s="4" t="s">
        <v>30</v>
      </c>
      <c r="AH605" s="4">
        <v>0</v>
      </c>
      <c r="AI605" s="3" t="s">
        <v>3625</v>
      </c>
      <c r="AJ605" s="4" t="s">
        <v>3627</v>
      </c>
      <c r="AK605" s="4"/>
      <c r="AL605" s="3"/>
    </row>
    <row r="606" spans="1:38" x14ac:dyDescent="0.35">
      <c r="A606" s="3" t="s">
        <v>3630</v>
      </c>
      <c r="B606" s="4" t="s">
        <v>3634</v>
      </c>
      <c r="C606" s="4">
        <f>VLOOKUP(A606, [1]Planilha1!$A$3:$B$1015,2,FALSE)</f>
        <v>3466</v>
      </c>
      <c r="D606" s="4">
        <f t="shared" si="9"/>
        <v>0.96277777777777773</v>
      </c>
      <c r="E606" s="4" t="s">
        <v>1125</v>
      </c>
      <c r="F606" s="3" t="s">
        <v>3632</v>
      </c>
      <c r="G606" s="3" t="s">
        <v>1802</v>
      </c>
      <c r="H606" s="3" t="s">
        <v>44</v>
      </c>
      <c r="I606" s="3" t="s">
        <v>33</v>
      </c>
      <c r="J606" s="3" t="s">
        <v>41</v>
      </c>
      <c r="L606" s="1">
        <v>46036.641458333332</v>
      </c>
      <c r="M606" s="1">
        <v>46036.650173611109</v>
      </c>
      <c r="N606" s="1">
        <v>46036.670231481483</v>
      </c>
      <c r="O606" s="3" t="s">
        <v>43</v>
      </c>
      <c r="P606" s="3" t="s">
        <v>3634</v>
      </c>
      <c r="Q606" s="3" t="s">
        <v>42</v>
      </c>
      <c r="R606" s="3" t="s">
        <v>3633</v>
      </c>
      <c r="S606" s="3" t="s">
        <v>62</v>
      </c>
      <c r="T606" s="3" t="s">
        <v>61</v>
      </c>
      <c r="U606" s="4" t="b">
        <v>1</v>
      </c>
      <c r="V606" s="3" t="s">
        <v>31</v>
      </c>
      <c r="W606" s="1"/>
      <c r="Y606" s="3" t="s">
        <v>32</v>
      </c>
      <c r="Z606" s="3" t="s">
        <v>32</v>
      </c>
      <c r="AA606" s="3"/>
      <c r="AB606" s="3"/>
      <c r="AC606" s="4" t="s">
        <v>30</v>
      </c>
      <c r="AD606" s="3"/>
      <c r="AE606" s="3" t="s">
        <v>3634</v>
      </c>
      <c r="AF606" s="4" t="s">
        <v>30</v>
      </c>
      <c r="AH606" s="4">
        <v>1</v>
      </c>
      <c r="AI606" s="3" t="s">
        <v>3631</v>
      </c>
      <c r="AJ606" s="4"/>
      <c r="AK606" s="4"/>
      <c r="AL606" s="3"/>
    </row>
    <row r="607" spans="1:38" x14ac:dyDescent="0.35">
      <c r="A607" s="3" t="s">
        <v>3639</v>
      </c>
      <c r="B607" s="4" t="s">
        <v>3645</v>
      </c>
      <c r="C607" s="4">
        <f>VLOOKUP(A607, [1]Planilha1!$A$3:$B$1015,2,FALSE)</f>
        <v>562</v>
      </c>
      <c r="D607" s="4">
        <f t="shared" si="9"/>
        <v>0.15611111111111112</v>
      </c>
      <c r="E607" s="4" t="s">
        <v>1125</v>
      </c>
      <c r="F607" s="3" t="s">
        <v>3642</v>
      </c>
      <c r="G607" s="3" t="s">
        <v>3640</v>
      </c>
      <c r="H607" s="3" t="s">
        <v>171</v>
      </c>
      <c r="I607" s="3" t="s">
        <v>33</v>
      </c>
      <c r="J607" s="3" t="s">
        <v>250</v>
      </c>
      <c r="L607" s="1">
        <v>46036.627199074072</v>
      </c>
      <c r="M607" s="1">
        <v>46036.639664351853</v>
      </c>
      <c r="N607" s="1">
        <v>46039.666666666664</v>
      </c>
      <c r="O607" s="3" t="s">
        <v>170</v>
      </c>
      <c r="P607" s="3" t="s">
        <v>3645</v>
      </c>
      <c r="Q607" s="3" t="s">
        <v>35</v>
      </c>
      <c r="R607" s="3" t="s">
        <v>3644</v>
      </c>
      <c r="S607" s="3" t="s">
        <v>1248</v>
      </c>
      <c r="T607" s="3" t="s">
        <v>1247</v>
      </c>
      <c r="U607" s="4" t="b">
        <v>1</v>
      </c>
      <c r="V607" s="3" t="s">
        <v>31</v>
      </c>
      <c r="W607" s="1"/>
      <c r="Y607" s="3" t="s">
        <v>32</v>
      </c>
      <c r="Z607" s="3" t="s">
        <v>32</v>
      </c>
      <c r="AA607" s="3"/>
      <c r="AB607" s="3"/>
      <c r="AC607" s="4" t="s">
        <v>30</v>
      </c>
      <c r="AD607" s="3"/>
      <c r="AE607" s="3" t="s">
        <v>3645</v>
      </c>
      <c r="AF607" s="4" t="s">
        <v>30</v>
      </c>
      <c r="AH607" s="4">
        <v>0</v>
      </c>
      <c r="AI607" s="3" t="s">
        <v>3641</v>
      </c>
      <c r="AJ607" s="4" t="s">
        <v>3643</v>
      </c>
      <c r="AK607" s="4"/>
      <c r="AL607" s="3"/>
    </row>
    <row r="608" spans="1:38" x14ac:dyDescent="0.35">
      <c r="A608" s="3" t="s">
        <v>3646</v>
      </c>
      <c r="B608" s="4" t="s">
        <v>3652</v>
      </c>
      <c r="C608" s="4">
        <f>VLOOKUP(A608, [1]Planilha1!$A$3:$B$1015,2,FALSE)</f>
        <v>1320</v>
      </c>
      <c r="D608" s="4">
        <f t="shared" si="9"/>
        <v>0.36666666666666664</v>
      </c>
      <c r="E608" s="4" t="s">
        <v>1125</v>
      </c>
      <c r="F608" s="3" t="s">
        <v>3650</v>
      </c>
      <c r="G608" s="3" t="s">
        <v>3647</v>
      </c>
      <c r="H608" s="3" t="s">
        <v>44</v>
      </c>
      <c r="I608" s="3" t="s">
        <v>33</v>
      </c>
      <c r="J608" s="3" t="s">
        <v>41</v>
      </c>
      <c r="K608" s="3" t="s">
        <v>3649</v>
      </c>
      <c r="L608" s="1">
        <v>46036.609583333331</v>
      </c>
      <c r="M608" s="1">
        <v>46036.614490740743</v>
      </c>
      <c r="N608" s="1">
        <v>46036.622129629628</v>
      </c>
      <c r="O608" s="3" t="s">
        <v>43</v>
      </c>
      <c r="P608" s="3" t="s">
        <v>3652</v>
      </c>
      <c r="Q608" s="3" t="s">
        <v>42</v>
      </c>
      <c r="R608" s="3" t="s">
        <v>3651</v>
      </c>
      <c r="S608" s="3" t="s">
        <v>276</v>
      </c>
      <c r="T608" s="3" t="s">
        <v>275</v>
      </c>
      <c r="U608" s="4" t="b">
        <v>1</v>
      </c>
      <c r="V608" s="3" t="s">
        <v>31</v>
      </c>
      <c r="W608" s="1"/>
      <c r="Y608" s="3" t="s">
        <v>32</v>
      </c>
      <c r="Z608" s="3" t="s">
        <v>32</v>
      </c>
      <c r="AA608" s="3"/>
      <c r="AB608" s="3"/>
      <c r="AC608" s="4" t="s">
        <v>30</v>
      </c>
      <c r="AD608" s="3"/>
      <c r="AE608" s="3" t="s">
        <v>3652</v>
      </c>
      <c r="AF608" s="4" t="s">
        <v>30</v>
      </c>
      <c r="AH608" s="4">
        <v>1</v>
      </c>
      <c r="AI608" s="3" t="s">
        <v>3648</v>
      </c>
      <c r="AJ608" s="4" t="s">
        <v>5904</v>
      </c>
      <c r="AK608" s="4"/>
      <c r="AL608" s="3"/>
    </row>
    <row r="609" spans="1:38" x14ac:dyDescent="0.35">
      <c r="A609" s="3" t="s">
        <v>3653</v>
      </c>
      <c r="B609" s="4" t="s">
        <v>3657</v>
      </c>
      <c r="C609" s="4">
        <f>VLOOKUP(A609, [1]Planilha1!$A$3:$B$1015,2,FALSE)</f>
        <v>3176</v>
      </c>
      <c r="D609" s="4">
        <f t="shared" si="9"/>
        <v>0.88222222222222224</v>
      </c>
      <c r="E609" s="4" t="s">
        <v>1125</v>
      </c>
      <c r="F609" s="3" t="s">
        <v>3655</v>
      </c>
      <c r="G609" s="3" t="s">
        <v>100</v>
      </c>
      <c r="H609" s="3" t="s">
        <v>44</v>
      </c>
      <c r="I609" s="3" t="s">
        <v>33</v>
      </c>
      <c r="J609" s="3" t="s">
        <v>41</v>
      </c>
      <c r="L609" s="1">
        <v>46036.593333333331</v>
      </c>
      <c r="M609" s="1">
        <v>46036.602743055555</v>
      </c>
      <c r="N609" s="1">
        <v>46036.621122685188</v>
      </c>
      <c r="O609" s="3" t="s">
        <v>43</v>
      </c>
      <c r="P609" s="3" t="s">
        <v>3657</v>
      </c>
      <c r="Q609" s="3" t="s">
        <v>42</v>
      </c>
      <c r="R609" s="3" t="s">
        <v>3656</v>
      </c>
      <c r="S609" s="3" t="s">
        <v>190</v>
      </c>
      <c r="T609" s="3" t="s">
        <v>189</v>
      </c>
      <c r="U609" s="4" t="b">
        <v>1</v>
      </c>
      <c r="V609" s="3" t="s">
        <v>31</v>
      </c>
      <c r="W609" s="1"/>
      <c r="Y609" s="3" t="s">
        <v>32</v>
      </c>
      <c r="Z609" s="3" t="s">
        <v>32</v>
      </c>
      <c r="AA609" s="3"/>
      <c r="AB609" s="3"/>
      <c r="AC609" s="4" t="s">
        <v>30</v>
      </c>
      <c r="AD609" s="3"/>
      <c r="AE609" s="3" t="s">
        <v>3657</v>
      </c>
      <c r="AF609" s="4" t="s">
        <v>30</v>
      </c>
      <c r="AH609" s="4">
        <v>1</v>
      </c>
      <c r="AI609" s="3" t="s">
        <v>3654</v>
      </c>
      <c r="AJ609" s="4" t="s">
        <v>5905</v>
      </c>
      <c r="AK609" s="4"/>
      <c r="AL609" s="3"/>
    </row>
    <row r="610" spans="1:38" x14ac:dyDescent="0.35">
      <c r="A610" s="3" t="s">
        <v>3658</v>
      </c>
      <c r="B610" s="4" t="s">
        <v>3663</v>
      </c>
      <c r="C610" s="4">
        <f>VLOOKUP(A610, [1]Planilha1!$A$3:$B$1015,2,FALSE)</f>
        <v>2270</v>
      </c>
      <c r="D610" s="4">
        <f t="shared" si="9"/>
        <v>0.63055555555555554</v>
      </c>
      <c r="E610" s="4" t="s">
        <v>1125</v>
      </c>
      <c r="F610" s="3" t="s">
        <v>3661</v>
      </c>
      <c r="G610" s="3" t="s">
        <v>214</v>
      </c>
      <c r="H610" s="3" t="s">
        <v>44</v>
      </c>
      <c r="I610" s="3" t="s">
        <v>33</v>
      </c>
      <c r="J610" s="3" t="s">
        <v>41</v>
      </c>
      <c r="K610" s="3" t="s">
        <v>3660</v>
      </c>
      <c r="L610" s="1">
        <v>46036.586550925924</v>
      </c>
      <c r="M610" s="1">
        <v>46036.596851851849</v>
      </c>
      <c r="N610" s="1">
        <v>46036.609988425924</v>
      </c>
      <c r="O610" s="3" t="s">
        <v>43</v>
      </c>
      <c r="P610" s="3" t="s">
        <v>3663</v>
      </c>
      <c r="Q610" s="3" t="s">
        <v>42</v>
      </c>
      <c r="R610" s="3" t="s">
        <v>3662</v>
      </c>
      <c r="S610" s="3" t="s">
        <v>144</v>
      </c>
      <c r="T610" s="3" t="s">
        <v>143</v>
      </c>
      <c r="U610" s="4" t="b">
        <v>1</v>
      </c>
      <c r="V610" s="3" t="s">
        <v>31</v>
      </c>
      <c r="W610" s="1"/>
      <c r="Y610" s="3" t="s">
        <v>32</v>
      </c>
      <c r="Z610" s="3" t="s">
        <v>32</v>
      </c>
      <c r="AA610" s="3"/>
      <c r="AB610" s="3"/>
      <c r="AC610" s="4" t="s">
        <v>30</v>
      </c>
      <c r="AD610" s="3"/>
      <c r="AE610" s="3" t="s">
        <v>3663</v>
      </c>
      <c r="AF610" s="4" t="s">
        <v>30</v>
      </c>
      <c r="AH610" s="4">
        <v>1</v>
      </c>
      <c r="AI610" s="3" t="s">
        <v>3659</v>
      </c>
      <c r="AJ610" s="4" t="s">
        <v>5906</v>
      </c>
      <c r="AK610" s="4"/>
      <c r="AL610" s="3"/>
    </row>
    <row r="611" spans="1:38" x14ac:dyDescent="0.35">
      <c r="A611" s="3" t="s">
        <v>3664</v>
      </c>
      <c r="B611" s="4" t="s">
        <v>94</v>
      </c>
      <c r="C611" s="4">
        <f>VLOOKUP(A611, [1]Planilha1!$A$3:$B$1015,2,FALSE)</f>
        <v>0</v>
      </c>
      <c r="D611" s="4">
        <f t="shared" si="9"/>
        <v>0</v>
      </c>
      <c r="E611" s="4" t="s">
        <v>1125</v>
      </c>
      <c r="F611" s="3" t="s">
        <v>92</v>
      </c>
      <c r="G611" s="3" t="s">
        <v>44</v>
      </c>
      <c r="H611" s="3" t="s">
        <v>44</v>
      </c>
      <c r="I611" s="3" t="s">
        <v>33</v>
      </c>
      <c r="J611" s="3" t="s">
        <v>459</v>
      </c>
      <c r="L611" s="1">
        <v>46036.584016203706</v>
      </c>
      <c r="M611" s="1">
        <v>46036.593391203707</v>
      </c>
      <c r="N611" s="1">
        <v>46039.625</v>
      </c>
      <c r="O611" s="3" t="s">
        <v>43</v>
      </c>
      <c r="P611" s="3" t="s">
        <v>94</v>
      </c>
      <c r="Q611" s="3" t="s">
        <v>35</v>
      </c>
      <c r="R611" s="3" t="s">
        <v>93</v>
      </c>
      <c r="S611" s="3" t="s">
        <v>98</v>
      </c>
      <c r="T611" s="3" t="s">
        <v>97</v>
      </c>
      <c r="U611" s="4" t="b">
        <v>1</v>
      </c>
      <c r="V611" s="3" t="s">
        <v>28</v>
      </c>
      <c r="W611" s="1"/>
      <c r="Y611" s="3" t="s">
        <v>29</v>
      </c>
      <c r="Z611" s="3" t="s">
        <v>29</v>
      </c>
      <c r="AA611" s="3"/>
      <c r="AB611" s="3"/>
      <c r="AC611" s="4" t="s">
        <v>30</v>
      </c>
      <c r="AD611" s="3"/>
      <c r="AE611" s="3" t="s">
        <v>94</v>
      </c>
      <c r="AF611" s="4" t="s">
        <v>30</v>
      </c>
      <c r="AH611" s="4">
        <v>0</v>
      </c>
      <c r="AI611" s="3" t="s">
        <v>3665</v>
      </c>
      <c r="AJ611" s="4"/>
      <c r="AK611" s="4"/>
      <c r="AL611" s="3"/>
    </row>
    <row r="612" spans="1:38" x14ac:dyDescent="0.35">
      <c r="A612" s="3" t="s">
        <v>3666</v>
      </c>
      <c r="B612" s="4" t="s">
        <v>3672</v>
      </c>
      <c r="C612" s="4">
        <f>VLOOKUP(A612, [1]Planilha1!$A$3:$B$1015,2,FALSE)</f>
        <v>0</v>
      </c>
      <c r="D612" s="4">
        <f t="shared" si="9"/>
        <v>0</v>
      </c>
      <c r="E612" s="4" t="s">
        <v>1125</v>
      </c>
      <c r="F612" s="3" t="s">
        <v>3669</v>
      </c>
      <c r="G612" s="3" t="s">
        <v>214</v>
      </c>
      <c r="H612" s="3" t="s">
        <v>44</v>
      </c>
      <c r="I612" s="3" t="s">
        <v>33</v>
      </c>
      <c r="J612" s="3" t="s">
        <v>60</v>
      </c>
      <c r="K612" s="3" t="s">
        <v>3668</v>
      </c>
      <c r="L612" s="1">
        <v>46036.546701388892</v>
      </c>
      <c r="M612" s="1">
        <v>46036.567824074074</v>
      </c>
      <c r="N612" s="1">
        <v>46039.583333333336</v>
      </c>
      <c r="O612" s="3" t="s">
        <v>43</v>
      </c>
      <c r="P612" s="3" t="s">
        <v>3672</v>
      </c>
      <c r="Q612" s="3" t="s">
        <v>35</v>
      </c>
      <c r="R612" s="3" t="s">
        <v>3671</v>
      </c>
      <c r="S612" s="3" t="s">
        <v>144</v>
      </c>
      <c r="T612" s="3" t="s">
        <v>143</v>
      </c>
      <c r="U612" s="4" t="b">
        <v>1</v>
      </c>
      <c r="V612" s="3" t="s">
        <v>31</v>
      </c>
      <c r="W612" s="1"/>
      <c r="Y612" s="3" t="s">
        <v>32</v>
      </c>
      <c r="Z612" s="3" t="s">
        <v>32</v>
      </c>
      <c r="AA612" s="3"/>
      <c r="AB612" s="3"/>
      <c r="AC612" s="4" t="s">
        <v>30</v>
      </c>
      <c r="AD612" s="3"/>
      <c r="AE612" s="3" t="s">
        <v>3672</v>
      </c>
      <c r="AF612" s="4" t="s">
        <v>30</v>
      </c>
      <c r="AH612" s="4">
        <v>0</v>
      </c>
      <c r="AI612" s="3" t="s">
        <v>3667</v>
      </c>
      <c r="AJ612" s="4" t="s">
        <v>3670</v>
      </c>
      <c r="AK612" s="4"/>
      <c r="AL612" s="3"/>
    </row>
    <row r="613" spans="1:38" x14ac:dyDescent="0.35">
      <c r="A613" s="3" t="s">
        <v>3673</v>
      </c>
      <c r="B613" s="4" t="s">
        <v>3680</v>
      </c>
      <c r="C613" s="4">
        <f>VLOOKUP(A613, [1]Planilha1!$A$3:$B$1015,2,FALSE)</f>
        <v>0</v>
      </c>
      <c r="D613" s="4">
        <f t="shared" si="9"/>
        <v>0</v>
      </c>
      <c r="E613" s="4" t="s">
        <v>1125</v>
      </c>
      <c r="F613" s="3" t="s">
        <v>3677</v>
      </c>
      <c r="G613" s="3" t="s">
        <v>3674</v>
      </c>
      <c r="H613" s="3" t="s">
        <v>112</v>
      </c>
      <c r="I613" s="3" t="s">
        <v>33</v>
      </c>
      <c r="J613" s="3" t="s">
        <v>60</v>
      </c>
      <c r="K613" s="3" t="s">
        <v>3676</v>
      </c>
      <c r="L613" s="1">
        <v>46036.537615740737</v>
      </c>
      <c r="M613" s="1">
        <v>46036.582083333335</v>
      </c>
      <c r="N613" s="1">
        <v>46039.583333333336</v>
      </c>
      <c r="O613" s="3" t="s">
        <v>111</v>
      </c>
      <c r="P613" s="3" t="s">
        <v>3680</v>
      </c>
      <c r="Q613" s="3" t="s">
        <v>35</v>
      </c>
      <c r="R613" s="3" t="s">
        <v>3679</v>
      </c>
      <c r="S613" s="3" t="s">
        <v>144</v>
      </c>
      <c r="T613" s="3" t="s">
        <v>143</v>
      </c>
      <c r="U613" s="4" t="b">
        <v>1</v>
      </c>
      <c r="V613" s="3" t="s">
        <v>31</v>
      </c>
      <c r="W613" s="1"/>
      <c r="Y613" s="3" t="s">
        <v>32</v>
      </c>
      <c r="Z613" s="3" t="s">
        <v>32</v>
      </c>
      <c r="AA613" s="3"/>
      <c r="AB613" s="3"/>
      <c r="AC613" s="4" t="s">
        <v>30</v>
      </c>
      <c r="AD613" s="3"/>
      <c r="AE613" s="3" t="s">
        <v>3680</v>
      </c>
      <c r="AF613" s="4" t="s">
        <v>30</v>
      </c>
      <c r="AH613" s="4">
        <v>0</v>
      </c>
      <c r="AI613" s="3" t="s">
        <v>3675</v>
      </c>
      <c r="AJ613" s="4" t="s">
        <v>3678</v>
      </c>
      <c r="AK613" s="4"/>
      <c r="AL613" s="3"/>
    </row>
    <row r="614" spans="1:38" x14ac:dyDescent="0.35">
      <c r="A614" s="3" t="s">
        <v>3681</v>
      </c>
      <c r="B614" s="4" t="s">
        <v>3687</v>
      </c>
      <c r="C614" s="4">
        <f>VLOOKUP(A614, [1]Planilha1!$A$3:$B$1015,2,FALSE)</f>
        <v>8376</v>
      </c>
      <c r="D614" s="4">
        <f t="shared" si="9"/>
        <v>2.3266666666666667</v>
      </c>
      <c r="E614" s="4" t="s">
        <v>1125</v>
      </c>
      <c r="F614" s="3" t="s">
        <v>3685</v>
      </c>
      <c r="G614" s="3" t="s">
        <v>3682</v>
      </c>
      <c r="H614" s="3" t="s">
        <v>171</v>
      </c>
      <c r="I614" s="3" t="s">
        <v>33</v>
      </c>
      <c r="J614" s="3" t="s">
        <v>41</v>
      </c>
      <c r="K614" s="3" t="s">
        <v>3684</v>
      </c>
      <c r="L614" s="1">
        <v>46036.532534722224</v>
      </c>
      <c r="M614" s="1">
        <v>46036.532534722224</v>
      </c>
      <c r="N614" s="1">
        <v>46036.581006944441</v>
      </c>
      <c r="O614" s="3" t="s">
        <v>170</v>
      </c>
      <c r="P614" s="3" t="s">
        <v>3687</v>
      </c>
      <c r="Q614" s="3" t="s">
        <v>42</v>
      </c>
      <c r="R614" s="3" t="s">
        <v>3686</v>
      </c>
      <c r="S614" s="3" t="s">
        <v>37</v>
      </c>
      <c r="T614" s="3" t="s">
        <v>36</v>
      </c>
      <c r="U614" s="4" t="b">
        <v>1</v>
      </c>
      <c r="V614" s="3" t="s">
        <v>28</v>
      </c>
      <c r="W614" s="1"/>
      <c r="Y614" s="3" t="s">
        <v>29</v>
      </c>
      <c r="Z614" s="3" t="s">
        <v>29</v>
      </c>
      <c r="AA614" s="3"/>
      <c r="AB614" s="3"/>
      <c r="AC614" s="4" t="s">
        <v>30</v>
      </c>
      <c r="AD614" s="3"/>
      <c r="AE614" s="3" t="s">
        <v>3687</v>
      </c>
      <c r="AF614" s="4" t="s">
        <v>30</v>
      </c>
      <c r="AH614" s="4">
        <v>1</v>
      </c>
      <c r="AI614" s="3" t="s">
        <v>3683</v>
      </c>
      <c r="AJ614" s="4" t="s">
        <v>5907</v>
      </c>
      <c r="AK614" s="4"/>
      <c r="AL614" s="3"/>
    </row>
    <row r="615" spans="1:38" x14ac:dyDescent="0.35">
      <c r="A615" s="3" t="s">
        <v>3688</v>
      </c>
      <c r="B615" s="4" t="s">
        <v>3693</v>
      </c>
      <c r="C615" s="4">
        <f>VLOOKUP(A615, [1]Planilha1!$A$3:$B$1015,2,FALSE)</f>
        <v>7406</v>
      </c>
      <c r="D615" s="4">
        <f t="shared" si="9"/>
        <v>2.0572222222222223</v>
      </c>
      <c r="E615" s="4" t="s">
        <v>1125</v>
      </c>
      <c r="F615" s="3" t="s">
        <v>3690</v>
      </c>
      <c r="G615" s="3" t="s">
        <v>74</v>
      </c>
      <c r="H615" s="3" t="s">
        <v>44</v>
      </c>
      <c r="I615" s="3" t="s">
        <v>33</v>
      </c>
      <c r="J615" s="3" t="s">
        <v>41</v>
      </c>
      <c r="L615" s="1">
        <v>46036.518263888887</v>
      </c>
      <c r="M615" s="1">
        <v>46036.521967592591</v>
      </c>
      <c r="N615" s="1">
        <v>46036.564826388887</v>
      </c>
      <c r="O615" s="3" t="s">
        <v>43</v>
      </c>
      <c r="P615" s="3" t="s">
        <v>3693</v>
      </c>
      <c r="Q615" s="3" t="s">
        <v>42</v>
      </c>
      <c r="R615" s="3" t="s">
        <v>3692</v>
      </c>
      <c r="S615" s="3" t="s">
        <v>80</v>
      </c>
      <c r="T615" s="3" t="s">
        <v>79</v>
      </c>
      <c r="U615" s="4" t="b">
        <v>1</v>
      </c>
      <c r="V615" s="3" t="s">
        <v>31</v>
      </c>
      <c r="W615" s="1"/>
      <c r="Y615" s="3" t="s">
        <v>32</v>
      </c>
      <c r="Z615" s="3" t="s">
        <v>32</v>
      </c>
      <c r="AA615" s="3"/>
      <c r="AB615" s="3"/>
      <c r="AC615" s="4" t="s">
        <v>30</v>
      </c>
      <c r="AD615" s="3"/>
      <c r="AE615" s="3" t="s">
        <v>3693</v>
      </c>
      <c r="AF615" s="4" t="s">
        <v>30</v>
      </c>
      <c r="AH615" s="4">
        <v>1</v>
      </c>
      <c r="AI615" s="3" t="s">
        <v>3689</v>
      </c>
      <c r="AJ615" s="4" t="s">
        <v>3691</v>
      </c>
      <c r="AK615" s="4"/>
      <c r="AL615" s="3"/>
    </row>
    <row r="616" spans="1:38" x14ac:dyDescent="0.35">
      <c r="A616" s="3" t="s">
        <v>3694</v>
      </c>
      <c r="B616" s="4" t="s">
        <v>3700</v>
      </c>
      <c r="C616" s="4">
        <f>VLOOKUP(A616, [1]Planilha1!$A$3:$B$1015,2,FALSE)</f>
        <v>0</v>
      </c>
      <c r="D616" s="4">
        <f t="shared" si="9"/>
        <v>0</v>
      </c>
      <c r="E616" s="4" t="s">
        <v>1125</v>
      </c>
      <c r="F616" s="3" t="s">
        <v>3697</v>
      </c>
      <c r="G616" s="3" t="s">
        <v>2011</v>
      </c>
      <c r="H616" s="3" t="s">
        <v>2015</v>
      </c>
      <c r="I616" s="3" t="s">
        <v>33</v>
      </c>
      <c r="J616" s="3" t="s">
        <v>60</v>
      </c>
      <c r="K616" s="3" t="s">
        <v>3696</v>
      </c>
      <c r="L616" s="1">
        <v>46036.503854166665</v>
      </c>
      <c r="M616" s="1">
        <v>46036.528483796297</v>
      </c>
      <c r="N616" s="1">
        <v>46039.541666666664</v>
      </c>
      <c r="O616" s="3" t="s">
        <v>2014</v>
      </c>
      <c r="P616" s="3" t="s">
        <v>3700</v>
      </c>
      <c r="Q616" s="3" t="s">
        <v>35</v>
      </c>
      <c r="R616" s="3" t="s">
        <v>3699</v>
      </c>
      <c r="S616" s="3" t="s">
        <v>144</v>
      </c>
      <c r="T616" s="3" t="s">
        <v>143</v>
      </c>
      <c r="U616" s="4" t="b">
        <v>1</v>
      </c>
      <c r="V616" s="3" t="s">
        <v>31</v>
      </c>
      <c r="W616" s="1"/>
      <c r="Y616" s="3" t="s">
        <v>32</v>
      </c>
      <c r="Z616" s="3" t="s">
        <v>32</v>
      </c>
      <c r="AA616" s="3"/>
      <c r="AB616" s="3"/>
      <c r="AC616" s="4" t="s">
        <v>30</v>
      </c>
      <c r="AD616" s="3"/>
      <c r="AE616" s="3" t="s">
        <v>3700</v>
      </c>
      <c r="AF616" s="4" t="s">
        <v>30</v>
      </c>
      <c r="AH616" s="4">
        <v>0</v>
      </c>
      <c r="AI616" s="3" t="s">
        <v>3695</v>
      </c>
      <c r="AJ616" s="4" t="s">
        <v>3698</v>
      </c>
      <c r="AK616" s="4"/>
      <c r="AL616" s="3"/>
    </row>
    <row r="617" spans="1:38" x14ac:dyDescent="0.35">
      <c r="A617" s="3" t="s">
        <v>3701</v>
      </c>
      <c r="B617" s="4" t="s">
        <v>3705</v>
      </c>
      <c r="C617" s="4">
        <f>VLOOKUP(A617, [1]Planilha1!$A$3:$B$1015,2,FALSE)</f>
        <v>12272</v>
      </c>
      <c r="D617" s="4">
        <f t="shared" si="9"/>
        <v>3.4088888888888889</v>
      </c>
      <c r="E617" s="4" t="s">
        <v>1125</v>
      </c>
      <c r="F617" s="3" t="s">
        <v>3703</v>
      </c>
      <c r="G617" s="3" t="s">
        <v>74</v>
      </c>
      <c r="H617" s="3" t="s">
        <v>44</v>
      </c>
      <c r="I617" s="3" t="s">
        <v>33</v>
      </c>
      <c r="J617" s="3" t="s">
        <v>41</v>
      </c>
      <c r="L617" s="1">
        <v>46036.491631944446</v>
      </c>
      <c r="M617" s="1">
        <v>46036.49287037037</v>
      </c>
      <c r="N617" s="1">
        <v>46036.563888888886</v>
      </c>
      <c r="O617" s="3" t="s">
        <v>43</v>
      </c>
      <c r="P617" s="3" t="s">
        <v>3705</v>
      </c>
      <c r="Q617" s="3" t="s">
        <v>42</v>
      </c>
      <c r="R617" s="3" t="s">
        <v>3704</v>
      </c>
      <c r="S617" s="3" t="s">
        <v>80</v>
      </c>
      <c r="T617" s="3" t="s">
        <v>79</v>
      </c>
      <c r="U617" s="4" t="b">
        <v>1</v>
      </c>
      <c r="V617" s="3" t="s">
        <v>31</v>
      </c>
      <c r="W617" s="1"/>
      <c r="Y617" s="3" t="s">
        <v>32</v>
      </c>
      <c r="Z617" s="3" t="s">
        <v>32</v>
      </c>
      <c r="AA617" s="3"/>
      <c r="AB617" s="3"/>
      <c r="AC617" s="4" t="s">
        <v>30</v>
      </c>
      <c r="AD617" s="3"/>
      <c r="AE617" s="3" t="s">
        <v>3705</v>
      </c>
      <c r="AF617" s="4" t="s">
        <v>30</v>
      </c>
      <c r="AH617" s="4">
        <v>1</v>
      </c>
      <c r="AI617" s="3" t="s">
        <v>3702</v>
      </c>
      <c r="AJ617" s="4"/>
      <c r="AK617" s="4"/>
      <c r="AL617" s="3"/>
    </row>
    <row r="618" spans="1:38" x14ac:dyDescent="0.35">
      <c r="A618" s="3" t="s">
        <v>3706</v>
      </c>
      <c r="B618" s="4" t="s">
        <v>3711</v>
      </c>
      <c r="C618" s="4">
        <f>VLOOKUP(A618, [1]Planilha1!$A$3:$B$1015,2,FALSE)</f>
        <v>29649</v>
      </c>
      <c r="D618" s="4">
        <f t="shared" si="9"/>
        <v>8.2358333333333338</v>
      </c>
      <c r="E618" s="4" t="s">
        <v>1125</v>
      </c>
      <c r="F618" s="3" t="s">
        <v>3708</v>
      </c>
      <c r="G618" s="3" t="s">
        <v>3329</v>
      </c>
      <c r="H618" s="3" t="s">
        <v>44</v>
      </c>
      <c r="I618" s="3" t="s">
        <v>33</v>
      </c>
      <c r="J618" s="3" t="s">
        <v>41</v>
      </c>
      <c r="L618" s="1">
        <v>46036.48201388889</v>
      </c>
      <c r="M618" s="1">
        <v>46036.48201388889</v>
      </c>
      <c r="N618" s="1">
        <v>46036.60864583333</v>
      </c>
      <c r="O618" s="3" t="s">
        <v>43</v>
      </c>
      <c r="P618" s="3" t="s">
        <v>3711</v>
      </c>
      <c r="Q618" s="3" t="s">
        <v>42</v>
      </c>
      <c r="R618" s="3" t="s">
        <v>3710</v>
      </c>
      <c r="S618" s="3" t="s">
        <v>37</v>
      </c>
      <c r="T618" s="3" t="s">
        <v>36</v>
      </c>
      <c r="U618" s="4" t="b">
        <v>1</v>
      </c>
      <c r="V618" s="3" t="s">
        <v>28</v>
      </c>
      <c r="W618" s="1"/>
      <c r="Y618" s="3" t="s">
        <v>29</v>
      </c>
      <c r="Z618" s="3" t="s">
        <v>29</v>
      </c>
      <c r="AA618" s="3"/>
      <c r="AB618" s="3"/>
      <c r="AC618" s="4" t="s">
        <v>30</v>
      </c>
      <c r="AD618" s="3"/>
      <c r="AE618" s="3" t="s">
        <v>3711</v>
      </c>
      <c r="AF618" s="4" t="s">
        <v>30</v>
      </c>
      <c r="AH618" s="4">
        <v>2</v>
      </c>
      <c r="AI618" s="3" t="s">
        <v>3707</v>
      </c>
      <c r="AJ618" s="4" t="s">
        <v>3709</v>
      </c>
      <c r="AK618" s="4"/>
      <c r="AL618" s="3"/>
    </row>
    <row r="619" spans="1:38" x14ac:dyDescent="0.35">
      <c r="A619" s="3" t="s">
        <v>3712</v>
      </c>
      <c r="B619" s="4" t="s">
        <v>3719</v>
      </c>
      <c r="C619" s="4">
        <f>VLOOKUP(A619, [1]Planilha1!$A$3:$B$1015,2,FALSE)</f>
        <v>27854</v>
      </c>
      <c r="D619" s="4">
        <f t="shared" si="9"/>
        <v>7.737222222222222</v>
      </c>
      <c r="E619" s="4" t="s">
        <v>1125</v>
      </c>
      <c r="F619" s="3" t="s">
        <v>3716</v>
      </c>
      <c r="G619" s="3" t="s">
        <v>3713</v>
      </c>
      <c r="H619" s="3" t="s">
        <v>457</v>
      </c>
      <c r="I619" s="3" t="s">
        <v>33</v>
      </c>
      <c r="J619" s="3" t="s">
        <v>41</v>
      </c>
      <c r="K619" s="3" t="s">
        <v>3715</v>
      </c>
      <c r="L619" s="1">
        <v>46036.463726851849</v>
      </c>
      <c r="M619" s="1">
        <v>46036.470601851855</v>
      </c>
      <c r="N619" s="1">
        <v>46036.631793981483</v>
      </c>
      <c r="O619" s="3" t="s">
        <v>460</v>
      </c>
      <c r="P619" s="3" t="s">
        <v>3719</v>
      </c>
      <c r="Q619" s="3" t="s">
        <v>35</v>
      </c>
      <c r="R619" s="3" t="s">
        <v>3718</v>
      </c>
      <c r="S619" s="3" t="s">
        <v>190</v>
      </c>
      <c r="T619" s="3" t="s">
        <v>189</v>
      </c>
      <c r="U619" s="4" t="b">
        <v>1</v>
      </c>
      <c r="V619" s="3" t="s">
        <v>31</v>
      </c>
      <c r="W619" s="1"/>
      <c r="Y619" s="3" t="s">
        <v>32</v>
      </c>
      <c r="Z619" s="3" t="s">
        <v>32</v>
      </c>
      <c r="AA619" s="3"/>
      <c r="AB619" s="3"/>
      <c r="AC619" s="4" t="s">
        <v>30</v>
      </c>
      <c r="AD619" s="3"/>
      <c r="AE619" s="3" t="s">
        <v>3719</v>
      </c>
      <c r="AF619" s="4" t="s">
        <v>30</v>
      </c>
      <c r="AH619" s="4">
        <v>4</v>
      </c>
      <c r="AI619" s="3" t="s">
        <v>3714</v>
      </c>
      <c r="AJ619" s="4" t="s">
        <v>3717</v>
      </c>
      <c r="AK619" s="4"/>
      <c r="AL619" s="3"/>
    </row>
    <row r="620" spans="1:38" x14ac:dyDescent="0.35">
      <c r="A620" s="3" t="s">
        <v>3720</v>
      </c>
      <c r="B620" s="4" t="s">
        <v>3020</v>
      </c>
      <c r="C620" s="4">
        <f>VLOOKUP(A620, [1]Planilha1!$A$3:$B$1015,2,FALSE)</f>
        <v>572</v>
      </c>
      <c r="D620" s="4">
        <f t="shared" si="9"/>
        <v>0.15888888888888889</v>
      </c>
      <c r="E620" s="4" t="s">
        <v>1125</v>
      </c>
      <c r="F620" s="3" t="s">
        <v>3017</v>
      </c>
      <c r="G620" s="3" t="s">
        <v>72</v>
      </c>
      <c r="H620" s="3" t="s">
        <v>44</v>
      </c>
      <c r="I620" s="3" t="s">
        <v>33</v>
      </c>
      <c r="J620" s="3" t="s">
        <v>60</v>
      </c>
      <c r="L620" s="1">
        <v>46036.456782407404</v>
      </c>
      <c r="M620" s="1">
        <v>46036.456782407404</v>
      </c>
      <c r="N620" s="1">
        <v>46039.5</v>
      </c>
      <c r="O620" s="3" t="s">
        <v>43</v>
      </c>
      <c r="P620" s="3" t="s">
        <v>3020</v>
      </c>
      <c r="Q620" s="3" t="s">
        <v>42</v>
      </c>
      <c r="R620" s="3" t="s">
        <v>3019</v>
      </c>
      <c r="S620" s="3" t="s">
        <v>37</v>
      </c>
      <c r="T620" s="3" t="s">
        <v>36</v>
      </c>
      <c r="U620" s="4" t="b">
        <v>0</v>
      </c>
      <c r="V620" s="3" t="s">
        <v>28</v>
      </c>
      <c r="W620" s="1"/>
      <c r="Y620" s="3" t="s">
        <v>29</v>
      </c>
      <c r="Z620" s="3" t="s">
        <v>29</v>
      </c>
      <c r="AA620" s="3"/>
      <c r="AB620" s="3"/>
      <c r="AC620" s="4" t="s">
        <v>30</v>
      </c>
      <c r="AD620" s="3"/>
      <c r="AE620" s="3" t="s">
        <v>3020</v>
      </c>
      <c r="AF620" s="4" t="s">
        <v>30</v>
      </c>
      <c r="AH620" s="4">
        <v>0</v>
      </c>
      <c r="AI620" s="3" t="s">
        <v>3721</v>
      </c>
      <c r="AJ620" s="4" t="s">
        <v>3018</v>
      </c>
      <c r="AK620" s="4"/>
      <c r="AL620" s="3"/>
    </row>
    <row r="621" spans="1:38" x14ac:dyDescent="0.35">
      <c r="A621" s="3" t="s">
        <v>3722</v>
      </c>
      <c r="B621" s="4" t="s">
        <v>3004</v>
      </c>
      <c r="C621" s="4">
        <f>VLOOKUP(A621, [1]Planilha1!$A$3:$B$1015,2,FALSE)</f>
        <v>22666</v>
      </c>
      <c r="D621" s="4">
        <f t="shared" si="9"/>
        <v>6.2961111111111112</v>
      </c>
      <c r="E621" s="4" t="s">
        <v>1125</v>
      </c>
      <c r="F621" s="3" t="s">
        <v>3001</v>
      </c>
      <c r="G621" s="3" t="s">
        <v>700</v>
      </c>
      <c r="H621" s="3" t="s">
        <v>44</v>
      </c>
      <c r="I621" s="3" t="s">
        <v>33</v>
      </c>
      <c r="J621" s="3" t="s">
        <v>41</v>
      </c>
      <c r="K621" s="3" t="s">
        <v>3724</v>
      </c>
      <c r="L621" s="1">
        <v>46036.433495370373</v>
      </c>
      <c r="M621" s="1">
        <v>46036.438969907409</v>
      </c>
      <c r="N621" s="1">
        <v>46036.570138888892</v>
      </c>
      <c r="O621" s="3" t="s">
        <v>43</v>
      </c>
      <c r="P621" s="3" t="s">
        <v>3004</v>
      </c>
      <c r="Q621" s="3" t="s">
        <v>42</v>
      </c>
      <c r="R621" s="3" t="s">
        <v>3003</v>
      </c>
      <c r="S621" s="3" t="s">
        <v>190</v>
      </c>
      <c r="T621" s="3" t="s">
        <v>189</v>
      </c>
      <c r="U621" s="4" t="b">
        <v>1</v>
      </c>
      <c r="V621" s="3" t="s">
        <v>31</v>
      </c>
      <c r="W621" s="1"/>
      <c r="Y621" s="3" t="s">
        <v>32</v>
      </c>
      <c r="Z621" s="3" t="s">
        <v>32</v>
      </c>
      <c r="AA621" s="3"/>
      <c r="AB621" s="3"/>
      <c r="AC621" s="4" t="s">
        <v>30</v>
      </c>
      <c r="AD621" s="3"/>
      <c r="AE621" s="3" t="s">
        <v>3004</v>
      </c>
      <c r="AF621" s="4" t="s">
        <v>30</v>
      </c>
      <c r="AH621" s="4">
        <v>1</v>
      </c>
      <c r="AI621" s="3" t="s">
        <v>3723</v>
      </c>
      <c r="AJ621" s="4" t="s">
        <v>3002</v>
      </c>
      <c r="AK621" s="4"/>
      <c r="AL621" s="3"/>
    </row>
    <row r="622" spans="1:38" x14ac:dyDescent="0.35">
      <c r="A622" s="3" t="s">
        <v>3725</v>
      </c>
      <c r="B622" s="4" t="s">
        <v>3729</v>
      </c>
      <c r="C622" s="4">
        <f>VLOOKUP(A622, [1]Planilha1!$A$3:$B$1015,2,FALSE)</f>
        <v>22192</v>
      </c>
      <c r="D622" s="4">
        <f t="shared" si="9"/>
        <v>6.1644444444444444</v>
      </c>
      <c r="E622" s="4" t="s">
        <v>1125</v>
      </c>
      <c r="F622" s="3" t="s">
        <v>3727</v>
      </c>
      <c r="G622" s="3" t="s">
        <v>74</v>
      </c>
      <c r="H622" s="3" t="s">
        <v>44</v>
      </c>
      <c r="I622" s="3" t="s">
        <v>33</v>
      </c>
      <c r="J622" s="3" t="s">
        <v>41</v>
      </c>
      <c r="L622" s="1">
        <v>46036.43273148148</v>
      </c>
      <c r="M622" s="1">
        <v>46036.434513888889</v>
      </c>
      <c r="N622" s="1">
        <v>46036.562939814816</v>
      </c>
      <c r="O622" s="3" t="s">
        <v>43</v>
      </c>
      <c r="P622" s="3" t="s">
        <v>3729</v>
      </c>
      <c r="Q622" s="3" t="s">
        <v>42</v>
      </c>
      <c r="R622" s="3" t="s">
        <v>3728</v>
      </c>
      <c r="S622" s="3" t="s">
        <v>80</v>
      </c>
      <c r="T622" s="3" t="s">
        <v>79</v>
      </c>
      <c r="U622" s="4" t="b">
        <v>1</v>
      </c>
      <c r="V622" s="3" t="s">
        <v>31</v>
      </c>
      <c r="W622" s="1"/>
      <c r="Y622" s="3" t="s">
        <v>32</v>
      </c>
      <c r="Z622" s="3" t="s">
        <v>32</v>
      </c>
      <c r="AA622" s="3"/>
      <c r="AB622" s="3"/>
      <c r="AC622" s="4" t="s">
        <v>30</v>
      </c>
      <c r="AD622" s="3"/>
      <c r="AE622" s="3" t="s">
        <v>3729</v>
      </c>
      <c r="AF622" s="4" t="s">
        <v>30</v>
      </c>
      <c r="AH622" s="4">
        <v>1</v>
      </c>
      <c r="AI622" s="3" t="s">
        <v>3726</v>
      </c>
      <c r="AJ622" s="4"/>
      <c r="AK622" s="4"/>
      <c r="AL622" s="3"/>
    </row>
    <row r="623" spans="1:38" x14ac:dyDescent="0.35">
      <c r="A623" s="3" t="s">
        <v>3730</v>
      </c>
      <c r="B623" s="4" t="s">
        <v>3739</v>
      </c>
      <c r="C623" s="4">
        <f>VLOOKUP(A623, [1]Planilha1!$A$3:$B$1015,2,FALSE)</f>
        <v>5004</v>
      </c>
      <c r="D623" s="4">
        <f t="shared" si="9"/>
        <v>1.39</v>
      </c>
      <c r="E623" s="4" t="s">
        <v>1125</v>
      </c>
      <c r="F623" s="3" t="s">
        <v>3736</v>
      </c>
      <c r="G623" s="3" t="s">
        <v>3731</v>
      </c>
      <c r="H623" s="3" t="s">
        <v>3735</v>
      </c>
      <c r="I623" s="3" t="s">
        <v>33</v>
      </c>
      <c r="J623" s="3" t="s">
        <v>60</v>
      </c>
      <c r="K623" s="3" t="s">
        <v>3733</v>
      </c>
      <c r="L623" s="1">
        <v>46036.428495370368</v>
      </c>
      <c r="M623" s="1">
        <v>46036.428495370368</v>
      </c>
      <c r="N623" s="1">
        <v>46039.458333333336</v>
      </c>
      <c r="O623" s="3" t="s">
        <v>3734</v>
      </c>
      <c r="P623" s="3" t="s">
        <v>3739</v>
      </c>
      <c r="Q623" s="3" t="s">
        <v>35</v>
      </c>
      <c r="R623" s="3" t="s">
        <v>3738</v>
      </c>
      <c r="S623" s="3" t="s">
        <v>37</v>
      </c>
      <c r="T623" s="3" t="s">
        <v>36</v>
      </c>
      <c r="U623" s="4" t="b">
        <v>1</v>
      </c>
      <c r="V623" s="3" t="s">
        <v>28</v>
      </c>
      <c r="W623" s="1"/>
      <c r="Y623" s="3" t="s">
        <v>29</v>
      </c>
      <c r="Z623" s="3" t="s">
        <v>29</v>
      </c>
      <c r="AA623" s="3"/>
      <c r="AB623" s="3"/>
      <c r="AC623" s="4" t="s">
        <v>30</v>
      </c>
      <c r="AD623" s="3"/>
      <c r="AE623" s="3" t="s">
        <v>3739</v>
      </c>
      <c r="AF623" s="4" t="s">
        <v>30</v>
      </c>
      <c r="AH623" s="4">
        <v>0</v>
      </c>
      <c r="AI623" s="3" t="s">
        <v>3732</v>
      </c>
      <c r="AJ623" s="4" t="s">
        <v>3737</v>
      </c>
      <c r="AK623" s="4"/>
      <c r="AL623" s="3"/>
    </row>
    <row r="624" spans="1:38" x14ac:dyDescent="0.35">
      <c r="A624" s="3" t="s">
        <v>3740</v>
      </c>
      <c r="B624" s="4" t="s">
        <v>3746</v>
      </c>
      <c r="C624" s="4">
        <f>VLOOKUP(A624, [1]Planilha1!$A$3:$B$1015,2,FALSE)</f>
        <v>22878</v>
      </c>
      <c r="D624" s="4">
        <f t="shared" si="9"/>
        <v>6.3550000000000004</v>
      </c>
      <c r="E624" s="4" t="s">
        <v>1125</v>
      </c>
      <c r="F624" s="3" t="s">
        <v>3743</v>
      </c>
      <c r="G624" s="3" t="s">
        <v>214</v>
      </c>
      <c r="H624" s="3" t="s">
        <v>44</v>
      </c>
      <c r="I624" s="3" t="s">
        <v>33</v>
      </c>
      <c r="J624" s="3" t="s">
        <v>41</v>
      </c>
      <c r="K624" s="3" t="s">
        <v>3742</v>
      </c>
      <c r="L624" s="1">
        <v>46036.424467592595</v>
      </c>
      <c r="M624" s="1">
        <v>46036.434548611112</v>
      </c>
      <c r="N624" s="1">
        <v>46036.566944444443</v>
      </c>
      <c r="O624" s="3" t="s">
        <v>43</v>
      </c>
      <c r="P624" s="3" t="s">
        <v>3746</v>
      </c>
      <c r="Q624" s="3" t="s">
        <v>42</v>
      </c>
      <c r="R624" s="3" t="s">
        <v>3745</v>
      </c>
      <c r="S624" s="3" t="s">
        <v>144</v>
      </c>
      <c r="T624" s="3" t="s">
        <v>143</v>
      </c>
      <c r="U624" s="4" t="b">
        <v>1</v>
      </c>
      <c r="V624" s="3" t="s">
        <v>31</v>
      </c>
      <c r="W624" s="1"/>
      <c r="Y624" s="3" t="s">
        <v>32</v>
      </c>
      <c r="Z624" s="3" t="s">
        <v>32</v>
      </c>
      <c r="AA624" s="3"/>
      <c r="AB624" s="3"/>
      <c r="AC624" s="4" t="s">
        <v>30</v>
      </c>
      <c r="AD624" s="3"/>
      <c r="AE624" s="3" t="s">
        <v>3746</v>
      </c>
      <c r="AF624" s="4" t="s">
        <v>30</v>
      </c>
      <c r="AH624" s="4">
        <v>1</v>
      </c>
      <c r="AI624" s="3" t="s">
        <v>3741</v>
      </c>
      <c r="AJ624" s="4" t="s">
        <v>3744</v>
      </c>
      <c r="AK624" s="4"/>
      <c r="AL624" s="3"/>
    </row>
    <row r="625" spans="1:38" x14ac:dyDescent="0.35">
      <c r="A625" s="3" t="s">
        <v>3747</v>
      </c>
      <c r="B625" s="4" t="s">
        <v>527</v>
      </c>
      <c r="C625" s="4">
        <f>VLOOKUP(A625, [1]Planilha1!$A$3:$B$1015,2,FALSE)</f>
        <v>23548</v>
      </c>
      <c r="D625" s="4">
        <f t="shared" si="9"/>
        <v>6.5411111111111113</v>
      </c>
      <c r="E625" s="4" t="s">
        <v>1125</v>
      </c>
      <c r="F625" s="3" t="s">
        <v>524</v>
      </c>
      <c r="G625" s="3" t="s">
        <v>74</v>
      </c>
      <c r="H625" s="3" t="s">
        <v>44</v>
      </c>
      <c r="I625" s="3" t="s">
        <v>33</v>
      </c>
      <c r="J625" s="3" t="s">
        <v>41</v>
      </c>
      <c r="L625" s="1">
        <v>46036.422835648147</v>
      </c>
      <c r="M625" s="1">
        <v>46036.425057870372</v>
      </c>
      <c r="N625" s="1">
        <v>46036.561331018522</v>
      </c>
      <c r="O625" s="3" t="s">
        <v>43</v>
      </c>
      <c r="P625" s="3" t="s">
        <v>527</v>
      </c>
      <c r="Q625" s="3" t="s">
        <v>42</v>
      </c>
      <c r="R625" s="3" t="s">
        <v>526</v>
      </c>
      <c r="S625" s="3" t="s">
        <v>80</v>
      </c>
      <c r="T625" s="3" t="s">
        <v>79</v>
      </c>
      <c r="U625" s="4" t="b">
        <v>1</v>
      </c>
      <c r="V625" s="3" t="s">
        <v>31</v>
      </c>
      <c r="W625" s="1"/>
      <c r="Y625" s="3" t="s">
        <v>32</v>
      </c>
      <c r="Z625" s="3" t="s">
        <v>32</v>
      </c>
      <c r="AA625" s="3"/>
      <c r="AB625" s="3"/>
      <c r="AC625" s="4" t="s">
        <v>30</v>
      </c>
      <c r="AD625" s="3"/>
      <c r="AE625" s="3" t="s">
        <v>527</v>
      </c>
      <c r="AF625" s="4" t="s">
        <v>30</v>
      </c>
      <c r="AH625" s="4">
        <v>1</v>
      </c>
      <c r="AI625" s="3" t="s">
        <v>3748</v>
      </c>
      <c r="AJ625" s="4" t="s">
        <v>525</v>
      </c>
      <c r="AK625" s="4"/>
      <c r="AL625" s="3"/>
    </row>
    <row r="626" spans="1:38" x14ac:dyDescent="0.35">
      <c r="A626" s="3" t="s">
        <v>3749</v>
      </c>
      <c r="B626" s="4" t="s">
        <v>3756</v>
      </c>
      <c r="C626" s="4">
        <f>VLOOKUP(A626, [1]Planilha1!$A$3:$B$1015,2,FALSE)</f>
        <v>3342</v>
      </c>
      <c r="D626" s="4">
        <f t="shared" si="9"/>
        <v>0.92833333333333334</v>
      </c>
      <c r="E626" s="4" t="s">
        <v>1125</v>
      </c>
      <c r="F626" s="3" t="s">
        <v>3753</v>
      </c>
      <c r="G626" s="3" t="s">
        <v>3750</v>
      </c>
      <c r="H626" s="3" t="s">
        <v>163</v>
      </c>
      <c r="I626" s="3" t="s">
        <v>33</v>
      </c>
      <c r="J626" s="3" t="s">
        <v>41</v>
      </c>
      <c r="K626" s="3" t="s">
        <v>3752</v>
      </c>
      <c r="L626" s="1">
        <v>46036.417858796296</v>
      </c>
      <c r="M626" s="1">
        <v>46036.417858796296</v>
      </c>
      <c r="N626" s="1">
        <v>46036.437199074076</v>
      </c>
      <c r="O626" s="3" t="s">
        <v>162</v>
      </c>
      <c r="P626" s="3" t="s">
        <v>3756</v>
      </c>
      <c r="Q626" s="3" t="s">
        <v>42</v>
      </c>
      <c r="R626" s="3" t="s">
        <v>3755</v>
      </c>
      <c r="S626" s="3" t="s">
        <v>37</v>
      </c>
      <c r="T626" s="3" t="s">
        <v>36</v>
      </c>
      <c r="U626" s="4" t="b">
        <v>1</v>
      </c>
      <c r="V626" s="3" t="s">
        <v>28</v>
      </c>
      <c r="W626" s="1"/>
      <c r="Y626" s="3" t="s">
        <v>29</v>
      </c>
      <c r="Z626" s="3" t="s">
        <v>29</v>
      </c>
      <c r="AA626" s="3"/>
      <c r="AB626" s="3"/>
      <c r="AC626" s="4" t="s">
        <v>30</v>
      </c>
      <c r="AD626" s="3"/>
      <c r="AE626" s="3" t="s">
        <v>3756</v>
      </c>
      <c r="AF626" s="4" t="s">
        <v>30</v>
      </c>
      <c r="AH626" s="4">
        <v>1</v>
      </c>
      <c r="AI626" s="3" t="s">
        <v>3751</v>
      </c>
      <c r="AJ626" s="4" t="s">
        <v>3754</v>
      </c>
      <c r="AK626" s="4"/>
      <c r="AL626" s="3"/>
    </row>
    <row r="627" spans="1:38" x14ac:dyDescent="0.35">
      <c r="A627" s="3" t="s">
        <v>3757</v>
      </c>
      <c r="B627" s="4" t="s">
        <v>3763</v>
      </c>
      <c r="C627" s="4">
        <f>VLOOKUP(A627, [1]Planilha1!$A$3:$B$1015,2,FALSE)</f>
        <v>30362</v>
      </c>
      <c r="D627" s="4">
        <f t="shared" si="9"/>
        <v>8.4338888888888892</v>
      </c>
      <c r="E627" s="4" t="s">
        <v>1125</v>
      </c>
      <c r="F627" s="3" t="s">
        <v>3760</v>
      </c>
      <c r="G627" s="3" t="s">
        <v>3758</v>
      </c>
      <c r="H627" s="3" t="s">
        <v>428</v>
      </c>
      <c r="I627" s="3" t="s">
        <v>33</v>
      </c>
      <c r="J627" s="3" t="s">
        <v>41</v>
      </c>
      <c r="L627" s="1">
        <v>46036.41375</v>
      </c>
      <c r="M627" s="1">
        <v>46036.41375</v>
      </c>
      <c r="N627" s="1">
        <v>46036.589456018519</v>
      </c>
      <c r="O627" s="3" t="s">
        <v>427</v>
      </c>
      <c r="P627" s="3" t="s">
        <v>3763</v>
      </c>
      <c r="Q627" s="3" t="s">
        <v>42</v>
      </c>
      <c r="R627" s="3" t="s">
        <v>3762</v>
      </c>
      <c r="S627" s="3" t="s">
        <v>37</v>
      </c>
      <c r="T627" s="3" t="s">
        <v>36</v>
      </c>
      <c r="U627" s="4" t="b">
        <v>1</v>
      </c>
      <c r="V627" s="3" t="s">
        <v>28</v>
      </c>
      <c r="W627" s="1"/>
      <c r="Y627" s="3" t="s">
        <v>29</v>
      </c>
      <c r="Z627" s="3" t="s">
        <v>29</v>
      </c>
      <c r="AA627" s="3"/>
      <c r="AB627" s="3"/>
      <c r="AC627" s="4" t="s">
        <v>30</v>
      </c>
      <c r="AD627" s="3"/>
      <c r="AE627" s="3" t="s">
        <v>3763</v>
      </c>
      <c r="AF627" s="4" t="s">
        <v>30</v>
      </c>
      <c r="AH627" s="4">
        <v>1</v>
      </c>
      <c r="AI627" s="3" t="s">
        <v>3759</v>
      </c>
      <c r="AJ627" s="4" t="s">
        <v>3761</v>
      </c>
      <c r="AK627" s="4"/>
      <c r="AL627" s="3"/>
    </row>
    <row r="628" spans="1:38" x14ac:dyDescent="0.35">
      <c r="A628" s="3" t="s">
        <v>3764</v>
      </c>
      <c r="B628" s="4" t="s">
        <v>3769</v>
      </c>
      <c r="C628" s="4">
        <f>VLOOKUP(A628, [1]Planilha1!$A$3:$B$1015,2,FALSE)</f>
        <v>28225</v>
      </c>
      <c r="D628" s="4">
        <f t="shared" si="9"/>
        <v>7.8402777777777777</v>
      </c>
      <c r="E628" s="4" t="s">
        <v>1125</v>
      </c>
      <c r="F628" s="3" t="s">
        <v>3767</v>
      </c>
      <c r="G628" s="3" t="s">
        <v>3765</v>
      </c>
      <c r="H628" s="3" t="s">
        <v>44</v>
      </c>
      <c r="I628" s="3" t="s">
        <v>33</v>
      </c>
      <c r="J628" s="3" t="s">
        <v>41</v>
      </c>
      <c r="L628" s="1">
        <v>46036.411956018521</v>
      </c>
      <c r="M628" s="1">
        <v>46036.411956018521</v>
      </c>
      <c r="N628" s="1">
        <v>46036.566030092596</v>
      </c>
      <c r="O628" s="3" t="s">
        <v>43</v>
      </c>
      <c r="P628" s="3" t="s">
        <v>3769</v>
      </c>
      <c r="Q628" s="3" t="s">
        <v>42</v>
      </c>
      <c r="R628" s="3" t="s">
        <v>3768</v>
      </c>
      <c r="S628" s="3" t="s">
        <v>37</v>
      </c>
      <c r="T628" s="3" t="s">
        <v>36</v>
      </c>
      <c r="U628" s="4" t="b">
        <v>1</v>
      </c>
      <c r="V628" s="3" t="s">
        <v>28</v>
      </c>
      <c r="W628" s="1"/>
      <c r="Y628" s="3" t="s">
        <v>29</v>
      </c>
      <c r="Z628" s="3" t="s">
        <v>29</v>
      </c>
      <c r="AA628" s="3"/>
      <c r="AB628" s="3"/>
      <c r="AC628" s="4" t="s">
        <v>30</v>
      </c>
      <c r="AD628" s="3"/>
      <c r="AE628" s="3" t="s">
        <v>3769</v>
      </c>
      <c r="AF628" s="4" t="s">
        <v>30</v>
      </c>
      <c r="AH628" s="4">
        <v>2</v>
      </c>
      <c r="AI628" s="3" t="s">
        <v>3766</v>
      </c>
      <c r="AJ628" s="4" t="s">
        <v>5908</v>
      </c>
      <c r="AK628" s="4"/>
      <c r="AL628" s="3"/>
    </row>
    <row r="629" spans="1:38" x14ac:dyDescent="0.35">
      <c r="A629" s="3" t="s">
        <v>3770</v>
      </c>
      <c r="B629" s="4" t="s">
        <v>3774</v>
      </c>
      <c r="C629" s="4">
        <f>VLOOKUP(A629, [1]Planilha1!$A$3:$B$1015,2,FALSE)</f>
        <v>714</v>
      </c>
      <c r="D629" s="4">
        <f t="shared" si="9"/>
        <v>0.19833333333333333</v>
      </c>
      <c r="E629" s="4" t="s">
        <v>1125</v>
      </c>
      <c r="F629" s="3" t="s">
        <v>3772</v>
      </c>
      <c r="G629" s="3" t="s">
        <v>237</v>
      </c>
      <c r="H629" s="3" t="s">
        <v>237</v>
      </c>
      <c r="I629" s="3" t="s">
        <v>33</v>
      </c>
      <c r="J629" s="3" t="s">
        <v>60</v>
      </c>
      <c r="L629" s="1">
        <v>46036.409282407411</v>
      </c>
      <c r="M629" s="1">
        <v>46036.409282407411</v>
      </c>
      <c r="N629" s="1">
        <v>46039.416666666664</v>
      </c>
      <c r="O629" s="3" t="s">
        <v>1370</v>
      </c>
      <c r="P629" s="3" t="s">
        <v>3774</v>
      </c>
      <c r="Q629" s="3" t="s">
        <v>42</v>
      </c>
      <c r="R629" s="3" t="s">
        <v>3773</v>
      </c>
      <c r="S629" s="3" t="s">
        <v>37</v>
      </c>
      <c r="T629" s="3" t="s">
        <v>36</v>
      </c>
      <c r="U629" s="4" t="b">
        <v>1</v>
      </c>
      <c r="V629" s="3" t="s">
        <v>28</v>
      </c>
      <c r="W629" s="1"/>
      <c r="Y629" s="3" t="s">
        <v>29</v>
      </c>
      <c r="Z629" s="3" t="s">
        <v>29</v>
      </c>
      <c r="AA629" s="3"/>
      <c r="AB629" s="3"/>
      <c r="AC629" s="4" t="s">
        <v>30</v>
      </c>
      <c r="AD629" s="3"/>
      <c r="AE629" s="3" t="s">
        <v>3774</v>
      </c>
      <c r="AF629" s="4" t="s">
        <v>30</v>
      </c>
      <c r="AH629" s="4">
        <v>0</v>
      </c>
      <c r="AI629" s="3" t="s">
        <v>3771</v>
      </c>
      <c r="AJ629" s="4" t="s">
        <v>5909</v>
      </c>
      <c r="AK629" s="4"/>
      <c r="AL629" s="3"/>
    </row>
    <row r="630" spans="1:38" x14ac:dyDescent="0.35">
      <c r="A630" s="3" t="s">
        <v>3775</v>
      </c>
      <c r="B630" s="4" t="s">
        <v>58</v>
      </c>
      <c r="C630" s="4">
        <f>VLOOKUP(A630, [1]Planilha1!$A$3:$B$1015,2,FALSE)</f>
        <v>35524</v>
      </c>
      <c r="D630" s="4">
        <f t="shared" si="9"/>
        <v>9.8677777777777784</v>
      </c>
      <c r="E630" s="4" t="s">
        <v>1125</v>
      </c>
      <c r="F630" s="3" t="s">
        <v>54</v>
      </c>
      <c r="G630" s="3" t="s">
        <v>3776</v>
      </c>
      <c r="H630" s="3" t="s">
        <v>154</v>
      </c>
      <c r="I630" s="3" t="s">
        <v>33</v>
      </c>
      <c r="J630" s="3" t="s">
        <v>152</v>
      </c>
      <c r="L630" s="1">
        <v>46036.401261574072</v>
      </c>
      <c r="M630" s="1">
        <v>46036.418402777781</v>
      </c>
      <c r="N630" s="1">
        <v>46037.710428240738</v>
      </c>
      <c r="O630" s="3" t="s">
        <v>153</v>
      </c>
      <c r="P630" s="3" t="s">
        <v>57</v>
      </c>
      <c r="Q630" s="3" t="s">
        <v>52</v>
      </c>
      <c r="R630" s="3" t="s">
        <v>56</v>
      </c>
      <c r="S630" s="3" t="s">
        <v>64</v>
      </c>
      <c r="T630" s="3" t="s">
        <v>63</v>
      </c>
      <c r="U630" s="4" t="b">
        <v>0</v>
      </c>
      <c r="V630" s="3" t="s">
        <v>28</v>
      </c>
      <c r="W630" s="1"/>
      <c r="Y630" s="3" t="s">
        <v>29</v>
      </c>
      <c r="Z630" s="3" t="s">
        <v>29</v>
      </c>
      <c r="AA630" s="3" t="s">
        <v>155</v>
      </c>
      <c r="AB630" s="3" t="s">
        <v>58</v>
      </c>
      <c r="AC630" s="4" t="s">
        <v>30</v>
      </c>
      <c r="AD630" s="3" t="s">
        <v>59</v>
      </c>
      <c r="AE630" s="3" t="s">
        <v>57</v>
      </c>
      <c r="AF630" s="4" t="s">
        <v>30</v>
      </c>
      <c r="AH630" s="4">
        <v>2</v>
      </c>
      <c r="AI630" s="3" t="s">
        <v>3777</v>
      </c>
      <c r="AJ630" s="4" t="s">
        <v>55</v>
      </c>
      <c r="AK630" s="4" t="s">
        <v>156</v>
      </c>
      <c r="AL630" s="3"/>
    </row>
    <row r="631" spans="1:38" x14ac:dyDescent="0.35">
      <c r="A631" s="3" t="s">
        <v>3778</v>
      </c>
      <c r="B631" s="4" t="s">
        <v>3784</v>
      </c>
      <c r="C631" s="4">
        <f>VLOOKUP(A631, [1]Planilha1!$A$3:$B$1015,2,FALSE)</f>
        <v>2422</v>
      </c>
      <c r="D631" s="4">
        <f t="shared" si="9"/>
        <v>0.67277777777777781</v>
      </c>
      <c r="E631" s="4" t="s">
        <v>1125</v>
      </c>
      <c r="F631" s="3" t="s">
        <v>3781</v>
      </c>
      <c r="G631" s="3" t="s">
        <v>3779</v>
      </c>
      <c r="H631" s="3" t="s">
        <v>171</v>
      </c>
      <c r="I631" s="3" t="s">
        <v>33</v>
      </c>
      <c r="J631" s="3" t="s">
        <v>41</v>
      </c>
      <c r="L631" s="1">
        <v>46036.37877314815</v>
      </c>
      <c r="M631" s="1">
        <v>46036.378784722219</v>
      </c>
      <c r="N631" s="1">
        <v>46036.392800925925</v>
      </c>
      <c r="O631" s="3" t="s">
        <v>170</v>
      </c>
      <c r="P631" s="3" t="s">
        <v>3784</v>
      </c>
      <c r="Q631" s="3" t="s">
        <v>42</v>
      </c>
      <c r="R631" s="3" t="s">
        <v>3783</v>
      </c>
      <c r="S631" s="3" t="s">
        <v>37</v>
      </c>
      <c r="T631" s="3" t="s">
        <v>36</v>
      </c>
      <c r="U631" s="4" t="b">
        <v>1</v>
      </c>
      <c r="V631" s="3" t="s">
        <v>28</v>
      </c>
      <c r="W631" s="1"/>
      <c r="Y631" s="3" t="s">
        <v>29</v>
      </c>
      <c r="Z631" s="3" t="s">
        <v>29</v>
      </c>
      <c r="AA631" s="3"/>
      <c r="AB631" s="3"/>
      <c r="AC631" s="4" t="s">
        <v>30</v>
      </c>
      <c r="AD631" s="3"/>
      <c r="AE631" s="3" t="s">
        <v>3784</v>
      </c>
      <c r="AF631" s="4" t="s">
        <v>30</v>
      </c>
      <c r="AH631" s="4">
        <v>1</v>
      </c>
      <c r="AI631" s="3" t="s">
        <v>3780</v>
      </c>
      <c r="AJ631" s="4" t="s">
        <v>3782</v>
      </c>
      <c r="AK631" s="4"/>
      <c r="AL631" s="3"/>
    </row>
    <row r="632" spans="1:38" x14ac:dyDescent="0.35">
      <c r="A632" s="3" t="s">
        <v>3785</v>
      </c>
      <c r="B632" s="4" t="s">
        <v>3791</v>
      </c>
      <c r="C632" s="4">
        <f>VLOOKUP(A632, [1]Planilha1!$A$3:$B$1015,2,FALSE)</f>
        <v>2430</v>
      </c>
      <c r="D632" s="4">
        <f t="shared" si="9"/>
        <v>0.67500000000000004</v>
      </c>
      <c r="E632" s="4" t="s">
        <v>1125</v>
      </c>
      <c r="F632" s="3" t="s">
        <v>3788</v>
      </c>
      <c r="G632" s="3" t="s">
        <v>3786</v>
      </c>
      <c r="H632" s="3" t="s">
        <v>428</v>
      </c>
      <c r="I632" s="3" t="s">
        <v>33</v>
      </c>
      <c r="J632" s="3" t="s">
        <v>41</v>
      </c>
      <c r="L632" s="1">
        <v>46036.376932870371</v>
      </c>
      <c r="M632" s="1">
        <v>46036.376932870371</v>
      </c>
      <c r="N632" s="1">
        <v>46036.386307870373</v>
      </c>
      <c r="O632" s="3" t="s">
        <v>427</v>
      </c>
      <c r="P632" s="3" t="s">
        <v>3791</v>
      </c>
      <c r="Q632" s="3" t="s">
        <v>35</v>
      </c>
      <c r="R632" s="3" t="s">
        <v>3790</v>
      </c>
      <c r="S632" s="3" t="s">
        <v>37</v>
      </c>
      <c r="T632" s="3" t="s">
        <v>36</v>
      </c>
      <c r="U632" s="4" t="b">
        <v>1</v>
      </c>
      <c r="V632" s="3" t="s">
        <v>28</v>
      </c>
      <c r="W632" s="1"/>
      <c r="Y632" s="3" t="s">
        <v>29</v>
      </c>
      <c r="Z632" s="3" t="s">
        <v>29</v>
      </c>
      <c r="AA632" s="3"/>
      <c r="AB632" s="3"/>
      <c r="AC632" s="4" t="s">
        <v>30</v>
      </c>
      <c r="AD632" s="3"/>
      <c r="AE632" s="3" t="s">
        <v>3791</v>
      </c>
      <c r="AF632" s="4" t="s">
        <v>30</v>
      </c>
      <c r="AH632" s="4">
        <v>0</v>
      </c>
      <c r="AI632" s="3" t="s">
        <v>3787</v>
      </c>
      <c r="AJ632" s="4" t="s">
        <v>3789</v>
      </c>
      <c r="AK632" s="4"/>
      <c r="AL632" s="3"/>
    </row>
    <row r="633" spans="1:38" x14ac:dyDescent="0.35">
      <c r="A633" s="3" t="s">
        <v>3792</v>
      </c>
      <c r="B633" s="4" t="s">
        <v>545</v>
      </c>
      <c r="C633" s="4">
        <f>VLOOKUP(A633, [1]Planilha1!$A$3:$B$1015,2,FALSE)</f>
        <v>8226</v>
      </c>
      <c r="D633" s="4">
        <f t="shared" si="9"/>
        <v>2.2850000000000001</v>
      </c>
      <c r="E633" s="4" t="s">
        <v>1125</v>
      </c>
      <c r="F633" s="3" t="s">
        <v>543</v>
      </c>
      <c r="G633" s="3" t="s">
        <v>44</v>
      </c>
      <c r="H633" s="3" t="s">
        <v>44</v>
      </c>
      <c r="I633" s="3" t="s">
        <v>33</v>
      </c>
      <c r="J633" s="3" t="s">
        <v>41</v>
      </c>
      <c r="L633" s="1">
        <v>46036.375787037039</v>
      </c>
      <c r="M633" s="1">
        <v>46036.380046296297</v>
      </c>
      <c r="N633" s="1">
        <v>46036.42765046296</v>
      </c>
      <c r="O633" s="3" t="s">
        <v>43</v>
      </c>
      <c r="P633" s="3" t="s">
        <v>545</v>
      </c>
      <c r="Q633" s="3" t="s">
        <v>42</v>
      </c>
      <c r="R633" s="3" t="s">
        <v>544</v>
      </c>
      <c r="S633" s="3" t="s">
        <v>96</v>
      </c>
      <c r="T633" s="3" t="s">
        <v>95</v>
      </c>
      <c r="U633" s="4" t="b">
        <v>1</v>
      </c>
      <c r="V633" s="3" t="s">
        <v>31</v>
      </c>
      <c r="W633" s="1"/>
      <c r="Y633" s="3" t="s">
        <v>32</v>
      </c>
      <c r="Z633" s="3" t="s">
        <v>32</v>
      </c>
      <c r="AA633" s="3"/>
      <c r="AB633" s="3"/>
      <c r="AC633" s="4" t="s">
        <v>30</v>
      </c>
      <c r="AD633" s="3"/>
      <c r="AE633" s="3" t="s">
        <v>545</v>
      </c>
      <c r="AF633" s="4" t="s">
        <v>30</v>
      </c>
      <c r="AH633" s="4">
        <v>1</v>
      </c>
      <c r="AI633" s="3" t="s">
        <v>3793</v>
      </c>
      <c r="AJ633" s="4" t="s">
        <v>5818</v>
      </c>
      <c r="AK633" s="4"/>
      <c r="AL633" s="3"/>
    </row>
    <row r="634" spans="1:38" x14ac:dyDescent="0.35">
      <c r="A634" s="3" t="s">
        <v>3794</v>
      </c>
      <c r="B634" s="4" t="s">
        <v>94</v>
      </c>
      <c r="C634" s="4">
        <f>VLOOKUP(A634, [1]Planilha1!$A$3:$B$1015,2,FALSE)</f>
        <v>0</v>
      </c>
      <c r="D634" s="4">
        <f t="shared" si="9"/>
        <v>0</v>
      </c>
      <c r="E634" s="4" t="s">
        <v>1125</v>
      </c>
      <c r="F634" s="3" t="s">
        <v>92</v>
      </c>
      <c r="G634" s="3" t="s">
        <v>1517</v>
      </c>
      <c r="H634" s="3" t="s">
        <v>44</v>
      </c>
      <c r="I634" s="3" t="s">
        <v>33</v>
      </c>
      <c r="J634" s="3" t="s">
        <v>459</v>
      </c>
      <c r="L634" s="1">
        <v>46036.365590277775</v>
      </c>
      <c r="M634" s="1">
        <v>46036.370324074072</v>
      </c>
      <c r="N634" s="1">
        <v>46039.375</v>
      </c>
      <c r="O634" s="3" t="s">
        <v>43</v>
      </c>
      <c r="P634" s="3" t="s">
        <v>94</v>
      </c>
      <c r="Q634" s="3" t="s">
        <v>35</v>
      </c>
      <c r="R634" s="3" t="s">
        <v>93</v>
      </c>
      <c r="S634" s="3" t="s">
        <v>98</v>
      </c>
      <c r="T634" s="3" t="s">
        <v>97</v>
      </c>
      <c r="U634" s="4" t="b">
        <v>1</v>
      </c>
      <c r="V634" s="3" t="s">
        <v>31</v>
      </c>
      <c r="W634" s="1"/>
      <c r="Y634" s="3" t="s">
        <v>32</v>
      </c>
      <c r="Z634" s="3" t="s">
        <v>32</v>
      </c>
      <c r="AA634" s="3"/>
      <c r="AB634" s="3"/>
      <c r="AC634" s="4" t="s">
        <v>30</v>
      </c>
      <c r="AD634" s="3"/>
      <c r="AE634" s="3" t="s">
        <v>94</v>
      </c>
      <c r="AF634" s="4" t="s">
        <v>30</v>
      </c>
      <c r="AH634" s="4">
        <v>0</v>
      </c>
      <c r="AI634" s="3" t="s">
        <v>3795</v>
      </c>
      <c r="AJ634" s="4"/>
      <c r="AK634" s="4"/>
      <c r="AL634" s="3"/>
    </row>
    <row r="635" spans="1:38" x14ac:dyDescent="0.35">
      <c r="A635" s="3" t="s">
        <v>3796</v>
      </c>
      <c r="B635" s="4" t="s">
        <v>2957</v>
      </c>
      <c r="C635" s="4">
        <f>VLOOKUP(A635, [1]Planilha1!$A$3:$B$1015,2,FALSE)</f>
        <v>9002</v>
      </c>
      <c r="D635" s="4">
        <f t="shared" si="9"/>
        <v>2.5005555555555556</v>
      </c>
      <c r="E635" s="4" t="s">
        <v>1125</v>
      </c>
      <c r="F635" s="3" t="s">
        <v>3799</v>
      </c>
      <c r="G635" s="3" t="s">
        <v>100</v>
      </c>
      <c r="H635" s="3" t="s">
        <v>44</v>
      </c>
      <c r="I635" s="3" t="s">
        <v>33</v>
      </c>
      <c r="J635" s="3" t="s">
        <v>41</v>
      </c>
      <c r="K635" s="3" t="s">
        <v>3798</v>
      </c>
      <c r="L635" s="1">
        <v>46036.353275462963</v>
      </c>
      <c r="M635" s="1">
        <v>46036.368032407408</v>
      </c>
      <c r="N635" s="1">
        <v>46036.427094907405</v>
      </c>
      <c r="O635" s="3" t="s">
        <v>43</v>
      </c>
      <c r="P635" s="3" t="s">
        <v>2957</v>
      </c>
      <c r="Q635" s="3" t="s">
        <v>42</v>
      </c>
      <c r="R635" s="3" t="s">
        <v>3801</v>
      </c>
      <c r="S635" s="3" t="s">
        <v>190</v>
      </c>
      <c r="T635" s="3" t="s">
        <v>189</v>
      </c>
      <c r="U635" s="4" t="b">
        <v>1</v>
      </c>
      <c r="V635" s="3" t="s">
        <v>31</v>
      </c>
      <c r="W635" s="1"/>
      <c r="Y635" s="3" t="s">
        <v>32</v>
      </c>
      <c r="Z635" s="3" t="s">
        <v>32</v>
      </c>
      <c r="AA635" s="3"/>
      <c r="AB635" s="3"/>
      <c r="AC635" s="4" t="s">
        <v>30</v>
      </c>
      <c r="AD635" s="3"/>
      <c r="AE635" s="3" t="s">
        <v>2957</v>
      </c>
      <c r="AF635" s="4" t="s">
        <v>30</v>
      </c>
      <c r="AH635" s="4">
        <v>1</v>
      </c>
      <c r="AI635" s="3" t="s">
        <v>3797</v>
      </c>
      <c r="AJ635" s="4" t="s">
        <v>3800</v>
      </c>
      <c r="AK635" s="4"/>
      <c r="AL635" s="3"/>
    </row>
    <row r="636" spans="1:38" x14ac:dyDescent="0.35">
      <c r="A636" s="3" t="s">
        <v>3802</v>
      </c>
      <c r="B636" s="4" t="s">
        <v>3807</v>
      </c>
      <c r="C636" s="4">
        <f>VLOOKUP(A636, [1]Planilha1!$A$3:$B$1015,2,FALSE)</f>
        <v>7478</v>
      </c>
      <c r="D636" s="4">
        <f t="shared" si="9"/>
        <v>2.0772222222222223</v>
      </c>
      <c r="E636" s="4" t="s">
        <v>1125</v>
      </c>
      <c r="F636" s="3" t="s">
        <v>3805</v>
      </c>
      <c r="G636" s="3" t="s">
        <v>3803</v>
      </c>
      <c r="H636" s="3" t="s">
        <v>44</v>
      </c>
      <c r="I636" s="3" t="s">
        <v>33</v>
      </c>
      <c r="J636" s="3" t="s">
        <v>41</v>
      </c>
      <c r="L636" s="1">
        <v>46035.711967592593</v>
      </c>
      <c r="M636" s="1">
        <v>46035.711967592593</v>
      </c>
      <c r="N636" s="1">
        <v>46036.343460648146</v>
      </c>
      <c r="O636" s="3" t="s">
        <v>43</v>
      </c>
      <c r="P636" s="3" t="s">
        <v>3807</v>
      </c>
      <c r="Q636" s="3" t="s">
        <v>42</v>
      </c>
      <c r="R636" s="3" t="s">
        <v>3806</v>
      </c>
      <c r="S636" s="3" t="s">
        <v>37</v>
      </c>
      <c r="T636" s="3" t="s">
        <v>36</v>
      </c>
      <c r="U636" s="4" t="b">
        <v>1</v>
      </c>
      <c r="V636" s="3" t="s">
        <v>28</v>
      </c>
      <c r="W636" s="1"/>
      <c r="Y636" s="3" t="s">
        <v>29</v>
      </c>
      <c r="Z636" s="3" t="s">
        <v>29</v>
      </c>
      <c r="AA636" s="3"/>
      <c r="AB636" s="3"/>
      <c r="AC636" s="4" t="s">
        <v>30</v>
      </c>
      <c r="AD636" s="3"/>
      <c r="AE636" s="3" t="s">
        <v>3807</v>
      </c>
      <c r="AF636" s="4" t="s">
        <v>30</v>
      </c>
      <c r="AH636" s="4">
        <v>2</v>
      </c>
      <c r="AI636" s="3" t="s">
        <v>3804</v>
      </c>
      <c r="AJ636" s="4" t="s">
        <v>5910</v>
      </c>
      <c r="AK636" s="4"/>
      <c r="AL636" s="3"/>
    </row>
    <row r="637" spans="1:38" x14ac:dyDescent="0.35">
      <c r="A637" s="3" t="s">
        <v>3808</v>
      </c>
      <c r="B637" s="4" t="s">
        <v>2053</v>
      </c>
      <c r="C637" s="4">
        <f>VLOOKUP(A637, [1]Planilha1!$A$3:$B$1015,2,FALSE)</f>
        <v>0</v>
      </c>
      <c r="D637" s="4">
        <f t="shared" si="9"/>
        <v>0</v>
      </c>
      <c r="E637" s="4" t="s">
        <v>1125</v>
      </c>
      <c r="F637" s="3" t="s">
        <v>2050</v>
      </c>
      <c r="G637" s="3" t="s">
        <v>44</v>
      </c>
      <c r="H637" s="3" t="s">
        <v>44</v>
      </c>
      <c r="I637" s="3" t="s">
        <v>33</v>
      </c>
      <c r="J637" s="3" t="s">
        <v>60</v>
      </c>
      <c r="L637" s="1">
        <v>46035.68545138889</v>
      </c>
      <c r="M637" s="1">
        <v>46035.693101851852</v>
      </c>
      <c r="N637" s="1">
        <v>46038.708333333336</v>
      </c>
      <c r="O637" s="3" t="s">
        <v>43</v>
      </c>
      <c r="P637" s="3" t="s">
        <v>2053</v>
      </c>
      <c r="Q637" s="3" t="s">
        <v>35</v>
      </c>
      <c r="R637" s="3" t="s">
        <v>2052</v>
      </c>
      <c r="S637" s="3" t="s">
        <v>62</v>
      </c>
      <c r="T637" s="3" t="s">
        <v>61</v>
      </c>
      <c r="U637" s="4" t="b">
        <v>1</v>
      </c>
      <c r="V637" s="3" t="s">
        <v>31</v>
      </c>
      <c r="W637" s="1"/>
      <c r="Y637" s="3" t="s">
        <v>32</v>
      </c>
      <c r="Z637" s="3" t="s">
        <v>32</v>
      </c>
      <c r="AA637" s="3"/>
      <c r="AB637" s="3"/>
      <c r="AC637" s="4" t="s">
        <v>30</v>
      </c>
      <c r="AD637" s="3"/>
      <c r="AE637" s="3" t="s">
        <v>2053</v>
      </c>
      <c r="AF637" s="4" t="s">
        <v>30</v>
      </c>
      <c r="AH637" s="4">
        <v>0</v>
      </c>
      <c r="AI637" s="3" t="s">
        <v>3809</v>
      </c>
      <c r="AJ637" s="4" t="s">
        <v>2051</v>
      </c>
      <c r="AK637" s="4"/>
      <c r="AL637" s="3"/>
    </row>
    <row r="638" spans="1:38" x14ac:dyDescent="0.35">
      <c r="A638" s="3" t="s">
        <v>3810</v>
      </c>
      <c r="B638" s="4" t="s">
        <v>2466</v>
      </c>
      <c r="C638" s="4">
        <f>VLOOKUP(A638, [1]Planilha1!$A$3:$B$1015,2,FALSE)</f>
        <v>0</v>
      </c>
      <c r="D638" s="4">
        <f t="shared" si="9"/>
        <v>0</v>
      </c>
      <c r="E638" s="4" t="s">
        <v>1125</v>
      </c>
      <c r="F638" s="3" t="s">
        <v>2463</v>
      </c>
      <c r="G638" s="3" t="s">
        <v>1094</v>
      </c>
      <c r="H638" s="3" t="s">
        <v>237</v>
      </c>
      <c r="I638" s="3" t="s">
        <v>33</v>
      </c>
      <c r="J638" s="3" t="s">
        <v>60</v>
      </c>
      <c r="K638" s="3" t="s">
        <v>3812</v>
      </c>
      <c r="L638" s="1">
        <v>46035.685023148151</v>
      </c>
      <c r="M638" s="1">
        <v>46035.703402777777</v>
      </c>
      <c r="N638" s="1">
        <v>46038.708333333336</v>
      </c>
      <c r="O638" s="3" t="s">
        <v>1370</v>
      </c>
      <c r="P638" s="3" t="s">
        <v>2466</v>
      </c>
      <c r="Q638" s="3" t="s">
        <v>42</v>
      </c>
      <c r="R638" s="3" t="s">
        <v>2465</v>
      </c>
      <c r="S638" s="3" t="s">
        <v>120</v>
      </c>
      <c r="T638" s="3" t="s">
        <v>119</v>
      </c>
      <c r="U638" s="4" t="b">
        <v>1</v>
      </c>
      <c r="V638" s="3" t="s">
        <v>31</v>
      </c>
      <c r="W638" s="1"/>
      <c r="Y638" s="3" t="s">
        <v>32</v>
      </c>
      <c r="Z638" s="3" t="s">
        <v>32</v>
      </c>
      <c r="AA638" s="3"/>
      <c r="AB638" s="3"/>
      <c r="AC638" s="4" t="s">
        <v>30</v>
      </c>
      <c r="AD638" s="3"/>
      <c r="AE638" s="3" t="s">
        <v>2466</v>
      </c>
      <c r="AF638" s="4" t="s">
        <v>30</v>
      </c>
      <c r="AH638" s="4">
        <v>0</v>
      </c>
      <c r="AI638" s="3" t="s">
        <v>3811</v>
      </c>
      <c r="AJ638" s="4" t="s">
        <v>2464</v>
      </c>
      <c r="AK638" s="4"/>
      <c r="AL638" s="3"/>
    </row>
    <row r="639" spans="1:38" x14ac:dyDescent="0.35">
      <c r="A639" s="3" t="s">
        <v>3813</v>
      </c>
      <c r="B639" s="4" t="s">
        <v>3605</v>
      </c>
      <c r="C639" s="4">
        <f>VLOOKUP(A639, [1]Planilha1!$A$3:$B$1015,2,FALSE)</f>
        <v>16054</v>
      </c>
      <c r="D639" s="4">
        <f t="shared" si="9"/>
        <v>4.4594444444444443</v>
      </c>
      <c r="E639" s="4" t="s">
        <v>1125</v>
      </c>
      <c r="F639" s="3" t="s">
        <v>3602</v>
      </c>
      <c r="G639" s="3" t="s">
        <v>3814</v>
      </c>
      <c r="H639" s="3" t="s">
        <v>44</v>
      </c>
      <c r="I639" s="3" t="s">
        <v>33</v>
      </c>
      <c r="J639" s="3" t="s">
        <v>41</v>
      </c>
      <c r="L639" s="1">
        <v>46035.668321759258</v>
      </c>
      <c r="M639" s="1">
        <v>46035.668321759258</v>
      </c>
      <c r="N639" s="1">
        <v>46036.340185185189</v>
      </c>
      <c r="O639" s="3" t="s">
        <v>43</v>
      </c>
      <c r="P639" s="3" t="s">
        <v>3605</v>
      </c>
      <c r="Q639" s="3" t="s">
        <v>42</v>
      </c>
      <c r="R639" s="3" t="s">
        <v>3604</v>
      </c>
      <c r="S639" s="3" t="s">
        <v>37</v>
      </c>
      <c r="T639" s="3" t="s">
        <v>36</v>
      </c>
      <c r="U639" s="4" t="b">
        <v>1</v>
      </c>
      <c r="V639" s="3" t="s">
        <v>28</v>
      </c>
      <c r="W639" s="1"/>
      <c r="Y639" s="3" t="s">
        <v>29</v>
      </c>
      <c r="Z639" s="3" t="s">
        <v>29</v>
      </c>
      <c r="AA639" s="3"/>
      <c r="AB639" s="3"/>
      <c r="AC639" s="4" t="s">
        <v>30</v>
      </c>
      <c r="AD639" s="3"/>
      <c r="AE639" s="3" t="s">
        <v>3605</v>
      </c>
      <c r="AF639" s="4" t="s">
        <v>30</v>
      </c>
      <c r="AH639" s="4">
        <v>2</v>
      </c>
      <c r="AI639" s="3" t="s">
        <v>3815</v>
      </c>
      <c r="AJ639" s="4" t="s">
        <v>3603</v>
      </c>
      <c r="AK639" s="4"/>
      <c r="AL639" s="3"/>
    </row>
    <row r="640" spans="1:38" x14ac:dyDescent="0.35">
      <c r="A640" s="3" t="s">
        <v>3816</v>
      </c>
      <c r="B640" s="4" t="s">
        <v>3821</v>
      </c>
      <c r="C640" s="4">
        <f>VLOOKUP(A640, [1]Planilha1!$A$3:$B$1015,2,FALSE)</f>
        <v>2294</v>
      </c>
      <c r="D640" s="4">
        <f t="shared" si="9"/>
        <v>0.63722222222222225</v>
      </c>
      <c r="E640" s="4" t="s">
        <v>1125</v>
      </c>
      <c r="F640" s="3" t="s">
        <v>3818</v>
      </c>
      <c r="G640" s="3" t="s">
        <v>74</v>
      </c>
      <c r="H640" s="3" t="s">
        <v>44</v>
      </c>
      <c r="I640" s="3" t="s">
        <v>33</v>
      </c>
      <c r="J640" s="3" t="s">
        <v>41</v>
      </c>
      <c r="L640" s="1">
        <v>46035.664155092592</v>
      </c>
      <c r="M640" s="1">
        <v>46035.669571759259</v>
      </c>
      <c r="N640" s="1">
        <v>46035.682847222219</v>
      </c>
      <c r="O640" s="3" t="s">
        <v>43</v>
      </c>
      <c r="P640" s="3" t="s">
        <v>3821</v>
      </c>
      <c r="Q640" s="3" t="s">
        <v>42</v>
      </c>
      <c r="R640" s="3" t="s">
        <v>3820</v>
      </c>
      <c r="S640" s="3" t="s">
        <v>80</v>
      </c>
      <c r="T640" s="3" t="s">
        <v>79</v>
      </c>
      <c r="U640" s="4" t="b">
        <v>1</v>
      </c>
      <c r="V640" s="3" t="s">
        <v>31</v>
      </c>
      <c r="W640" s="1"/>
      <c r="Y640" s="3" t="s">
        <v>32</v>
      </c>
      <c r="Z640" s="3" t="s">
        <v>32</v>
      </c>
      <c r="AA640" s="3"/>
      <c r="AB640" s="3"/>
      <c r="AC640" s="4" t="s">
        <v>30</v>
      </c>
      <c r="AD640" s="3"/>
      <c r="AE640" s="3" t="s">
        <v>3821</v>
      </c>
      <c r="AF640" s="4" t="s">
        <v>30</v>
      </c>
      <c r="AH640" s="4">
        <v>1</v>
      </c>
      <c r="AI640" s="3" t="s">
        <v>3817</v>
      </c>
      <c r="AJ640" s="4" t="s">
        <v>3819</v>
      </c>
      <c r="AK640" s="4"/>
      <c r="AL640" s="3"/>
    </row>
    <row r="641" spans="1:38" x14ac:dyDescent="0.35">
      <c r="A641" s="3" t="s">
        <v>3822</v>
      </c>
      <c r="B641" s="4" t="s">
        <v>3828</v>
      </c>
      <c r="C641" s="4">
        <f>VLOOKUP(A641, [1]Planilha1!$A$3:$B$1015,2,FALSE)</f>
        <v>2348</v>
      </c>
      <c r="D641" s="4">
        <f t="shared" si="9"/>
        <v>0.65222222222222226</v>
      </c>
      <c r="E641" s="4" t="s">
        <v>1125</v>
      </c>
      <c r="F641" s="3" t="s">
        <v>3825</v>
      </c>
      <c r="G641" s="3" t="s">
        <v>44</v>
      </c>
      <c r="H641" s="3" t="s">
        <v>44</v>
      </c>
      <c r="I641" s="3" t="s">
        <v>33</v>
      </c>
      <c r="J641" s="3" t="s">
        <v>41</v>
      </c>
      <c r="K641" s="3" t="s">
        <v>3824</v>
      </c>
      <c r="L641" s="1">
        <v>46035.663090277776</v>
      </c>
      <c r="M641" s="1">
        <v>46035.66605324074</v>
      </c>
      <c r="N641" s="1">
        <v>46035.6796412037</v>
      </c>
      <c r="O641" s="3" t="s">
        <v>43</v>
      </c>
      <c r="P641" s="3" t="s">
        <v>3828</v>
      </c>
      <c r="Q641" s="3" t="s">
        <v>42</v>
      </c>
      <c r="R641" s="3" t="s">
        <v>3827</v>
      </c>
      <c r="S641" s="3" t="s">
        <v>96</v>
      </c>
      <c r="T641" s="3" t="s">
        <v>95</v>
      </c>
      <c r="U641" s="4" t="b">
        <v>1</v>
      </c>
      <c r="V641" s="3" t="s">
        <v>31</v>
      </c>
      <c r="W641" s="1"/>
      <c r="Y641" s="3" t="s">
        <v>32</v>
      </c>
      <c r="Z641" s="3" t="s">
        <v>32</v>
      </c>
      <c r="AA641" s="3"/>
      <c r="AB641" s="3"/>
      <c r="AC641" s="4" t="s">
        <v>30</v>
      </c>
      <c r="AD641" s="3"/>
      <c r="AE641" s="3" t="s">
        <v>3828</v>
      </c>
      <c r="AF641" s="4" t="s">
        <v>30</v>
      </c>
      <c r="AH641" s="4">
        <v>1</v>
      </c>
      <c r="AI641" s="3" t="s">
        <v>3823</v>
      </c>
      <c r="AJ641" s="4" t="s">
        <v>3826</v>
      </c>
      <c r="AK641" s="4"/>
      <c r="AL641" s="3"/>
    </row>
    <row r="642" spans="1:38" x14ac:dyDescent="0.35">
      <c r="A642" s="3" t="s">
        <v>3829</v>
      </c>
      <c r="B642" s="4" t="s">
        <v>3835</v>
      </c>
      <c r="C642" s="4">
        <f>VLOOKUP(A642, [1]Planilha1!$A$3:$B$1015,2,FALSE)</f>
        <v>12468</v>
      </c>
      <c r="D642" s="4">
        <f t="shared" si="9"/>
        <v>3.4633333333333334</v>
      </c>
      <c r="E642" s="4" t="s">
        <v>1125</v>
      </c>
      <c r="F642" s="3" t="s">
        <v>3833</v>
      </c>
      <c r="G642" s="3" t="s">
        <v>3830</v>
      </c>
      <c r="H642" s="3" t="s">
        <v>44</v>
      </c>
      <c r="I642" s="3" t="s">
        <v>33</v>
      </c>
      <c r="J642" s="3" t="s">
        <v>41</v>
      </c>
      <c r="K642" s="3" t="s">
        <v>3832</v>
      </c>
      <c r="L642" s="1">
        <v>46035.655393518522</v>
      </c>
      <c r="M642" s="1">
        <v>46035.677847222221</v>
      </c>
      <c r="N642" s="1">
        <v>46036.341296296298</v>
      </c>
      <c r="O642" s="3" t="s">
        <v>43</v>
      </c>
      <c r="P642" s="3" t="s">
        <v>3835</v>
      </c>
      <c r="Q642" s="3" t="s">
        <v>42</v>
      </c>
      <c r="R642" s="3" t="s">
        <v>3834</v>
      </c>
      <c r="S642" s="3" t="s">
        <v>190</v>
      </c>
      <c r="T642" s="3" t="s">
        <v>189</v>
      </c>
      <c r="U642" s="4" t="b">
        <v>1</v>
      </c>
      <c r="V642" s="3" t="s">
        <v>31</v>
      </c>
      <c r="W642" s="1"/>
      <c r="Y642" s="3" t="s">
        <v>32</v>
      </c>
      <c r="Z642" s="3" t="s">
        <v>32</v>
      </c>
      <c r="AA642" s="3"/>
      <c r="AB642" s="3"/>
      <c r="AC642" s="4" t="s">
        <v>30</v>
      </c>
      <c r="AD642" s="3"/>
      <c r="AE642" s="3" t="s">
        <v>3835</v>
      </c>
      <c r="AF642" s="4" t="s">
        <v>30</v>
      </c>
      <c r="AH642" s="4">
        <v>1</v>
      </c>
      <c r="AI642" s="3" t="s">
        <v>3831</v>
      </c>
      <c r="AJ642" s="4" t="s">
        <v>5911</v>
      </c>
      <c r="AK642" s="4"/>
      <c r="AL642" s="3"/>
    </row>
    <row r="643" spans="1:38" x14ac:dyDescent="0.35">
      <c r="A643" s="3" t="s">
        <v>3836</v>
      </c>
      <c r="B643" s="4" t="s">
        <v>417</v>
      </c>
      <c r="C643" s="4">
        <f>VLOOKUP(A643, [1]Planilha1!$A$3:$B$1015,2,FALSE)</f>
        <v>3310</v>
      </c>
      <c r="D643" s="4">
        <f t="shared" ref="D643:D706" si="10">C643/3600</f>
        <v>0.9194444444444444</v>
      </c>
      <c r="E643" s="4" t="s">
        <v>1125</v>
      </c>
      <c r="F643" s="3" t="s">
        <v>414</v>
      </c>
      <c r="G643" s="3" t="s">
        <v>44</v>
      </c>
      <c r="H643" s="3" t="s">
        <v>44</v>
      </c>
      <c r="I643" s="3" t="s">
        <v>33</v>
      </c>
      <c r="J643" s="3" t="s">
        <v>41</v>
      </c>
      <c r="L643" s="1">
        <v>46035.65421296296</v>
      </c>
      <c r="M643" s="1">
        <v>46035.657418981478</v>
      </c>
      <c r="N643" s="1">
        <v>46035.676574074074</v>
      </c>
      <c r="O643" s="3" t="s">
        <v>43</v>
      </c>
      <c r="P643" s="3" t="s">
        <v>417</v>
      </c>
      <c r="Q643" s="3" t="s">
        <v>42</v>
      </c>
      <c r="R643" s="3" t="s">
        <v>416</v>
      </c>
      <c r="S643" s="3" t="s">
        <v>62</v>
      </c>
      <c r="T643" s="3" t="s">
        <v>61</v>
      </c>
      <c r="U643" s="4" t="b">
        <v>1</v>
      </c>
      <c r="V643" s="3" t="s">
        <v>31</v>
      </c>
      <c r="W643" s="1"/>
      <c r="Y643" s="3" t="s">
        <v>32</v>
      </c>
      <c r="Z643" s="3" t="s">
        <v>32</v>
      </c>
      <c r="AA643" s="3"/>
      <c r="AB643" s="3"/>
      <c r="AC643" s="4" t="s">
        <v>30</v>
      </c>
      <c r="AD643" s="3"/>
      <c r="AE643" s="3" t="s">
        <v>417</v>
      </c>
      <c r="AF643" s="4" t="s">
        <v>30</v>
      </c>
      <c r="AH643" s="4">
        <v>1</v>
      </c>
      <c r="AI643" s="3" t="s">
        <v>3837</v>
      </c>
      <c r="AJ643" s="4" t="s">
        <v>415</v>
      </c>
      <c r="AK643" s="4"/>
      <c r="AL643" s="3"/>
    </row>
    <row r="644" spans="1:38" x14ac:dyDescent="0.35">
      <c r="A644" s="3" t="s">
        <v>3838</v>
      </c>
      <c r="B644" s="4" t="s">
        <v>3843</v>
      </c>
      <c r="C644" s="4">
        <f>VLOOKUP(A644, [1]Planilha1!$A$3:$B$1015,2,FALSE)</f>
        <v>1058</v>
      </c>
      <c r="D644" s="4">
        <f t="shared" si="10"/>
        <v>0.29388888888888887</v>
      </c>
      <c r="E644" s="4" t="s">
        <v>1125</v>
      </c>
      <c r="F644" s="3" t="s">
        <v>3840</v>
      </c>
      <c r="G644" s="3" t="s">
        <v>539</v>
      </c>
      <c r="H644" s="3" t="s">
        <v>44</v>
      </c>
      <c r="I644" s="3" t="s">
        <v>33</v>
      </c>
      <c r="J644" s="3" t="s">
        <v>60</v>
      </c>
      <c r="L644" s="1">
        <v>46035.649212962962</v>
      </c>
      <c r="M644" s="1">
        <v>46035.649212962962</v>
      </c>
      <c r="N644" s="1">
        <v>46038.666678240741</v>
      </c>
      <c r="O644" s="3" t="s">
        <v>43</v>
      </c>
      <c r="P644" s="3" t="s">
        <v>3843</v>
      </c>
      <c r="Q644" s="3" t="s">
        <v>35</v>
      </c>
      <c r="R644" s="3" t="s">
        <v>3842</v>
      </c>
      <c r="S644" s="3" t="s">
        <v>37</v>
      </c>
      <c r="T644" s="3" t="s">
        <v>36</v>
      </c>
      <c r="U644" s="4" t="b">
        <v>1</v>
      </c>
      <c r="V644" s="3" t="s">
        <v>28</v>
      </c>
      <c r="W644" s="1"/>
      <c r="Y644" s="3" t="s">
        <v>29</v>
      </c>
      <c r="Z644" s="3" t="s">
        <v>29</v>
      </c>
      <c r="AA644" s="3"/>
      <c r="AB644" s="3"/>
      <c r="AC644" s="4" t="s">
        <v>30</v>
      </c>
      <c r="AD644" s="3"/>
      <c r="AE644" s="3" t="s">
        <v>3843</v>
      </c>
      <c r="AF644" s="4" t="s">
        <v>30</v>
      </c>
      <c r="AH644" s="4">
        <v>0</v>
      </c>
      <c r="AI644" s="3" t="s">
        <v>3839</v>
      </c>
      <c r="AJ644" s="4" t="s">
        <v>3841</v>
      </c>
      <c r="AK644" s="4"/>
      <c r="AL644" s="3"/>
    </row>
    <row r="645" spans="1:38" x14ac:dyDescent="0.35">
      <c r="A645" s="3" t="s">
        <v>3844</v>
      </c>
      <c r="B645" s="4" t="s">
        <v>94</v>
      </c>
      <c r="C645" s="4">
        <f>VLOOKUP(A645, [1]Planilha1!$A$3:$B$1015,2,FALSE)</f>
        <v>0</v>
      </c>
      <c r="D645" s="4">
        <f t="shared" si="10"/>
        <v>0</v>
      </c>
      <c r="E645" s="4" t="s">
        <v>1125</v>
      </c>
      <c r="F645" s="3" t="s">
        <v>92</v>
      </c>
      <c r="G645" s="3" t="s">
        <v>3845</v>
      </c>
      <c r="H645" s="3" t="s">
        <v>44</v>
      </c>
      <c r="I645" s="3" t="s">
        <v>33</v>
      </c>
      <c r="J645" s="3" t="s">
        <v>60</v>
      </c>
      <c r="L645" s="1">
        <v>46035.635821759257</v>
      </c>
      <c r="M645" s="1">
        <v>46035.638888888891</v>
      </c>
      <c r="N645" s="1">
        <v>46038.666678240741</v>
      </c>
      <c r="O645" s="3" t="s">
        <v>43</v>
      </c>
      <c r="P645" s="3" t="s">
        <v>94</v>
      </c>
      <c r="Q645" s="3" t="s">
        <v>42</v>
      </c>
      <c r="R645" s="3" t="s">
        <v>93</v>
      </c>
      <c r="S645" s="3" t="s">
        <v>120</v>
      </c>
      <c r="T645" s="3" t="s">
        <v>119</v>
      </c>
      <c r="U645" s="4" t="b">
        <v>1</v>
      </c>
      <c r="V645" s="3" t="s">
        <v>31</v>
      </c>
      <c r="W645" s="1"/>
      <c r="Y645" s="3" t="s">
        <v>32</v>
      </c>
      <c r="Z645" s="3" t="s">
        <v>32</v>
      </c>
      <c r="AA645" s="3"/>
      <c r="AB645" s="3"/>
      <c r="AC645" s="4" t="s">
        <v>30</v>
      </c>
      <c r="AD645" s="3"/>
      <c r="AE645" s="3" t="s">
        <v>94</v>
      </c>
      <c r="AF645" s="4" t="s">
        <v>30</v>
      </c>
      <c r="AH645" s="4">
        <v>0</v>
      </c>
      <c r="AI645" s="3" t="s">
        <v>3846</v>
      </c>
      <c r="AJ645" s="4"/>
      <c r="AK645" s="4"/>
      <c r="AL645" s="3"/>
    </row>
    <row r="646" spans="1:38" x14ac:dyDescent="0.35">
      <c r="A646" s="3" t="s">
        <v>3847</v>
      </c>
      <c r="B646" s="4" t="s">
        <v>3557</v>
      </c>
      <c r="C646" s="4">
        <f>VLOOKUP(A646, [1]Planilha1!$A$3:$B$1015,2,FALSE)</f>
        <v>0</v>
      </c>
      <c r="D646" s="4">
        <f t="shared" si="10"/>
        <v>0</v>
      </c>
      <c r="E646" s="4" t="s">
        <v>1125</v>
      </c>
      <c r="F646" s="3" t="s">
        <v>3554</v>
      </c>
      <c r="G646" s="3" t="s">
        <v>214</v>
      </c>
      <c r="H646" s="3" t="s">
        <v>44</v>
      </c>
      <c r="I646" s="3" t="s">
        <v>33</v>
      </c>
      <c r="J646" s="3" t="s">
        <v>60</v>
      </c>
      <c r="K646" s="3" t="s">
        <v>3849</v>
      </c>
      <c r="L646" s="1">
        <v>46035.629780092589</v>
      </c>
      <c r="M646" s="1">
        <v>46035.668576388889</v>
      </c>
      <c r="N646" s="1">
        <v>46038.708333333336</v>
      </c>
      <c r="O646" s="3" t="s">
        <v>43</v>
      </c>
      <c r="P646" s="3" t="s">
        <v>3557</v>
      </c>
      <c r="Q646" s="3" t="s">
        <v>35</v>
      </c>
      <c r="R646" s="3" t="s">
        <v>3556</v>
      </c>
      <c r="S646" s="3" t="s">
        <v>144</v>
      </c>
      <c r="T646" s="3" t="s">
        <v>143</v>
      </c>
      <c r="U646" s="4" t="b">
        <v>1</v>
      </c>
      <c r="V646" s="3" t="s">
        <v>31</v>
      </c>
      <c r="W646" s="1"/>
      <c r="Y646" s="3" t="s">
        <v>32</v>
      </c>
      <c r="Z646" s="3" t="s">
        <v>32</v>
      </c>
      <c r="AA646" s="3"/>
      <c r="AB646" s="3"/>
      <c r="AC646" s="4" t="s">
        <v>30</v>
      </c>
      <c r="AD646" s="3"/>
      <c r="AE646" s="3" t="s">
        <v>3557</v>
      </c>
      <c r="AF646" s="4" t="s">
        <v>30</v>
      </c>
      <c r="AH646" s="4">
        <v>0</v>
      </c>
      <c r="AI646" s="3" t="s">
        <v>3848</v>
      </c>
      <c r="AJ646" s="4" t="s">
        <v>3555</v>
      </c>
      <c r="AK646" s="4"/>
      <c r="AL646" s="3"/>
    </row>
    <row r="647" spans="1:38" x14ac:dyDescent="0.35">
      <c r="A647" s="3" t="s">
        <v>3850</v>
      </c>
      <c r="B647" s="4" t="s">
        <v>94</v>
      </c>
      <c r="C647" s="4">
        <f>VLOOKUP(A647, [1]Planilha1!$A$3:$B$1015,2,FALSE)</f>
        <v>0</v>
      </c>
      <c r="D647" s="4">
        <f t="shared" si="10"/>
        <v>0</v>
      </c>
      <c r="E647" s="4" t="s">
        <v>1125</v>
      </c>
      <c r="F647" s="3" t="s">
        <v>92</v>
      </c>
      <c r="G647" s="3" t="s">
        <v>1458</v>
      </c>
      <c r="H647" s="3" t="s">
        <v>727</v>
      </c>
      <c r="I647" s="3" t="s">
        <v>33</v>
      </c>
      <c r="J647" s="3" t="s">
        <v>60</v>
      </c>
      <c r="K647" s="3" t="s">
        <v>3852</v>
      </c>
      <c r="L647" s="1">
        <v>46035.614212962966</v>
      </c>
      <c r="M647" s="1">
        <v>46035.627951388888</v>
      </c>
      <c r="N647" s="1">
        <v>46038.666678240741</v>
      </c>
      <c r="O647" s="3" t="s">
        <v>726</v>
      </c>
      <c r="P647" s="3" t="s">
        <v>94</v>
      </c>
      <c r="Q647" s="3" t="s">
        <v>35</v>
      </c>
      <c r="R647" s="3" t="s">
        <v>93</v>
      </c>
      <c r="S647" s="3" t="s">
        <v>144</v>
      </c>
      <c r="T647" s="3" t="s">
        <v>143</v>
      </c>
      <c r="U647" s="4" t="b">
        <v>1</v>
      </c>
      <c r="V647" s="3" t="s">
        <v>31</v>
      </c>
      <c r="W647" s="1"/>
      <c r="Y647" s="3" t="s">
        <v>32</v>
      </c>
      <c r="Z647" s="3" t="s">
        <v>32</v>
      </c>
      <c r="AA647" s="3"/>
      <c r="AB647" s="3"/>
      <c r="AC647" s="4" t="s">
        <v>30</v>
      </c>
      <c r="AD647" s="3"/>
      <c r="AE647" s="3" t="s">
        <v>94</v>
      </c>
      <c r="AF647" s="4" t="s">
        <v>30</v>
      </c>
      <c r="AH647" s="4">
        <v>0</v>
      </c>
      <c r="AI647" s="3" t="s">
        <v>3851</v>
      </c>
      <c r="AJ647" s="4"/>
      <c r="AK647" s="4"/>
      <c r="AL647" s="3"/>
    </row>
    <row r="648" spans="1:38" x14ac:dyDescent="0.35">
      <c r="A648" s="3" t="s">
        <v>3853</v>
      </c>
      <c r="B648" s="4" t="s">
        <v>3859</v>
      </c>
      <c r="C648" s="4">
        <f>VLOOKUP(A648, [1]Planilha1!$A$3:$B$1015,2,FALSE)</f>
        <v>13819</v>
      </c>
      <c r="D648" s="4">
        <f t="shared" si="10"/>
        <v>3.8386111111111112</v>
      </c>
      <c r="E648" s="4" t="s">
        <v>1125</v>
      </c>
      <c r="F648" s="3" t="s">
        <v>3856</v>
      </c>
      <c r="G648" s="3" t="s">
        <v>3854</v>
      </c>
      <c r="H648" s="3" t="s">
        <v>1125</v>
      </c>
      <c r="I648" s="3" t="s">
        <v>33</v>
      </c>
      <c r="J648" s="3" t="s">
        <v>41</v>
      </c>
      <c r="L648" s="1">
        <v>46035.601574074077</v>
      </c>
      <c r="M648" s="1">
        <v>46035.601574074077</v>
      </c>
      <c r="N648" s="1">
        <v>46035.67496527778</v>
      </c>
      <c r="O648" s="3" t="s">
        <v>1127</v>
      </c>
      <c r="P648" s="3" t="s">
        <v>3859</v>
      </c>
      <c r="Q648" s="3" t="s">
        <v>42</v>
      </c>
      <c r="R648" s="3" t="s">
        <v>3858</v>
      </c>
      <c r="S648" s="3" t="s">
        <v>37</v>
      </c>
      <c r="T648" s="3" t="s">
        <v>36</v>
      </c>
      <c r="U648" s="4" t="b">
        <v>1</v>
      </c>
      <c r="V648" s="3" t="s">
        <v>28</v>
      </c>
      <c r="W648" s="1"/>
      <c r="Y648" s="3" t="s">
        <v>29</v>
      </c>
      <c r="Z648" s="3" t="s">
        <v>29</v>
      </c>
      <c r="AA648" s="3"/>
      <c r="AB648" s="3"/>
      <c r="AC648" s="4" t="s">
        <v>30</v>
      </c>
      <c r="AD648" s="3"/>
      <c r="AE648" s="3" t="s">
        <v>3859</v>
      </c>
      <c r="AF648" s="4" t="s">
        <v>30</v>
      </c>
      <c r="AH648" s="4">
        <v>1</v>
      </c>
      <c r="AI648" s="3" t="s">
        <v>3855</v>
      </c>
      <c r="AJ648" s="4" t="s">
        <v>3857</v>
      </c>
      <c r="AK648" s="4"/>
      <c r="AL648" s="3"/>
    </row>
    <row r="649" spans="1:38" x14ac:dyDescent="0.35">
      <c r="A649" s="3" t="s">
        <v>3860</v>
      </c>
      <c r="B649" s="4" t="s">
        <v>94</v>
      </c>
      <c r="C649" s="4">
        <f>VLOOKUP(A649, [1]Planilha1!$A$3:$B$1015,2,FALSE)</f>
        <v>2016</v>
      </c>
      <c r="D649" s="4">
        <f t="shared" si="10"/>
        <v>0.56000000000000005</v>
      </c>
      <c r="E649" s="4" t="s">
        <v>1125</v>
      </c>
      <c r="F649" s="3" t="s">
        <v>92</v>
      </c>
      <c r="G649" s="3" t="s">
        <v>3861</v>
      </c>
      <c r="H649" s="3" t="s">
        <v>622</v>
      </c>
      <c r="I649" s="3" t="s">
        <v>33</v>
      </c>
      <c r="J649" s="3" t="s">
        <v>41</v>
      </c>
      <c r="L649" s="1">
        <v>46035.596099537041</v>
      </c>
      <c r="M649" s="1">
        <v>46035.596099537041</v>
      </c>
      <c r="N649" s="1">
        <v>46035.603877314818</v>
      </c>
      <c r="O649" s="3" t="s">
        <v>621</v>
      </c>
      <c r="P649" s="3" t="s">
        <v>94</v>
      </c>
      <c r="Q649" s="3" t="s">
        <v>42</v>
      </c>
      <c r="R649" s="3" t="s">
        <v>93</v>
      </c>
      <c r="S649" s="3" t="s">
        <v>37</v>
      </c>
      <c r="T649" s="3" t="s">
        <v>36</v>
      </c>
      <c r="U649" s="4" t="b">
        <v>1</v>
      </c>
      <c r="V649" s="3" t="s">
        <v>28</v>
      </c>
      <c r="W649" s="1"/>
      <c r="Y649" s="3" t="s">
        <v>29</v>
      </c>
      <c r="Z649" s="3" t="s">
        <v>29</v>
      </c>
      <c r="AA649" s="3"/>
      <c r="AB649" s="3"/>
      <c r="AC649" s="4" t="s">
        <v>30</v>
      </c>
      <c r="AD649" s="3"/>
      <c r="AE649" s="3" t="s">
        <v>94</v>
      </c>
      <c r="AF649" s="4" t="s">
        <v>30</v>
      </c>
      <c r="AH649" s="4">
        <v>0</v>
      </c>
      <c r="AI649" s="3" t="s">
        <v>3862</v>
      </c>
      <c r="AJ649" s="4"/>
      <c r="AK649" s="4"/>
      <c r="AL649" s="3"/>
    </row>
    <row r="650" spans="1:38" x14ac:dyDescent="0.35">
      <c r="A650" s="3" t="s">
        <v>3863</v>
      </c>
      <c r="B650" s="4" t="s">
        <v>3868</v>
      </c>
      <c r="C650" s="4">
        <f>VLOOKUP(A650, [1]Planilha1!$A$3:$B$1015,2,FALSE)</f>
        <v>1650</v>
      </c>
      <c r="D650" s="4">
        <f t="shared" si="10"/>
        <v>0.45833333333333331</v>
      </c>
      <c r="E650" s="4" t="s">
        <v>1125</v>
      </c>
      <c r="F650" s="3" t="s">
        <v>3865</v>
      </c>
      <c r="G650" s="3" t="s">
        <v>74</v>
      </c>
      <c r="H650" s="3" t="s">
        <v>44</v>
      </c>
      <c r="I650" s="3" t="s">
        <v>33</v>
      </c>
      <c r="J650" s="3" t="s">
        <v>41</v>
      </c>
      <c r="L650" s="1">
        <v>46035.593784722223</v>
      </c>
      <c r="M650" s="1">
        <v>46035.596608796295</v>
      </c>
      <c r="N650" s="1">
        <v>46035.606157407405</v>
      </c>
      <c r="O650" s="3" t="s">
        <v>43</v>
      </c>
      <c r="P650" s="3" t="s">
        <v>3868</v>
      </c>
      <c r="Q650" s="3" t="s">
        <v>42</v>
      </c>
      <c r="R650" s="3" t="s">
        <v>3867</v>
      </c>
      <c r="S650" s="3" t="s">
        <v>80</v>
      </c>
      <c r="T650" s="3" t="s">
        <v>79</v>
      </c>
      <c r="U650" s="4" t="b">
        <v>1</v>
      </c>
      <c r="V650" s="3" t="s">
        <v>31</v>
      </c>
      <c r="W650" s="1"/>
      <c r="Y650" s="3" t="s">
        <v>32</v>
      </c>
      <c r="Z650" s="3" t="s">
        <v>32</v>
      </c>
      <c r="AA650" s="3"/>
      <c r="AB650" s="3"/>
      <c r="AC650" s="4" t="s">
        <v>30</v>
      </c>
      <c r="AD650" s="3"/>
      <c r="AE650" s="3" t="s">
        <v>3868</v>
      </c>
      <c r="AF650" s="4" t="s">
        <v>30</v>
      </c>
      <c r="AH650" s="4">
        <v>1</v>
      </c>
      <c r="AI650" s="3" t="s">
        <v>3864</v>
      </c>
      <c r="AJ650" s="4" t="s">
        <v>3866</v>
      </c>
      <c r="AK650" s="4"/>
      <c r="AL650" s="3"/>
    </row>
    <row r="651" spans="1:38" x14ac:dyDescent="0.35">
      <c r="A651" s="3" t="s">
        <v>3869</v>
      </c>
      <c r="B651" s="4" t="s">
        <v>2466</v>
      </c>
      <c r="C651" s="4">
        <f>VLOOKUP(A651, [1]Planilha1!$A$3:$B$1015,2,FALSE)</f>
        <v>0</v>
      </c>
      <c r="D651" s="4">
        <f t="shared" si="10"/>
        <v>0</v>
      </c>
      <c r="E651" s="4" t="s">
        <v>1125</v>
      </c>
      <c r="F651" s="3" t="s">
        <v>2463</v>
      </c>
      <c r="G651" s="3" t="s">
        <v>233</v>
      </c>
      <c r="H651" s="3" t="s">
        <v>237</v>
      </c>
      <c r="I651" s="3" t="s">
        <v>33</v>
      </c>
      <c r="J651" s="3" t="s">
        <v>60</v>
      </c>
      <c r="K651" s="3" t="s">
        <v>2462</v>
      </c>
      <c r="L651" s="1">
        <v>46035.588530092595</v>
      </c>
      <c r="M651" s="1">
        <v>46035.613865740743</v>
      </c>
      <c r="N651" s="1">
        <v>46038.625</v>
      </c>
      <c r="O651" s="3" t="s">
        <v>1370</v>
      </c>
      <c r="P651" s="3" t="s">
        <v>2466</v>
      </c>
      <c r="Q651" s="3" t="s">
        <v>35</v>
      </c>
      <c r="R651" s="3" t="s">
        <v>2465</v>
      </c>
      <c r="S651" s="3" t="s">
        <v>144</v>
      </c>
      <c r="T651" s="3" t="s">
        <v>143</v>
      </c>
      <c r="U651" s="4" t="b">
        <v>1</v>
      </c>
      <c r="V651" s="3" t="s">
        <v>31</v>
      </c>
      <c r="W651" s="1"/>
      <c r="Y651" s="3" t="s">
        <v>32</v>
      </c>
      <c r="Z651" s="3" t="s">
        <v>32</v>
      </c>
      <c r="AA651" s="3"/>
      <c r="AB651" s="3"/>
      <c r="AC651" s="4" t="s">
        <v>30</v>
      </c>
      <c r="AD651" s="3"/>
      <c r="AE651" s="3" t="s">
        <v>2466</v>
      </c>
      <c r="AF651" s="4" t="s">
        <v>30</v>
      </c>
      <c r="AH651" s="4">
        <v>0</v>
      </c>
      <c r="AI651" s="3" t="s">
        <v>3870</v>
      </c>
      <c r="AJ651" s="4" t="s">
        <v>2464</v>
      </c>
      <c r="AK651" s="4"/>
      <c r="AL651" s="3"/>
    </row>
    <row r="652" spans="1:38" x14ac:dyDescent="0.35">
      <c r="A652" s="3" t="s">
        <v>3871</v>
      </c>
      <c r="B652" s="4" t="s">
        <v>3876</v>
      </c>
      <c r="C652" s="4">
        <f>VLOOKUP(A652, [1]Planilha1!$A$3:$B$1015,2,FALSE)</f>
        <v>2078</v>
      </c>
      <c r="D652" s="4">
        <f t="shared" si="10"/>
        <v>0.57722222222222219</v>
      </c>
      <c r="E652" s="4" t="s">
        <v>1125</v>
      </c>
      <c r="F652" s="3" t="s">
        <v>3873</v>
      </c>
      <c r="G652" s="3" t="s">
        <v>44</v>
      </c>
      <c r="H652" s="3" t="s">
        <v>44</v>
      </c>
      <c r="I652" s="3" t="s">
        <v>33</v>
      </c>
      <c r="J652" s="3" t="s">
        <v>41</v>
      </c>
      <c r="L652" s="1">
        <v>46035.577326388891</v>
      </c>
      <c r="M652" s="1">
        <v>46035.579004629632</v>
      </c>
      <c r="N652" s="1">
        <v>46035.59103009259</v>
      </c>
      <c r="O652" s="3" t="s">
        <v>43</v>
      </c>
      <c r="P652" s="3" t="s">
        <v>3876</v>
      </c>
      <c r="Q652" s="3" t="s">
        <v>42</v>
      </c>
      <c r="R652" s="3" t="s">
        <v>3875</v>
      </c>
      <c r="S652" s="3" t="s">
        <v>96</v>
      </c>
      <c r="T652" s="3" t="s">
        <v>95</v>
      </c>
      <c r="U652" s="4" t="b">
        <v>1</v>
      </c>
      <c r="V652" s="3" t="s">
        <v>31</v>
      </c>
      <c r="W652" s="1"/>
      <c r="Y652" s="3" t="s">
        <v>32</v>
      </c>
      <c r="Z652" s="3" t="s">
        <v>32</v>
      </c>
      <c r="AA652" s="3"/>
      <c r="AB652" s="3"/>
      <c r="AC652" s="4" t="s">
        <v>30</v>
      </c>
      <c r="AD652" s="3"/>
      <c r="AE652" s="3" t="s">
        <v>3876</v>
      </c>
      <c r="AF652" s="4" t="s">
        <v>30</v>
      </c>
      <c r="AH652" s="4">
        <v>1</v>
      </c>
      <c r="AI652" s="3" t="s">
        <v>3872</v>
      </c>
      <c r="AJ652" s="4" t="s">
        <v>3874</v>
      </c>
      <c r="AK652" s="4"/>
      <c r="AL652" s="3"/>
    </row>
    <row r="653" spans="1:38" x14ac:dyDescent="0.35">
      <c r="A653" s="3" t="s">
        <v>3877</v>
      </c>
      <c r="B653" s="4" t="s">
        <v>3883</v>
      </c>
      <c r="C653" s="4">
        <f>VLOOKUP(A653, [1]Planilha1!$A$3:$B$1015,2,FALSE)</f>
        <v>2278</v>
      </c>
      <c r="D653" s="4">
        <f t="shared" si="10"/>
        <v>0.63277777777777777</v>
      </c>
      <c r="E653" s="4" t="s">
        <v>1125</v>
      </c>
      <c r="F653" s="3" t="s">
        <v>3880</v>
      </c>
      <c r="G653" s="3" t="s">
        <v>134</v>
      </c>
      <c r="H653" s="3" t="s">
        <v>138</v>
      </c>
      <c r="I653" s="3" t="s">
        <v>33</v>
      </c>
      <c r="J653" s="3" t="s">
        <v>60</v>
      </c>
      <c r="K653" s="3" t="s">
        <v>3879</v>
      </c>
      <c r="L653" s="1">
        <v>46035.571504629632</v>
      </c>
      <c r="M653" s="1">
        <v>46035.571504629632</v>
      </c>
      <c r="N653" s="1">
        <v>46038.625</v>
      </c>
      <c r="O653" s="3" t="s">
        <v>137</v>
      </c>
      <c r="P653" s="3" t="s">
        <v>3883</v>
      </c>
      <c r="Q653" s="3" t="s">
        <v>35</v>
      </c>
      <c r="R653" s="3" t="s">
        <v>3882</v>
      </c>
      <c r="S653" s="3" t="s">
        <v>37</v>
      </c>
      <c r="T653" s="3" t="s">
        <v>36</v>
      </c>
      <c r="U653" s="4" t="b">
        <v>1</v>
      </c>
      <c r="V653" s="3" t="s">
        <v>28</v>
      </c>
      <c r="W653" s="1"/>
      <c r="Y653" s="3" t="s">
        <v>29</v>
      </c>
      <c r="Z653" s="3" t="s">
        <v>29</v>
      </c>
      <c r="AA653" s="3"/>
      <c r="AB653" s="3"/>
      <c r="AC653" s="4" t="s">
        <v>30</v>
      </c>
      <c r="AD653" s="3"/>
      <c r="AE653" s="3" t="s">
        <v>3883</v>
      </c>
      <c r="AF653" s="4" t="s">
        <v>30</v>
      </c>
      <c r="AH653" s="4">
        <v>0</v>
      </c>
      <c r="AI653" s="3" t="s">
        <v>3878</v>
      </c>
      <c r="AJ653" s="4" t="s">
        <v>3881</v>
      </c>
      <c r="AK653" s="4"/>
      <c r="AL653" s="3"/>
    </row>
    <row r="654" spans="1:38" x14ac:dyDescent="0.35">
      <c r="A654" s="3" t="s">
        <v>3884</v>
      </c>
      <c r="B654" s="4" t="s">
        <v>2887</v>
      </c>
      <c r="C654" s="4">
        <f>VLOOKUP(A654, [1]Planilha1!$A$3:$B$1015,2,FALSE)</f>
        <v>2994</v>
      </c>
      <c r="D654" s="4">
        <f t="shared" si="10"/>
        <v>0.83166666666666667</v>
      </c>
      <c r="E654" s="4" t="s">
        <v>1125</v>
      </c>
      <c r="F654" s="3" t="s">
        <v>2885</v>
      </c>
      <c r="G654" s="3" t="s">
        <v>214</v>
      </c>
      <c r="H654" s="3" t="s">
        <v>44</v>
      </c>
      <c r="I654" s="3" t="s">
        <v>33</v>
      </c>
      <c r="J654" s="3" t="s">
        <v>41</v>
      </c>
      <c r="K654" s="3" t="s">
        <v>2884</v>
      </c>
      <c r="L654" s="1">
        <v>46035.562662037039</v>
      </c>
      <c r="M654" s="1">
        <v>46035.58792824074</v>
      </c>
      <c r="N654" s="1">
        <v>46035.605254629627</v>
      </c>
      <c r="O654" s="3" t="s">
        <v>43</v>
      </c>
      <c r="P654" s="3" t="s">
        <v>2887</v>
      </c>
      <c r="Q654" s="3" t="s">
        <v>42</v>
      </c>
      <c r="R654" s="3" t="s">
        <v>2886</v>
      </c>
      <c r="S654" s="3" t="s">
        <v>144</v>
      </c>
      <c r="T654" s="3" t="s">
        <v>143</v>
      </c>
      <c r="U654" s="4" t="b">
        <v>1</v>
      </c>
      <c r="V654" s="3" t="s">
        <v>31</v>
      </c>
      <c r="W654" s="1"/>
      <c r="Y654" s="3" t="s">
        <v>32</v>
      </c>
      <c r="Z654" s="3" t="s">
        <v>32</v>
      </c>
      <c r="AA654" s="3"/>
      <c r="AB654" s="3"/>
      <c r="AC654" s="4" t="s">
        <v>30</v>
      </c>
      <c r="AD654" s="3"/>
      <c r="AE654" s="3" t="s">
        <v>2887</v>
      </c>
      <c r="AF654" s="4" t="s">
        <v>30</v>
      </c>
      <c r="AH654" s="4">
        <v>1</v>
      </c>
      <c r="AI654" s="3" t="s">
        <v>3885</v>
      </c>
      <c r="AJ654" s="4" t="s">
        <v>5883</v>
      </c>
      <c r="AK654" s="4"/>
      <c r="AL654" s="3"/>
    </row>
    <row r="655" spans="1:38" x14ac:dyDescent="0.35">
      <c r="A655" s="3" t="s">
        <v>3886</v>
      </c>
      <c r="B655" s="4" t="s">
        <v>3890</v>
      </c>
      <c r="C655" s="4">
        <f>VLOOKUP(A655, [1]Planilha1!$A$3:$B$1015,2,FALSE)</f>
        <v>32036</v>
      </c>
      <c r="D655" s="4">
        <f t="shared" si="10"/>
        <v>8.8988888888888891</v>
      </c>
      <c r="E655" s="4" t="s">
        <v>1125</v>
      </c>
      <c r="F655" s="3" t="s">
        <v>3888</v>
      </c>
      <c r="G655" s="3" t="s">
        <v>2955</v>
      </c>
      <c r="H655" s="3" t="s">
        <v>622</v>
      </c>
      <c r="I655" s="3" t="s">
        <v>33</v>
      </c>
      <c r="J655" s="3" t="s">
        <v>41</v>
      </c>
      <c r="L655" s="1">
        <v>46035.540543981479</v>
      </c>
      <c r="M655" s="1">
        <v>46035.548182870371</v>
      </c>
      <c r="N655" s="1">
        <v>46035.733576388891</v>
      </c>
      <c r="O655" s="3" t="s">
        <v>621</v>
      </c>
      <c r="P655" s="3" t="s">
        <v>3890</v>
      </c>
      <c r="Q655" s="3" t="s">
        <v>42</v>
      </c>
      <c r="R655" s="3" t="s">
        <v>3858</v>
      </c>
      <c r="S655" s="3" t="s">
        <v>339</v>
      </c>
      <c r="T655" s="3" t="s">
        <v>338</v>
      </c>
      <c r="U655" s="4" t="b">
        <v>1</v>
      </c>
      <c r="V655" s="3" t="s">
        <v>31</v>
      </c>
      <c r="W655" s="1"/>
      <c r="Y655" s="3" t="s">
        <v>32</v>
      </c>
      <c r="Z655" s="3" t="s">
        <v>32</v>
      </c>
      <c r="AA655" s="3"/>
      <c r="AB655" s="3"/>
      <c r="AC655" s="4" t="s">
        <v>30</v>
      </c>
      <c r="AD655" s="3"/>
      <c r="AE655" s="3" t="s">
        <v>3890</v>
      </c>
      <c r="AF655" s="4" t="s">
        <v>30</v>
      </c>
      <c r="AH655" s="4">
        <v>2</v>
      </c>
      <c r="AI655" s="3" t="s">
        <v>3887</v>
      </c>
      <c r="AJ655" s="4" t="s">
        <v>3889</v>
      </c>
      <c r="AK655" s="4"/>
      <c r="AL655" s="3"/>
    </row>
    <row r="656" spans="1:38" x14ac:dyDescent="0.35">
      <c r="A656" s="3" t="s">
        <v>3891</v>
      </c>
      <c r="B656" s="4" t="s">
        <v>1229</v>
      </c>
      <c r="C656" s="4">
        <f>VLOOKUP(A656, [1]Planilha1!$A$3:$B$1015,2,FALSE)</f>
        <v>29696</v>
      </c>
      <c r="D656" s="4">
        <f t="shared" si="10"/>
        <v>8.2488888888888887</v>
      </c>
      <c r="E656" s="4" t="s">
        <v>1125</v>
      </c>
      <c r="F656" s="3" t="s">
        <v>1226</v>
      </c>
      <c r="G656" s="3" t="s">
        <v>3892</v>
      </c>
      <c r="H656" s="3" t="s">
        <v>171</v>
      </c>
      <c r="I656" s="3" t="s">
        <v>33</v>
      </c>
      <c r="J656" s="3" t="s">
        <v>41</v>
      </c>
      <c r="L656" s="1">
        <v>46035.536458333336</v>
      </c>
      <c r="M656" s="1">
        <v>46035.536458333336</v>
      </c>
      <c r="N656" s="1">
        <v>46035.671018518522</v>
      </c>
      <c r="O656" s="3" t="s">
        <v>170</v>
      </c>
      <c r="P656" s="3" t="s">
        <v>1229</v>
      </c>
      <c r="Q656" s="3" t="s">
        <v>35</v>
      </c>
      <c r="R656" s="3" t="s">
        <v>1228</v>
      </c>
      <c r="S656" s="3" t="s">
        <v>37</v>
      </c>
      <c r="T656" s="3" t="s">
        <v>36</v>
      </c>
      <c r="U656" s="4" t="b">
        <v>1</v>
      </c>
      <c r="V656" s="3" t="s">
        <v>28</v>
      </c>
      <c r="W656" s="1"/>
      <c r="Y656" s="3" t="s">
        <v>29</v>
      </c>
      <c r="Z656" s="3" t="s">
        <v>29</v>
      </c>
      <c r="AA656" s="3"/>
      <c r="AB656" s="3"/>
      <c r="AC656" s="4" t="s">
        <v>30</v>
      </c>
      <c r="AD656" s="3"/>
      <c r="AE656" s="3" t="s">
        <v>1229</v>
      </c>
      <c r="AF656" s="4" t="s">
        <v>30</v>
      </c>
      <c r="AH656" s="4">
        <v>1</v>
      </c>
      <c r="AI656" s="3" t="s">
        <v>3893</v>
      </c>
      <c r="AJ656" s="4" t="s">
        <v>1227</v>
      </c>
      <c r="AK656" s="4"/>
      <c r="AL656" s="3"/>
    </row>
    <row r="657" spans="1:38" x14ac:dyDescent="0.35">
      <c r="A657" s="3" t="s">
        <v>3894</v>
      </c>
      <c r="B657" s="4" t="s">
        <v>3900</v>
      </c>
      <c r="C657" s="4">
        <f>VLOOKUP(A657, [1]Planilha1!$A$3:$B$1015,2,FALSE)</f>
        <v>0</v>
      </c>
      <c r="D657" s="4">
        <f t="shared" si="10"/>
        <v>0</v>
      </c>
      <c r="E657" s="4" t="s">
        <v>1125</v>
      </c>
      <c r="F657" s="3" t="s">
        <v>3897</v>
      </c>
      <c r="G657" s="3" t="s">
        <v>214</v>
      </c>
      <c r="H657" s="3" t="s">
        <v>44</v>
      </c>
      <c r="I657" s="3" t="s">
        <v>33</v>
      </c>
      <c r="J657" s="3" t="s">
        <v>60</v>
      </c>
      <c r="K657" s="3" t="s">
        <v>3896</v>
      </c>
      <c r="L657" s="1">
        <v>46035.532997685186</v>
      </c>
      <c r="M657" s="1">
        <v>46035.552499999998</v>
      </c>
      <c r="N657" s="1">
        <v>46038.583344907405</v>
      </c>
      <c r="O657" s="3" t="s">
        <v>43</v>
      </c>
      <c r="P657" s="3" t="s">
        <v>3900</v>
      </c>
      <c r="Q657" s="3" t="s">
        <v>35</v>
      </c>
      <c r="R657" s="3" t="s">
        <v>3899</v>
      </c>
      <c r="S657" s="3" t="s">
        <v>144</v>
      </c>
      <c r="T657" s="3" t="s">
        <v>143</v>
      </c>
      <c r="U657" s="4" t="b">
        <v>1</v>
      </c>
      <c r="V657" s="3" t="s">
        <v>31</v>
      </c>
      <c r="W657" s="1"/>
      <c r="Y657" s="3" t="s">
        <v>32</v>
      </c>
      <c r="Z657" s="3" t="s">
        <v>32</v>
      </c>
      <c r="AA657" s="3"/>
      <c r="AB657" s="3"/>
      <c r="AC657" s="4" t="s">
        <v>30</v>
      </c>
      <c r="AD657" s="3"/>
      <c r="AE657" s="3" t="s">
        <v>3900</v>
      </c>
      <c r="AF657" s="4" t="s">
        <v>30</v>
      </c>
      <c r="AH657" s="4">
        <v>0</v>
      </c>
      <c r="AI657" s="3" t="s">
        <v>3895</v>
      </c>
      <c r="AJ657" s="4" t="s">
        <v>3898</v>
      </c>
      <c r="AK657" s="4"/>
      <c r="AL657" s="3"/>
    </row>
    <row r="658" spans="1:38" x14ac:dyDescent="0.35">
      <c r="A658" s="3" t="s">
        <v>3901</v>
      </c>
      <c r="B658" s="4" t="s">
        <v>3906</v>
      </c>
      <c r="C658" s="4">
        <f>VLOOKUP(A658, [1]Planilha1!$A$3:$B$1015,2,FALSE)</f>
        <v>6668</v>
      </c>
      <c r="D658" s="4">
        <f t="shared" si="10"/>
        <v>1.8522222222222222</v>
      </c>
      <c r="E658" s="4" t="s">
        <v>1125</v>
      </c>
      <c r="F658" s="3" t="s">
        <v>3903</v>
      </c>
      <c r="G658" s="3" t="s">
        <v>214</v>
      </c>
      <c r="H658" s="3" t="s">
        <v>44</v>
      </c>
      <c r="I658" s="3" t="s">
        <v>33</v>
      </c>
      <c r="J658" s="3" t="s">
        <v>41</v>
      </c>
      <c r="K658" s="3" t="s">
        <v>3896</v>
      </c>
      <c r="L658" s="1">
        <v>46035.532337962963</v>
      </c>
      <c r="M658" s="1">
        <v>46035.551574074074</v>
      </c>
      <c r="N658" s="1">
        <v>46035.590162037035</v>
      </c>
      <c r="O658" s="3" t="s">
        <v>43</v>
      </c>
      <c r="P658" s="3" t="s">
        <v>3906</v>
      </c>
      <c r="Q658" s="3" t="s">
        <v>42</v>
      </c>
      <c r="R658" s="3" t="s">
        <v>3905</v>
      </c>
      <c r="S658" s="3" t="s">
        <v>144</v>
      </c>
      <c r="T658" s="3" t="s">
        <v>143</v>
      </c>
      <c r="U658" s="4" t="b">
        <v>1</v>
      </c>
      <c r="V658" s="3" t="s">
        <v>31</v>
      </c>
      <c r="W658" s="1"/>
      <c r="Y658" s="3" t="s">
        <v>32</v>
      </c>
      <c r="Z658" s="3" t="s">
        <v>32</v>
      </c>
      <c r="AA658" s="3"/>
      <c r="AB658" s="3"/>
      <c r="AC658" s="4" t="s">
        <v>30</v>
      </c>
      <c r="AD658" s="3"/>
      <c r="AE658" s="3" t="s">
        <v>3906</v>
      </c>
      <c r="AF658" s="4" t="s">
        <v>30</v>
      </c>
      <c r="AH658" s="4">
        <v>1</v>
      </c>
      <c r="AI658" s="3" t="s">
        <v>3902</v>
      </c>
      <c r="AJ658" s="4" t="s">
        <v>3904</v>
      </c>
      <c r="AK658" s="4"/>
      <c r="AL658" s="3"/>
    </row>
    <row r="659" spans="1:38" x14ac:dyDescent="0.35">
      <c r="A659" s="3" t="s">
        <v>3907</v>
      </c>
      <c r="B659" s="4" t="s">
        <v>3910</v>
      </c>
      <c r="C659" s="4">
        <f>VLOOKUP(A659, [1]Planilha1!$A$3:$B$1015,2,FALSE)</f>
        <v>0</v>
      </c>
      <c r="D659" s="4">
        <f t="shared" si="10"/>
        <v>0</v>
      </c>
      <c r="E659" s="4" t="s">
        <v>1125</v>
      </c>
      <c r="F659" s="3" t="s">
        <v>3897</v>
      </c>
      <c r="G659" s="3" t="s">
        <v>214</v>
      </c>
      <c r="H659" s="3" t="s">
        <v>44</v>
      </c>
      <c r="I659" s="3" t="s">
        <v>33</v>
      </c>
      <c r="J659" s="3" t="s">
        <v>60</v>
      </c>
      <c r="K659" s="3" t="s">
        <v>3896</v>
      </c>
      <c r="L659" s="1">
        <v>46035.523078703707</v>
      </c>
      <c r="M659" s="1">
        <v>46035.552152777775</v>
      </c>
      <c r="N659" s="1">
        <v>46038.583344907405</v>
      </c>
      <c r="O659" s="3" t="s">
        <v>43</v>
      </c>
      <c r="P659" s="3" t="s">
        <v>3910</v>
      </c>
      <c r="Q659" s="3" t="s">
        <v>35</v>
      </c>
      <c r="R659" s="3" t="s">
        <v>3899</v>
      </c>
      <c r="S659" s="3" t="s">
        <v>144</v>
      </c>
      <c r="T659" s="3" t="s">
        <v>143</v>
      </c>
      <c r="U659" s="4" t="b">
        <v>1</v>
      </c>
      <c r="V659" s="3" t="s">
        <v>31</v>
      </c>
      <c r="W659" s="1"/>
      <c r="Y659" s="3" t="s">
        <v>32</v>
      </c>
      <c r="Z659" s="3" t="s">
        <v>32</v>
      </c>
      <c r="AA659" s="3"/>
      <c r="AB659" s="3"/>
      <c r="AC659" s="4" t="s">
        <v>30</v>
      </c>
      <c r="AD659" s="3"/>
      <c r="AE659" s="3" t="s">
        <v>3910</v>
      </c>
      <c r="AF659" s="4" t="s">
        <v>30</v>
      </c>
      <c r="AH659" s="4">
        <v>0</v>
      </c>
      <c r="AI659" s="3" t="s">
        <v>3908</v>
      </c>
      <c r="AJ659" s="4" t="s">
        <v>3909</v>
      </c>
      <c r="AK659" s="4"/>
      <c r="AL659" s="3"/>
    </row>
    <row r="660" spans="1:38" x14ac:dyDescent="0.35">
      <c r="A660" s="3" t="s">
        <v>3911</v>
      </c>
      <c r="B660" s="4"/>
      <c r="C660" s="4">
        <f>VLOOKUP(A660, [1]Planilha1!$A$3:$B$1015,2,FALSE)</f>
        <v>8858</v>
      </c>
      <c r="D660" s="4">
        <f t="shared" si="10"/>
        <v>2.4605555555555556</v>
      </c>
      <c r="E660" s="4" t="s">
        <v>1125</v>
      </c>
      <c r="F660" s="3" t="s">
        <v>3913</v>
      </c>
      <c r="G660" s="3" t="s">
        <v>1231</v>
      </c>
      <c r="H660" s="3" t="s">
        <v>44</v>
      </c>
      <c r="I660" s="3" t="s">
        <v>33</v>
      </c>
      <c r="J660" s="3" t="s">
        <v>41</v>
      </c>
      <c r="L660" s="1">
        <v>46035.502222222225</v>
      </c>
      <c r="M660" s="1">
        <v>46035.504050925927</v>
      </c>
      <c r="N660" s="1">
        <v>46035.555312500001</v>
      </c>
      <c r="O660" s="3" t="s">
        <v>43</v>
      </c>
      <c r="Q660" s="3" t="s">
        <v>42</v>
      </c>
      <c r="R660" s="3" t="s">
        <v>3915</v>
      </c>
      <c r="S660" s="3" t="s">
        <v>1234</v>
      </c>
      <c r="T660" s="3" t="s">
        <v>1233</v>
      </c>
      <c r="U660" s="4" t="b">
        <v>1</v>
      </c>
      <c r="V660" s="3" t="s">
        <v>31</v>
      </c>
      <c r="W660" s="1"/>
      <c r="Y660" s="3" t="s">
        <v>32</v>
      </c>
      <c r="Z660" s="3" t="s">
        <v>32</v>
      </c>
      <c r="AA660" s="3"/>
      <c r="AB660" s="3"/>
      <c r="AC660" s="4" t="s">
        <v>30</v>
      </c>
      <c r="AD660" s="3"/>
      <c r="AE660" s="3"/>
      <c r="AF660" s="4" t="s">
        <v>30</v>
      </c>
      <c r="AH660" s="4">
        <v>1</v>
      </c>
      <c r="AI660" s="3" t="s">
        <v>3912</v>
      </c>
      <c r="AJ660" s="4" t="s">
        <v>3914</v>
      </c>
      <c r="AK660" s="4"/>
      <c r="AL660" s="3"/>
    </row>
    <row r="661" spans="1:38" x14ac:dyDescent="0.35">
      <c r="A661" s="3" t="s">
        <v>3916</v>
      </c>
      <c r="B661" s="4" t="s">
        <v>3922</v>
      </c>
      <c r="C661" s="4">
        <f>VLOOKUP(A661, [1]Planilha1!$A$3:$B$1015,2,FALSE)</f>
        <v>0</v>
      </c>
      <c r="D661" s="4">
        <f t="shared" si="10"/>
        <v>0</v>
      </c>
      <c r="E661" s="4" t="s">
        <v>1125</v>
      </c>
      <c r="F661" s="3" t="s">
        <v>3919</v>
      </c>
      <c r="G661" s="3" t="s">
        <v>1874</v>
      </c>
      <c r="H661" s="3" t="s">
        <v>224</v>
      </c>
      <c r="I661" s="3" t="s">
        <v>33</v>
      </c>
      <c r="J661" s="3" t="s">
        <v>60</v>
      </c>
      <c r="K661" s="3" t="s">
        <v>3918</v>
      </c>
      <c r="L661" s="1">
        <v>46035.501481481479</v>
      </c>
      <c r="M661" s="1">
        <v>46035.518368055556</v>
      </c>
      <c r="N661" s="1">
        <v>46038.541678240741</v>
      </c>
      <c r="O661" s="3" t="s">
        <v>223</v>
      </c>
      <c r="P661" s="3" t="s">
        <v>3922</v>
      </c>
      <c r="Q661" s="3" t="s">
        <v>35</v>
      </c>
      <c r="R661" s="3" t="s">
        <v>3921</v>
      </c>
      <c r="S661" s="3" t="s">
        <v>144</v>
      </c>
      <c r="T661" s="3" t="s">
        <v>143</v>
      </c>
      <c r="U661" s="4" t="b">
        <v>1</v>
      </c>
      <c r="V661" s="3" t="s">
        <v>31</v>
      </c>
      <c r="W661" s="1"/>
      <c r="Y661" s="3" t="s">
        <v>32</v>
      </c>
      <c r="Z661" s="3" t="s">
        <v>32</v>
      </c>
      <c r="AA661" s="3"/>
      <c r="AB661" s="3"/>
      <c r="AC661" s="4" t="s">
        <v>30</v>
      </c>
      <c r="AD661" s="3"/>
      <c r="AE661" s="3" t="s">
        <v>3922</v>
      </c>
      <c r="AF661" s="4" t="s">
        <v>30</v>
      </c>
      <c r="AH661" s="4">
        <v>0</v>
      </c>
      <c r="AI661" s="3" t="s">
        <v>3917</v>
      </c>
      <c r="AJ661" s="4" t="s">
        <v>3920</v>
      </c>
      <c r="AK661" s="4"/>
      <c r="AL661" s="3"/>
    </row>
    <row r="662" spans="1:38" x14ac:dyDescent="0.35">
      <c r="A662" s="3" t="s">
        <v>3923</v>
      </c>
      <c r="B662" s="4" t="s">
        <v>3928</v>
      </c>
      <c r="C662" s="4">
        <f>VLOOKUP(A662, [1]Planilha1!$A$3:$B$1015,2,FALSE)</f>
        <v>8133</v>
      </c>
      <c r="D662" s="4">
        <f t="shared" si="10"/>
        <v>2.2591666666666668</v>
      </c>
      <c r="E662" s="4" t="s">
        <v>1125</v>
      </c>
      <c r="F662" s="3" t="s">
        <v>3925</v>
      </c>
      <c r="G662" s="3" t="s">
        <v>938</v>
      </c>
      <c r="H662" s="3" t="s">
        <v>163</v>
      </c>
      <c r="I662" s="3" t="s">
        <v>33</v>
      </c>
      <c r="J662" s="3" t="s">
        <v>41</v>
      </c>
      <c r="L662" s="1">
        <v>46035.499849537038</v>
      </c>
      <c r="M662" s="1">
        <v>46035.499849537038</v>
      </c>
      <c r="N662" s="1">
        <v>46035.531226851854</v>
      </c>
      <c r="O662" s="3" t="s">
        <v>162</v>
      </c>
      <c r="P662" s="3" t="s">
        <v>3928</v>
      </c>
      <c r="Q662" s="3" t="s">
        <v>42</v>
      </c>
      <c r="R662" s="3" t="s">
        <v>3927</v>
      </c>
      <c r="S662" s="3" t="s">
        <v>37</v>
      </c>
      <c r="T662" s="3" t="s">
        <v>36</v>
      </c>
      <c r="U662" s="4" t="b">
        <v>1</v>
      </c>
      <c r="V662" s="3" t="s">
        <v>28</v>
      </c>
      <c r="W662" s="1"/>
      <c r="Y662" s="3" t="s">
        <v>29</v>
      </c>
      <c r="Z662" s="3" t="s">
        <v>29</v>
      </c>
      <c r="AA662" s="3"/>
      <c r="AB662" s="3"/>
      <c r="AC662" s="4" t="s">
        <v>30</v>
      </c>
      <c r="AD662" s="3"/>
      <c r="AE662" s="3" t="s">
        <v>3928</v>
      </c>
      <c r="AF662" s="4" t="s">
        <v>30</v>
      </c>
      <c r="AH662" s="4">
        <v>0</v>
      </c>
      <c r="AI662" s="3" t="s">
        <v>3924</v>
      </c>
      <c r="AJ662" s="4" t="s">
        <v>3926</v>
      </c>
      <c r="AK662" s="4"/>
      <c r="AL662" s="3"/>
    </row>
    <row r="663" spans="1:38" x14ac:dyDescent="0.35">
      <c r="A663" s="3" t="s">
        <v>3929</v>
      </c>
      <c r="B663" s="4" t="s">
        <v>3928</v>
      </c>
      <c r="C663" s="4">
        <f>VLOOKUP(A663, [1]Planilha1!$A$3:$B$1015,2,FALSE)</f>
        <v>5218</v>
      </c>
      <c r="D663" s="4">
        <f t="shared" si="10"/>
        <v>1.4494444444444445</v>
      </c>
      <c r="E663" s="4" t="s">
        <v>1125</v>
      </c>
      <c r="F663" s="3" t="s">
        <v>3925</v>
      </c>
      <c r="G663" s="3" t="s">
        <v>3930</v>
      </c>
      <c r="H663" s="3" t="s">
        <v>66</v>
      </c>
      <c r="I663" s="3" t="s">
        <v>33</v>
      </c>
      <c r="J663" s="3" t="s">
        <v>41</v>
      </c>
      <c r="L663" s="1">
        <v>46035.498414351852</v>
      </c>
      <c r="M663" s="1">
        <v>46035.498414351852</v>
      </c>
      <c r="N663" s="1">
        <v>46035.528611111113</v>
      </c>
      <c r="O663" s="3" t="s">
        <v>66</v>
      </c>
      <c r="P663" s="3" t="s">
        <v>3928</v>
      </c>
      <c r="Q663" s="3" t="s">
        <v>42</v>
      </c>
      <c r="R663" s="3" t="s">
        <v>3927</v>
      </c>
      <c r="S663" s="3" t="s">
        <v>37</v>
      </c>
      <c r="T663" s="3" t="s">
        <v>36</v>
      </c>
      <c r="U663" s="4" t="b">
        <v>1</v>
      </c>
      <c r="V663" s="3" t="s">
        <v>28</v>
      </c>
      <c r="W663" s="1"/>
      <c r="Y663" s="3" t="s">
        <v>29</v>
      </c>
      <c r="Z663" s="3" t="s">
        <v>29</v>
      </c>
      <c r="AA663" s="3"/>
      <c r="AB663" s="3"/>
      <c r="AC663" s="4" t="s">
        <v>30</v>
      </c>
      <c r="AD663" s="3"/>
      <c r="AE663" s="3" t="s">
        <v>3928</v>
      </c>
      <c r="AF663" s="4" t="s">
        <v>30</v>
      </c>
      <c r="AH663" s="4">
        <v>0</v>
      </c>
      <c r="AI663" s="3" t="s">
        <v>3931</v>
      </c>
      <c r="AJ663" s="4" t="s">
        <v>3926</v>
      </c>
      <c r="AK663" s="4"/>
      <c r="AL663" s="3"/>
    </row>
    <row r="664" spans="1:38" x14ac:dyDescent="0.35">
      <c r="A664" s="3" t="s">
        <v>3932</v>
      </c>
      <c r="B664" s="4" t="s">
        <v>3937</v>
      </c>
      <c r="C664" s="4">
        <f>VLOOKUP(A664, [1]Planilha1!$A$3:$B$1015,2,FALSE)</f>
        <v>10498</v>
      </c>
      <c r="D664" s="4">
        <f t="shared" si="10"/>
        <v>2.9161111111111113</v>
      </c>
      <c r="E664" s="4" t="s">
        <v>1125</v>
      </c>
      <c r="F664" s="3" t="s">
        <v>3934</v>
      </c>
      <c r="G664" s="3" t="s">
        <v>74</v>
      </c>
      <c r="H664" s="3" t="s">
        <v>44</v>
      </c>
      <c r="I664" s="3" t="s">
        <v>33</v>
      </c>
      <c r="J664" s="3" t="s">
        <v>41</v>
      </c>
      <c r="L664" s="1">
        <v>46035.494745370372</v>
      </c>
      <c r="M664" s="1">
        <v>46035.496365740742</v>
      </c>
      <c r="N664" s="1">
        <v>46035.557118055556</v>
      </c>
      <c r="O664" s="3" t="s">
        <v>43</v>
      </c>
      <c r="P664" s="3" t="s">
        <v>3937</v>
      </c>
      <c r="Q664" s="3" t="s">
        <v>42</v>
      </c>
      <c r="R664" s="3" t="s">
        <v>3936</v>
      </c>
      <c r="S664" s="3" t="s">
        <v>80</v>
      </c>
      <c r="T664" s="3" t="s">
        <v>79</v>
      </c>
      <c r="U664" s="4" t="b">
        <v>1</v>
      </c>
      <c r="V664" s="3" t="s">
        <v>31</v>
      </c>
      <c r="W664" s="1"/>
      <c r="Y664" s="3" t="s">
        <v>32</v>
      </c>
      <c r="Z664" s="3" t="s">
        <v>32</v>
      </c>
      <c r="AA664" s="3"/>
      <c r="AB664" s="3"/>
      <c r="AC664" s="4" t="s">
        <v>30</v>
      </c>
      <c r="AD664" s="3"/>
      <c r="AE664" s="3" t="s">
        <v>3937</v>
      </c>
      <c r="AF664" s="4" t="s">
        <v>30</v>
      </c>
      <c r="AH664" s="4">
        <v>1</v>
      </c>
      <c r="AI664" s="3" t="s">
        <v>3933</v>
      </c>
      <c r="AJ664" s="4" t="s">
        <v>3935</v>
      </c>
      <c r="AK664" s="4"/>
      <c r="AL664" s="3"/>
    </row>
    <row r="665" spans="1:38" x14ac:dyDescent="0.35">
      <c r="A665" s="3" t="s">
        <v>3942</v>
      </c>
      <c r="B665" s="4" t="s">
        <v>3859</v>
      </c>
      <c r="C665" s="4">
        <f>VLOOKUP(A665, [1]Planilha1!$A$3:$B$1015,2,FALSE)</f>
        <v>15052</v>
      </c>
      <c r="D665" s="4">
        <f t="shared" si="10"/>
        <v>4.181111111111111</v>
      </c>
      <c r="E665" s="4" t="s">
        <v>1125</v>
      </c>
      <c r="F665" s="3" t="s">
        <v>3856</v>
      </c>
      <c r="G665" s="3" t="s">
        <v>3943</v>
      </c>
      <c r="H665" s="3" t="s">
        <v>1125</v>
      </c>
      <c r="I665" s="3" t="s">
        <v>33</v>
      </c>
      <c r="J665" s="3" t="s">
        <v>41</v>
      </c>
      <c r="K665" s="3" t="s">
        <v>3886</v>
      </c>
      <c r="L665" s="1">
        <v>46035.472337962965</v>
      </c>
      <c r="M665" s="1">
        <v>46035.472337962965</v>
      </c>
      <c r="N665" s="1">
        <v>46035.736631944441</v>
      </c>
      <c r="O665" s="3" t="s">
        <v>1127</v>
      </c>
      <c r="P665" s="3" t="s">
        <v>3859</v>
      </c>
      <c r="Q665" s="3" t="s">
        <v>42</v>
      </c>
      <c r="R665" s="3" t="s">
        <v>3858</v>
      </c>
      <c r="S665" s="3" t="s">
        <v>37</v>
      </c>
      <c r="T665" s="3" t="s">
        <v>36</v>
      </c>
      <c r="U665" s="4" t="b">
        <v>1</v>
      </c>
      <c r="V665" s="3" t="s">
        <v>28</v>
      </c>
      <c r="W665" s="1"/>
      <c r="Y665" s="3" t="s">
        <v>29</v>
      </c>
      <c r="Z665" s="3" t="s">
        <v>29</v>
      </c>
      <c r="AA665" s="3"/>
      <c r="AB665" s="3"/>
      <c r="AC665" s="4" t="s">
        <v>30</v>
      </c>
      <c r="AD665" s="3"/>
      <c r="AE665" s="3" t="s">
        <v>3859</v>
      </c>
      <c r="AF665" s="4" t="s">
        <v>30</v>
      </c>
      <c r="AH665" s="4">
        <v>1</v>
      </c>
      <c r="AI665" s="3" t="s">
        <v>3944</v>
      </c>
      <c r="AJ665" s="4" t="s">
        <v>3857</v>
      </c>
      <c r="AK665" s="4"/>
      <c r="AL665" s="3"/>
    </row>
    <row r="666" spans="1:38" x14ac:dyDescent="0.35">
      <c r="A666" s="3" t="s">
        <v>3945</v>
      </c>
      <c r="B666" s="4" t="s">
        <v>94</v>
      </c>
      <c r="C666" s="4">
        <f>VLOOKUP(A666, [1]Planilha1!$A$3:$B$1015,2,FALSE)</f>
        <v>0</v>
      </c>
      <c r="D666" s="4">
        <f t="shared" si="10"/>
        <v>0</v>
      </c>
      <c r="E666" s="4" t="s">
        <v>1125</v>
      </c>
      <c r="F666" s="3" t="s">
        <v>92</v>
      </c>
      <c r="G666" s="3" t="s">
        <v>44</v>
      </c>
      <c r="H666" s="3" t="s">
        <v>44</v>
      </c>
      <c r="I666" s="3" t="s">
        <v>33</v>
      </c>
      <c r="J666" s="3" t="s">
        <v>60</v>
      </c>
      <c r="L666" s="1">
        <v>46035.467210648145</v>
      </c>
      <c r="M666" s="1">
        <v>46035.468622685185</v>
      </c>
      <c r="N666" s="1">
        <v>46038.5</v>
      </c>
      <c r="O666" s="3" t="s">
        <v>43</v>
      </c>
      <c r="P666" s="3" t="s">
        <v>94</v>
      </c>
      <c r="Q666" s="3" t="s">
        <v>35</v>
      </c>
      <c r="R666" s="3" t="s">
        <v>93</v>
      </c>
      <c r="S666" s="3" t="s">
        <v>96</v>
      </c>
      <c r="T666" s="3" t="s">
        <v>95</v>
      </c>
      <c r="U666" s="4" t="b">
        <v>1</v>
      </c>
      <c r="V666" s="3" t="s">
        <v>31</v>
      </c>
      <c r="W666" s="1"/>
      <c r="Y666" s="3" t="s">
        <v>32</v>
      </c>
      <c r="Z666" s="3" t="s">
        <v>32</v>
      </c>
      <c r="AA666" s="3"/>
      <c r="AB666" s="3"/>
      <c r="AC666" s="4" t="s">
        <v>30</v>
      </c>
      <c r="AD666" s="3"/>
      <c r="AE666" s="3" t="s">
        <v>94</v>
      </c>
      <c r="AF666" s="4" t="s">
        <v>30</v>
      </c>
      <c r="AH666" s="4">
        <v>0</v>
      </c>
      <c r="AI666" s="3" t="s">
        <v>3946</v>
      </c>
      <c r="AJ666" s="4"/>
      <c r="AK666" s="4"/>
      <c r="AL666" s="3"/>
    </row>
    <row r="667" spans="1:38" x14ac:dyDescent="0.35">
      <c r="A667" s="3" t="s">
        <v>3947</v>
      </c>
      <c r="B667" s="4" t="s">
        <v>3952</v>
      </c>
      <c r="C667" s="4">
        <f>VLOOKUP(A667, [1]Planilha1!$A$3:$B$1015,2,FALSE)</f>
        <v>11338</v>
      </c>
      <c r="D667" s="4">
        <f t="shared" si="10"/>
        <v>3.1494444444444443</v>
      </c>
      <c r="E667" s="4" t="s">
        <v>1125</v>
      </c>
      <c r="F667" s="3" t="s">
        <v>3950</v>
      </c>
      <c r="G667" s="3" t="s">
        <v>100</v>
      </c>
      <c r="H667" s="3" t="s">
        <v>44</v>
      </c>
      <c r="I667" s="3" t="s">
        <v>33</v>
      </c>
      <c r="J667" s="3" t="s">
        <v>41</v>
      </c>
      <c r="K667" s="3" t="s">
        <v>3949</v>
      </c>
      <c r="L667" s="1">
        <v>46035.465914351851</v>
      </c>
      <c r="M667" s="1">
        <v>46035.467662037037</v>
      </c>
      <c r="N667" s="1">
        <v>46035.533275462964</v>
      </c>
      <c r="O667" s="3" t="s">
        <v>43</v>
      </c>
      <c r="P667" s="3" t="s">
        <v>3952</v>
      </c>
      <c r="Q667" s="3" t="s">
        <v>42</v>
      </c>
      <c r="R667" s="3" t="s">
        <v>3951</v>
      </c>
      <c r="S667" s="3" t="s">
        <v>190</v>
      </c>
      <c r="T667" s="3" t="s">
        <v>189</v>
      </c>
      <c r="U667" s="4" t="b">
        <v>1</v>
      </c>
      <c r="V667" s="3" t="s">
        <v>31</v>
      </c>
      <c r="W667" s="1"/>
      <c r="Y667" s="3" t="s">
        <v>32</v>
      </c>
      <c r="Z667" s="3" t="s">
        <v>32</v>
      </c>
      <c r="AA667" s="3"/>
      <c r="AB667" s="3"/>
      <c r="AC667" s="4" t="s">
        <v>30</v>
      </c>
      <c r="AD667" s="3"/>
      <c r="AE667" s="3" t="s">
        <v>3952</v>
      </c>
      <c r="AF667" s="4" t="s">
        <v>30</v>
      </c>
      <c r="AH667" s="4">
        <v>1</v>
      </c>
      <c r="AI667" s="3" t="s">
        <v>3948</v>
      </c>
      <c r="AJ667" s="4"/>
      <c r="AK667" s="4"/>
      <c r="AL667" s="3"/>
    </row>
    <row r="668" spans="1:38" x14ac:dyDescent="0.35">
      <c r="A668" s="3" t="s">
        <v>3953</v>
      </c>
      <c r="B668" s="4" t="s">
        <v>2698</v>
      </c>
      <c r="C668" s="4">
        <f>VLOOKUP(A668, [1]Planilha1!$A$3:$B$1015,2,FALSE)</f>
        <v>450</v>
      </c>
      <c r="D668" s="4">
        <f t="shared" si="10"/>
        <v>0.125</v>
      </c>
      <c r="E668" s="4" t="s">
        <v>1125</v>
      </c>
      <c r="F668" s="3" t="s">
        <v>3955</v>
      </c>
      <c r="G668" s="3" t="s">
        <v>72</v>
      </c>
      <c r="H668" s="3" t="s">
        <v>44</v>
      </c>
      <c r="I668" s="3" t="s">
        <v>33</v>
      </c>
      <c r="J668" s="3" t="s">
        <v>60</v>
      </c>
      <c r="L668" s="1">
        <v>46035.463333333333</v>
      </c>
      <c r="M668" s="1">
        <v>46035.463333333333</v>
      </c>
      <c r="N668" s="1">
        <v>46038.5</v>
      </c>
      <c r="O668" s="3" t="s">
        <v>43</v>
      </c>
      <c r="P668" s="3" t="s">
        <v>2698</v>
      </c>
      <c r="Q668" s="3" t="s">
        <v>42</v>
      </c>
      <c r="R668" s="3" t="s">
        <v>3957</v>
      </c>
      <c r="S668" s="3" t="s">
        <v>37</v>
      </c>
      <c r="T668" s="3" t="s">
        <v>36</v>
      </c>
      <c r="U668" s="4" t="b">
        <v>1</v>
      </c>
      <c r="V668" s="3" t="s">
        <v>28</v>
      </c>
      <c r="W668" s="1"/>
      <c r="Y668" s="3" t="s">
        <v>29</v>
      </c>
      <c r="Z668" s="3" t="s">
        <v>29</v>
      </c>
      <c r="AA668" s="3"/>
      <c r="AB668" s="3"/>
      <c r="AC668" s="4" t="s">
        <v>30</v>
      </c>
      <c r="AD668" s="3"/>
      <c r="AE668" s="3" t="s">
        <v>2698</v>
      </c>
      <c r="AF668" s="4" t="s">
        <v>30</v>
      </c>
      <c r="AH668" s="4">
        <v>0</v>
      </c>
      <c r="AI668" s="3" t="s">
        <v>3954</v>
      </c>
      <c r="AJ668" s="4" t="s">
        <v>3956</v>
      </c>
      <c r="AK668" s="4"/>
      <c r="AL668" s="3"/>
    </row>
    <row r="669" spans="1:38" x14ac:dyDescent="0.35">
      <c r="A669" s="3" t="s">
        <v>3958</v>
      </c>
      <c r="B669" s="4" t="s">
        <v>2433</v>
      </c>
      <c r="C669" s="4">
        <f>VLOOKUP(A669, [1]Planilha1!$A$3:$B$1015,2,FALSE)</f>
        <v>11280</v>
      </c>
      <c r="D669" s="4">
        <f t="shared" si="10"/>
        <v>3.1333333333333333</v>
      </c>
      <c r="E669" s="4" t="s">
        <v>1125</v>
      </c>
      <c r="F669" s="3" t="s">
        <v>2432</v>
      </c>
      <c r="G669" s="3" t="s">
        <v>44</v>
      </c>
      <c r="H669" s="3" t="s">
        <v>44</v>
      </c>
      <c r="I669" s="3" t="s">
        <v>33</v>
      </c>
      <c r="J669" s="3" t="s">
        <v>41</v>
      </c>
      <c r="K669" s="3" t="s">
        <v>3960</v>
      </c>
      <c r="L669" s="1">
        <v>46035.46292824074</v>
      </c>
      <c r="M669" s="1">
        <v>46035.467442129629</v>
      </c>
      <c r="N669" s="1">
        <v>46035.532719907409</v>
      </c>
      <c r="O669" s="3" t="s">
        <v>43</v>
      </c>
      <c r="P669" s="3" t="s">
        <v>2433</v>
      </c>
      <c r="Q669" s="3" t="s">
        <v>42</v>
      </c>
      <c r="R669" s="3" t="s">
        <v>1963</v>
      </c>
      <c r="S669" s="3" t="s">
        <v>96</v>
      </c>
      <c r="T669" s="3" t="s">
        <v>95</v>
      </c>
      <c r="U669" s="4" t="b">
        <v>1</v>
      </c>
      <c r="V669" s="3" t="s">
        <v>31</v>
      </c>
      <c r="W669" s="1"/>
      <c r="Y669" s="3" t="s">
        <v>32</v>
      </c>
      <c r="Z669" s="3" t="s">
        <v>32</v>
      </c>
      <c r="AA669" s="3"/>
      <c r="AB669" s="3"/>
      <c r="AC669" s="4" t="s">
        <v>30</v>
      </c>
      <c r="AD669" s="3"/>
      <c r="AE669" s="3" t="s">
        <v>2433</v>
      </c>
      <c r="AF669" s="4" t="s">
        <v>30</v>
      </c>
      <c r="AH669" s="4">
        <v>1</v>
      </c>
      <c r="AI669" s="3" t="s">
        <v>3959</v>
      </c>
      <c r="AJ669" s="4" t="s">
        <v>5867</v>
      </c>
      <c r="AK669" s="4"/>
      <c r="AL669" s="3"/>
    </row>
    <row r="670" spans="1:38" x14ac:dyDescent="0.35">
      <c r="A670" s="3" t="s">
        <v>3961</v>
      </c>
      <c r="B670" s="4" t="s">
        <v>3966</v>
      </c>
      <c r="C670" s="4">
        <f>VLOOKUP(A670, [1]Planilha1!$A$3:$B$1015,2,FALSE)</f>
        <v>12046</v>
      </c>
      <c r="D670" s="4">
        <f t="shared" si="10"/>
        <v>3.346111111111111</v>
      </c>
      <c r="E670" s="4" t="s">
        <v>1125</v>
      </c>
      <c r="F670" s="3" t="s">
        <v>3963</v>
      </c>
      <c r="G670" s="3" t="s">
        <v>44</v>
      </c>
      <c r="H670" s="3" t="s">
        <v>44</v>
      </c>
      <c r="I670" s="3" t="s">
        <v>33</v>
      </c>
      <c r="J670" s="3" t="s">
        <v>41</v>
      </c>
      <c r="L670" s="1">
        <v>46035.461064814815</v>
      </c>
      <c r="M670" s="1">
        <v>46035.46234953704</v>
      </c>
      <c r="N670" s="1">
        <v>46035.532060185185</v>
      </c>
      <c r="O670" s="3" t="s">
        <v>43</v>
      </c>
      <c r="P670" s="3" t="s">
        <v>3966</v>
      </c>
      <c r="Q670" s="3" t="s">
        <v>42</v>
      </c>
      <c r="R670" s="3" t="s">
        <v>3965</v>
      </c>
      <c r="S670" s="3" t="s">
        <v>96</v>
      </c>
      <c r="T670" s="3" t="s">
        <v>95</v>
      </c>
      <c r="U670" s="4" t="b">
        <v>1</v>
      </c>
      <c r="V670" s="3" t="s">
        <v>31</v>
      </c>
      <c r="W670" s="1"/>
      <c r="Y670" s="3" t="s">
        <v>32</v>
      </c>
      <c r="Z670" s="3" t="s">
        <v>32</v>
      </c>
      <c r="AA670" s="3"/>
      <c r="AB670" s="3"/>
      <c r="AC670" s="4" t="s">
        <v>30</v>
      </c>
      <c r="AD670" s="3"/>
      <c r="AE670" s="3" t="s">
        <v>3966</v>
      </c>
      <c r="AF670" s="4" t="s">
        <v>30</v>
      </c>
      <c r="AH670" s="4">
        <v>1</v>
      </c>
      <c r="AI670" s="3" t="s">
        <v>3962</v>
      </c>
      <c r="AJ670" s="4" t="s">
        <v>3964</v>
      </c>
      <c r="AK670" s="4"/>
      <c r="AL670" s="3"/>
    </row>
    <row r="671" spans="1:38" x14ac:dyDescent="0.35">
      <c r="A671" s="3" t="s">
        <v>3967</v>
      </c>
      <c r="B671" s="4" t="s">
        <v>3971</v>
      </c>
      <c r="C671" s="4">
        <f>VLOOKUP(A671, [1]Planilha1!$A$3:$B$1015,2,FALSE)</f>
        <v>16440</v>
      </c>
      <c r="D671" s="4">
        <f t="shared" si="10"/>
        <v>4.5666666666666664</v>
      </c>
      <c r="E671" s="4" t="s">
        <v>1125</v>
      </c>
      <c r="F671" s="3" t="s">
        <v>3969</v>
      </c>
      <c r="G671" s="3" t="s">
        <v>74</v>
      </c>
      <c r="H671" s="3" t="s">
        <v>44</v>
      </c>
      <c r="I671" s="3" t="s">
        <v>33</v>
      </c>
      <c r="J671" s="3" t="s">
        <v>41</v>
      </c>
      <c r="L671" s="1">
        <v>46035.456909722219</v>
      </c>
      <c r="M671" s="1">
        <v>46035.46130787037</v>
      </c>
      <c r="N671" s="1">
        <v>46035.556446759256</v>
      </c>
      <c r="O671" s="3" t="s">
        <v>43</v>
      </c>
      <c r="P671" s="3" t="s">
        <v>3971</v>
      </c>
      <c r="Q671" s="3" t="s">
        <v>42</v>
      </c>
      <c r="R671" s="3" t="s">
        <v>3970</v>
      </c>
      <c r="S671" s="3" t="s">
        <v>80</v>
      </c>
      <c r="T671" s="3" t="s">
        <v>79</v>
      </c>
      <c r="U671" s="4" t="b">
        <v>1</v>
      </c>
      <c r="V671" s="3" t="s">
        <v>31</v>
      </c>
      <c r="W671" s="1"/>
      <c r="Y671" s="3" t="s">
        <v>32</v>
      </c>
      <c r="Z671" s="3" t="s">
        <v>32</v>
      </c>
      <c r="AA671" s="3"/>
      <c r="AB671" s="3"/>
      <c r="AC671" s="4" t="s">
        <v>30</v>
      </c>
      <c r="AD671" s="3"/>
      <c r="AE671" s="3" t="s">
        <v>3971</v>
      </c>
      <c r="AF671" s="4" t="s">
        <v>30</v>
      </c>
      <c r="AH671" s="4">
        <v>1</v>
      </c>
      <c r="AI671" s="3" t="s">
        <v>3968</v>
      </c>
      <c r="AJ671" s="4"/>
      <c r="AK671" s="4"/>
      <c r="AL671" s="3"/>
    </row>
    <row r="672" spans="1:38" x14ac:dyDescent="0.35">
      <c r="A672" s="3" t="s">
        <v>3972</v>
      </c>
      <c r="B672" s="4" t="s">
        <v>3978</v>
      </c>
      <c r="C672" s="4">
        <f>VLOOKUP(A672, [1]Planilha1!$A$3:$B$1015,2,FALSE)</f>
        <v>4148</v>
      </c>
      <c r="D672" s="4">
        <f t="shared" si="10"/>
        <v>1.1522222222222223</v>
      </c>
      <c r="E672" s="4" t="s">
        <v>1125</v>
      </c>
      <c r="F672" s="3" t="s">
        <v>3975</v>
      </c>
      <c r="G672" s="3" t="s">
        <v>3973</v>
      </c>
      <c r="H672" s="3" t="s">
        <v>126</v>
      </c>
      <c r="I672" s="3" t="s">
        <v>33</v>
      </c>
      <c r="J672" s="3" t="s">
        <v>34</v>
      </c>
      <c r="L672" s="1">
        <v>46035.445243055554</v>
      </c>
      <c r="M672" s="1">
        <v>46035.445243055554</v>
      </c>
      <c r="N672" s="1">
        <v>46038.5</v>
      </c>
      <c r="O672" s="3" t="s">
        <v>125</v>
      </c>
      <c r="P672" s="3" t="s">
        <v>3978</v>
      </c>
      <c r="Q672" s="3" t="s">
        <v>35</v>
      </c>
      <c r="R672" s="3" t="s">
        <v>3977</v>
      </c>
      <c r="S672" s="3" t="s">
        <v>37</v>
      </c>
      <c r="T672" s="3" t="s">
        <v>36</v>
      </c>
      <c r="U672" s="4" t="b">
        <v>1</v>
      </c>
      <c r="V672" s="3" t="s">
        <v>28</v>
      </c>
      <c r="W672" s="1"/>
      <c r="Y672" s="3" t="s">
        <v>29</v>
      </c>
      <c r="Z672" s="3" t="s">
        <v>29</v>
      </c>
      <c r="AA672" s="3"/>
      <c r="AB672" s="3"/>
      <c r="AC672" s="4" t="s">
        <v>30</v>
      </c>
      <c r="AD672" s="3"/>
      <c r="AE672" s="3" t="s">
        <v>3978</v>
      </c>
      <c r="AF672" s="4" t="s">
        <v>30</v>
      </c>
      <c r="AH672" s="4">
        <v>0</v>
      </c>
      <c r="AI672" s="3" t="s">
        <v>3974</v>
      </c>
      <c r="AJ672" s="4" t="s">
        <v>3976</v>
      </c>
      <c r="AK672" s="4"/>
      <c r="AL672" s="3"/>
    </row>
    <row r="673" spans="1:38" x14ac:dyDescent="0.35">
      <c r="A673" s="3" t="s">
        <v>3979</v>
      </c>
      <c r="B673" s="4" t="s">
        <v>94</v>
      </c>
      <c r="C673" s="4">
        <f>VLOOKUP(A673, [1]Planilha1!$A$3:$B$1015,2,FALSE)</f>
        <v>1761</v>
      </c>
      <c r="D673" s="4">
        <f t="shared" si="10"/>
        <v>0.48916666666666669</v>
      </c>
      <c r="E673" s="4" t="s">
        <v>1125</v>
      </c>
      <c r="F673" s="3" t="s">
        <v>92</v>
      </c>
      <c r="G673" s="3" t="s">
        <v>3980</v>
      </c>
      <c r="H673" s="3" t="s">
        <v>44</v>
      </c>
      <c r="I673" s="3" t="s">
        <v>33</v>
      </c>
      <c r="J673" s="3" t="s">
        <v>41</v>
      </c>
      <c r="L673" s="1">
        <v>46035.440312500003</v>
      </c>
      <c r="M673" s="1">
        <v>46035.440312500003</v>
      </c>
      <c r="N673" s="1">
        <v>46035.447106481479</v>
      </c>
      <c r="O673" s="3" t="s">
        <v>43</v>
      </c>
      <c r="P673" s="3" t="s">
        <v>94</v>
      </c>
      <c r="Q673" s="3" t="s">
        <v>42</v>
      </c>
      <c r="R673" s="3" t="s">
        <v>93</v>
      </c>
      <c r="S673" s="3" t="s">
        <v>37</v>
      </c>
      <c r="T673" s="3" t="s">
        <v>36</v>
      </c>
      <c r="U673" s="4" t="b">
        <v>1</v>
      </c>
      <c r="V673" s="3" t="s">
        <v>28</v>
      </c>
      <c r="W673" s="1"/>
      <c r="Y673" s="3" t="s">
        <v>29</v>
      </c>
      <c r="Z673" s="3" t="s">
        <v>29</v>
      </c>
      <c r="AA673" s="3"/>
      <c r="AB673" s="3"/>
      <c r="AC673" s="4" t="s">
        <v>30</v>
      </c>
      <c r="AD673" s="3"/>
      <c r="AE673" s="3" t="s">
        <v>94</v>
      </c>
      <c r="AF673" s="4" t="s">
        <v>30</v>
      </c>
      <c r="AH673" s="4">
        <v>0</v>
      </c>
      <c r="AI673" s="3" t="s">
        <v>3981</v>
      </c>
      <c r="AJ673" s="4"/>
      <c r="AK673" s="4"/>
      <c r="AL673" s="3"/>
    </row>
    <row r="674" spans="1:38" x14ac:dyDescent="0.35">
      <c r="A674" s="3" t="s">
        <v>3982</v>
      </c>
      <c r="B674" s="4" t="s">
        <v>2757</v>
      </c>
      <c r="C674" s="4">
        <f>VLOOKUP(A674, [1]Planilha1!$A$3:$B$1015,2,FALSE)</f>
        <v>1048</v>
      </c>
      <c r="D674" s="4">
        <f t="shared" si="10"/>
        <v>0.2911111111111111</v>
      </c>
      <c r="E674" s="4" t="s">
        <v>1125</v>
      </c>
      <c r="F674" s="3" t="s">
        <v>2755</v>
      </c>
      <c r="G674" s="3" t="s">
        <v>74</v>
      </c>
      <c r="H674" s="3" t="s">
        <v>44</v>
      </c>
      <c r="I674" s="3" t="s">
        <v>33</v>
      </c>
      <c r="J674" s="3" t="s">
        <v>41</v>
      </c>
      <c r="L674" s="1">
        <v>46035.436736111114</v>
      </c>
      <c r="M674" s="1">
        <v>46035.444062499999</v>
      </c>
      <c r="N674" s="1">
        <v>46035.450127314813</v>
      </c>
      <c r="O674" s="3" t="s">
        <v>43</v>
      </c>
      <c r="P674" s="3" t="s">
        <v>2757</v>
      </c>
      <c r="Q674" s="3" t="s">
        <v>42</v>
      </c>
      <c r="R674" s="3" t="s">
        <v>2756</v>
      </c>
      <c r="S674" s="3" t="s">
        <v>80</v>
      </c>
      <c r="T674" s="3" t="s">
        <v>79</v>
      </c>
      <c r="U674" s="4" t="b">
        <v>1</v>
      </c>
      <c r="V674" s="3" t="s">
        <v>31</v>
      </c>
      <c r="W674" s="1"/>
      <c r="Y674" s="3" t="s">
        <v>32</v>
      </c>
      <c r="Z674" s="3" t="s">
        <v>32</v>
      </c>
      <c r="AA674" s="3"/>
      <c r="AB674" s="3"/>
      <c r="AC674" s="4" t="s">
        <v>30</v>
      </c>
      <c r="AD674" s="3"/>
      <c r="AE674" s="3" t="s">
        <v>2757</v>
      </c>
      <c r="AF674" s="4" t="s">
        <v>30</v>
      </c>
      <c r="AH674" s="4">
        <v>1</v>
      </c>
      <c r="AI674" s="3" t="s">
        <v>3983</v>
      </c>
      <c r="AJ674" s="4" t="s">
        <v>5912</v>
      </c>
      <c r="AK674" s="4"/>
      <c r="AL674" s="3"/>
    </row>
    <row r="675" spans="1:38" x14ac:dyDescent="0.35">
      <c r="A675" s="3" t="s">
        <v>3984</v>
      </c>
      <c r="B675" s="4" t="s">
        <v>982</v>
      </c>
      <c r="C675" s="4">
        <f>VLOOKUP(A675, [1]Planilha1!$A$3:$B$1015,2,FALSE)</f>
        <v>0</v>
      </c>
      <c r="D675" s="4">
        <f t="shared" si="10"/>
        <v>0</v>
      </c>
      <c r="E675" s="4" t="s">
        <v>1125</v>
      </c>
      <c r="F675" s="3" t="s">
        <v>979</v>
      </c>
      <c r="G675" s="3" t="s">
        <v>1522</v>
      </c>
      <c r="H675" s="3" t="s">
        <v>622</v>
      </c>
      <c r="I675" s="3" t="s">
        <v>33</v>
      </c>
      <c r="J675" s="3" t="s">
        <v>60</v>
      </c>
      <c r="K675" s="3" t="s">
        <v>3986</v>
      </c>
      <c r="L675" s="1">
        <v>46035.434571759259</v>
      </c>
      <c r="M675" s="1">
        <v>46035.450381944444</v>
      </c>
      <c r="N675" s="1">
        <v>46038.458344907405</v>
      </c>
      <c r="O675" s="3" t="s">
        <v>621</v>
      </c>
      <c r="P675" s="3" t="s">
        <v>982</v>
      </c>
      <c r="Q675" s="3" t="s">
        <v>35</v>
      </c>
      <c r="R675" s="3" t="s">
        <v>981</v>
      </c>
      <c r="S675" s="3" t="s">
        <v>144</v>
      </c>
      <c r="T675" s="3" t="s">
        <v>143</v>
      </c>
      <c r="U675" s="4" t="b">
        <v>1</v>
      </c>
      <c r="V675" s="3" t="s">
        <v>31</v>
      </c>
      <c r="W675" s="1"/>
      <c r="Y675" s="3" t="s">
        <v>32</v>
      </c>
      <c r="Z675" s="3" t="s">
        <v>32</v>
      </c>
      <c r="AA675" s="3"/>
      <c r="AB675" s="3"/>
      <c r="AC675" s="4" t="s">
        <v>30</v>
      </c>
      <c r="AD675" s="3"/>
      <c r="AE675" s="3" t="s">
        <v>982</v>
      </c>
      <c r="AF675" s="4" t="s">
        <v>30</v>
      </c>
      <c r="AH675" s="4">
        <v>0</v>
      </c>
      <c r="AI675" s="3" t="s">
        <v>3985</v>
      </c>
      <c r="AJ675" s="4" t="s">
        <v>980</v>
      </c>
      <c r="AK675" s="4"/>
      <c r="AL675" s="3"/>
    </row>
    <row r="676" spans="1:38" x14ac:dyDescent="0.35">
      <c r="A676" s="3" t="s">
        <v>3987</v>
      </c>
      <c r="B676" s="4" t="s">
        <v>982</v>
      </c>
      <c r="C676" s="4">
        <f>VLOOKUP(A676, [1]Planilha1!$A$3:$B$1015,2,FALSE)</f>
        <v>3741</v>
      </c>
      <c r="D676" s="4">
        <f t="shared" si="10"/>
        <v>1.0391666666666666</v>
      </c>
      <c r="E676" s="4" t="s">
        <v>1125</v>
      </c>
      <c r="F676" s="3" t="s">
        <v>979</v>
      </c>
      <c r="G676" s="3" t="s">
        <v>3988</v>
      </c>
      <c r="H676" s="3" t="s">
        <v>622</v>
      </c>
      <c r="I676" s="3" t="s">
        <v>33</v>
      </c>
      <c r="J676" s="3" t="s">
        <v>41</v>
      </c>
      <c r="L676" s="1">
        <v>46035.429942129631</v>
      </c>
      <c r="M676" s="1">
        <v>46035.429942129631</v>
      </c>
      <c r="N676" s="1">
        <v>46035.444374999999</v>
      </c>
      <c r="O676" s="3" t="s">
        <v>621</v>
      </c>
      <c r="P676" s="3" t="s">
        <v>982</v>
      </c>
      <c r="Q676" s="3" t="s">
        <v>42</v>
      </c>
      <c r="R676" s="3" t="s">
        <v>981</v>
      </c>
      <c r="S676" s="3" t="s">
        <v>37</v>
      </c>
      <c r="T676" s="3" t="s">
        <v>36</v>
      </c>
      <c r="U676" s="4" t="b">
        <v>1</v>
      </c>
      <c r="V676" s="3" t="s">
        <v>28</v>
      </c>
      <c r="W676" s="1"/>
      <c r="Y676" s="3" t="s">
        <v>29</v>
      </c>
      <c r="Z676" s="3" t="s">
        <v>29</v>
      </c>
      <c r="AA676" s="3"/>
      <c r="AB676" s="3"/>
      <c r="AC676" s="4" t="s">
        <v>30</v>
      </c>
      <c r="AD676" s="3"/>
      <c r="AE676" s="3" t="s">
        <v>982</v>
      </c>
      <c r="AF676" s="4" t="s">
        <v>30</v>
      </c>
      <c r="AH676" s="4">
        <v>0</v>
      </c>
      <c r="AI676" s="3" t="s">
        <v>3989</v>
      </c>
      <c r="AJ676" s="4" t="s">
        <v>980</v>
      </c>
      <c r="AK676" s="4"/>
      <c r="AL676" s="3"/>
    </row>
    <row r="677" spans="1:38" x14ac:dyDescent="0.35">
      <c r="A677" s="3" t="s">
        <v>3990</v>
      </c>
      <c r="B677" s="4" t="s">
        <v>3997</v>
      </c>
      <c r="C677" s="4">
        <f>VLOOKUP(A677, [1]Planilha1!$A$3:$B$1015,2,FALSE)</f>
        <v>45736</v>
      </c>
      <c r="D677" s="4">
        <f t="shared" si="10"/>
        <v>12.704444444444444</v>
      </c>
      <c r="E677" s="4" t="s">
        <v>1125</v>
      </c>
      <c r="F677" s="3" t="s">
        <v>3994</v>
      </c>
      <c r="G677" s="3" t="s">
        <v>3991</v>
      </c>
      <c r="H677" s="3" t="s">
        <v>171</v>
      </c>
      <c r="I677" s="3" t="s">
        <v>33</v>
      </c>
      <c r="J677" s="3" t="s">
        <v>41</v>
      </c>
      <c r="K677" s="3" t="s">
        <v>3993</v>
      </c>
      <c r="L677" s="1">
        <v>46035.425092592595</v>
      </c>
      <c r="M677" s="1">
        <v>46035.425092592595</v>
      </c>
      <c r="N677" s="1">
        <v>46035.689768518518</v>
      </c>
      <c r="O677" s="3" t="s">
        <v>170</v>
      </c>
      <c r="P677" s="3" t="s">
        <v>3997</v>
      </c>
      <c r="Q677" s="3" t="s">
        <v>42</v>
      </c>
      <c r="R677" s="3" t="s">
        <v>3996</v>
      </c>
      <c r="S677" s="3" t="s">
        <v>37</v>
      </c>
      <c r="T677" s="3" t="s">
        <v>36</v>
      </c>
      <c r="U677" s="4" t="b">
        <v>1</v>
      </c>
      <c r="V677" s="3" t="s">
        <v>28</v>
      </c>
      <c r="W677" s="1"/>
      <c r="Y677" s="3" t="s">
        <v>29</v>
      </c>
      <c r="Z677" s="3" t="s">
        <v>29</v>
      </c>
      <c r="AA677" s="3"/>
      <c r="AB677" s="3"/>
      <c r="AC677" s="4" t="s">
        <v>30</v>
      </c>
      <c r="AD677" s="3"/>
      <c r="AE677" s="3" t="s">
        <v>3997</v>
      </c>
      <c r="AF677" s="4" t="s">
        <v>30</v>
      </c>
      <c r="AH677" s="4">
        <v>1</v>
      </c>
      <c r="AI677" s="3" t="s">
        <v>3992</v>
      </c>
      <c r="AJ677" s="4" t="s">
        <v>3995</v>
      </c>
      <c r="AK677" s="4"/>
      <c r="AL677" s="3"/>
    </row>
    <row r="678" spans="1:38" x14ac:dyDescent="0.35">
      <c r="A678" s="3" t="s">
        <v>3998</v>
      </c>
      <c r="B678" s="4" t="s">
        <v>3557</v>
      </c>
      <c r="C678" s="4">
        <f>VLOOKUP(A678, [1]Planilha1!$A$3:$B$1015,2,FALSE)</f>
        <v>0</v>
      </c>
      <c r="D678" s="4">
        <f t="shared" si="10"/>
        <v>0</v>
      </c>
      <c r="E678" s="4" t="s">
        <v>1125</v>
      </c>
      <c r="F678" s="3" t="s">
        <v>3554</v>
      </c>
      <c r="G678" s="3" t="s">
        <v>214</v>
      </c>
      <c r="H678" s="3" t="s">
        <v>44</v>
      </c>
      <c r="I678" s="3" t="s">
        <v>33</v>
      </c>
      <c r="J678" s="3" t="s">
        <v>60</v>
      </c>
      <c r="K678" s="3" t="s">
        <v>4000</v>
      </c>
      <c r="L678" s="1">
        <v>46035.422627314816</v>
      </c>
      <c r="M678" s="1">
        <v>46035.457094907404</v>
      </c>
      <c r="N678" s="1">
        <v>46038.458344907405</v>
      </c>
      <c r="O678" s="3" t="s">
        <v>43</v>
      </c>
      <c r="P678" s="3" t="s">
        <v>3557</v>
      </c>
      <c r="Q678" s="3" t="s">
        <v>35</v>
      </c>
      <c r="R678" s="3" t="s">
        <v>3556</v>
      </c>
      <c r="S678" s="3" t="s">
        <v>144</v>
      </c>
      <c r="T678" s="3" t="s">
        <v>143</v>
      </c>
      <c r="U678" s="4" t="b">
        <v>1</v>
      </c>
      <c r="V678" s="3" t="s">
        <v>31</v>
      </c>
      <c r="W678" s="1"/>
      <c r="Y678" s="3" t="s">
        <v>32</v>
      </c>
      <c r="Z678" s="3" t="s">
        <v>32</v>
      </c>
      <c r="AA678" s="3"/>
      <c r="AB678" s="3"/>
      <c r="AC678" s="4" t="s">
        <v>30</v>
      </c>
      <c r="AD678" s="3"/>
      <c r="AE678" s="3" t="s">
        <v>3557</v>
      </c>
      <c r="AF678" s="4" t="s">
        <v>30</v>
      </c>
      <c r="AH678" s="4">
        <v>0</v>
      </c>
      <c r="AI678" s="3" t="s">
        <v>3999</v>
      </c>
      <c r="AJ678" s="4" t="s">
        <v>3555</v>
      </c>
      <c r="AK678" s="4"/>
      <c r="AL678" s="3"/>
    </row>
    <row r="679" spans="1:38" x14ac:dyDescent="0.35">
      <c r="A679" s="3" t="s">
        <v>4001</v>
      </c>
      <c r="B679" s="4" t="s">
        <v>4005</v>
      </c>
      <c r="C679" s="4">
        <f>VLOOKUP(A679, [1]Planilha1!$A$3:$B$1015,2,FALSE)</f>
        <v>13232</v>
      </c>
      <c r="D679" s="4">
        <f t="shared" si="10"/>
        <v>3.6755555555555555</v>
      </c>
      <c r="E679" s="4" t="s">
        <v>1125</v>
      </c>
      <c r="F679" s="3" t="s">
        <v>4003</v>
      </c>
      <c r="G679" s="3" t="s">
        <v>74</v>
      </c>
      <c r="H679" s="3" t="s">
        <v>44</v>
      </c>
      <c r="I679" s="3" t="s">
        <v>33</v>
      </c>
      <c r="J679" s="3" t="s">
        <v>607</v>
      </c>
      <c r="L679" s="1">
        <v>46035.422002314815</v>
      </c>
      <c r="M679" s="1">
        <v>46035.435624999998</v>
      </c>
      <c r="N679" s="1">
        <v>46038.541678240741</v>
      </c>
      <c r="O679" s="3" t="s">
        <v>43</v>
      </c>
      <c r="P679" s="3" t="s">
        <v>4005</v>
      </c>
      <c r="Q679" s="3" t="s">
        <v>35</v>
      </c>
      <c r="R679" s="3" t="s">
        <v>4004</v>
      </c>
      <c r="S679" s="3" t="s">
        <v>80</v>
      </c>
      <c r="T679" s="3" t="s">
        <v>79</v>
      </c>
      <c r="U679" s="4" t="b">
        <v>1</v>
      </c>
      <c r="V679" s="3" t="s">
        <v>31</v>
      </c>
      <c r="W679" s="1"/>
      <c r="Y679" s="3" t="s">
        <v>32</v>
      </c>
      <c r="Z679" s="3" t="s">
        <v>32</v>
      </c>
      <c r="AA679" s="3"/>
      <c r="AB679" s="3"/>
      <c r="AC679" s="4" t="s">
        <v>30</v>
      </c>
      <c r="AD679" s="3"/>
      <c r="AE679" s="3" t="s">
        <v>4005</v>
      </c>
      <c r="AF679" s="4" t="s">
        <v>30</v>
      </c>
      <c r="AH679" s="4">
        <v>1</v>
      </c>
      <c r="AI679" s="3" t="s">
        <v>4002</v>
      </c>
      <c r="AJ679" s="4" t="s">
        <v>5913</v>
      </c>
      <c r="AK679" s="4"/>
      <c r="AL679" s="3"/>
    </row>
    <row r="680" spans="1:38" x14ac:dyDescent="0.35">
      <c r="A680" s="3" t="s">
        <v>4006</v>
      </c>
      <c r="B680" s="4" t="s">
        <v>94</v>
      </c>
      <c r="C680" s="4">
        <f>VLOOKUP(A680, [1]Planilha1!$A$3:$B$1015,2,FALSE)</f>
        <v>4908</v>
      </c>
      <c r="D680" s="4">
        <f t="shared" si="10"/>
        <v>1.3633333333333333</v>
      </c>
      <c r="E680" s="4" t="s">
        <v>1125</v>
      </c>
      <c r="F680" s="3" t="s">
        <v>92</v>
      </c>
      <c r="G680" s="3" t="s">
        <v>4007</v>
      </c>
      <c r="H680" s="3" t="s">
        <v>44</v>
      </c>
      <c r="I680" s="3" t="s">
        <v>33</v>
      </c>
      <c r="J680" s="3" t="s">
        <v>41</v>
      </c>
      <c r="L680" s="1">
        <v>46035.420937499999</v>
      </c>
      <c r="M680" s="1">
        <v>46035.420937499999</v>
      </c>
      <c r="N680" s="1">
        <v>46035.439872685187</v>
      </c>
      <c r="O680" s="3" t="s">
        <v>43</v>
      </c>
      <c r="P680" s="3" t="s">
        <v>94</v>
      </c>
      <c r="Q680" s="3" t="s">
        <v>42</v>
      </c>
      <c r="R680" s="3" t="s">
        <v>93</v>
      </c>
      <c r="S680" s="3" t="s">
        <v>37</v>
      </c>
      <c r="T680" s="3" t="s">
        <v>36</v>
      </c>
      <c r="U680" s="4" t="b">
        <v>1</v>
      </c>
      <c r="V680" s="3" t="s">
        <v>28</v>
      </c>
      <c r="W680" s="1"/>
      <c r="Y680" s="3" t="s">
        <v>29</v>
      </c>
      <c r="Z680" s="3" t="s">
        <v>29</v>
      </c>
      <c r="AA680" s="3"/>
      <c r="AB680" s="3"/>
      <c r="AC680" s="4" t="s">
        <v>30</v>
      </c>
      <c r="AD680" s="3"/>
      <c r="AE680" s="3" t="s">
        <v>94</v>
      </c>
      <c r="AF680" s="4" t="s">
        <v>30</v>
      </c>
      <c r="AH680" s="4">
        <v>0</v>
      </c>
      <c r="AI680" s="3" t="s">
        <v>4008</v>
      </c>
      <c r="AJ680" s="4"/>
      <c r="AK680" s="4"/>
      <c r="AL680" s="3"/>
    </row>
    <row r="681" spans="1:38" x14ac:dyDescent="0.35">
      <c r="A681" s="3" t="s">
        <v>4009</v>
      </c>
      <c r="B681" s="4" t="s">
        <v>2059</v>
      </c>
      <c r="C681" s="4">
        <f>VLOOKUP(A681, [1]Planilha1!$A$3:$B$1015,2,FALSE)</f>
        <v>4766</v>
      </c>
      <c r="D681" s="4">
        <f t="shared" si="10"/>
        <v>1.3238888888888889</v>
      </c>
      <c r="E681" s="4" t="s">
        <v>1125</v>
      </c>
      <c r="F681" s="3" t="s">
        <v>2068</v>
      </c>
      <c r="G681" s="3" t="s">
        <v>74</v>
      </c>
      <c r="H681" s="3" t="s">
        <v>44</v>
      </c>
      <c r="I681" s="3" t="s">
        <v>33</v>
      </c>
      <c r="J681" s="3" t="s">
        <v>41</v>
      </c>
      <c r="L681" s="1">
        <v>46035.417442129627</v>
      </c>
      <c r="M681" s="1">
        <v>46035.421886574077</v>
      </c>
      <c r="N681" s="1">
        <v>46035.449467592596</v>
      </c>
      <c r="O681" s="3" t="s">
        <v>43</v>
      </c>
      <c r="P681" s="3" t="s">
        <v>2059</v>
      </c>
      <c r="Q681" s="3" t="s">
        <v>42</v>
      </c>
      <c r="R681" s="3" t="s">
        <v>2069</v>
      </c>
      <c r="S681" s="3" t="s">
        <v>80</v>
      </c>
      <c r="T681" s="3" t="s">
        <v>79</v>
      </c>
      <c r="U681" s="4" t="b">
        <v>1</v>
      </c>
      <c r="V681" s="3" t="s">
        <v>31</v>
      </c>
      <c r="W681" s="1"/>
      <c r="Y681" s="3" t="s">
        <v>32</v>
      </c>
      <c r="Z681" s="3" t="s">
        <v>32</v>
      </c>
      <c r="AA681" s="3"/>
      <c r="AB681" s="3"/>
      <c r="AC681" s="4" t="s">
        <v>30</v>
      </c>
      <c r="AD681" s="3"/>
      <c r="AE681" s="3" t="s">
        <v>2059</v>
      </c>
      <c r="AF681" s="4" t="s">
        <v>30</v>
      </c>
      <c r="AH681" s="4">
        <v>1</v>
      </c>
      <c r="AI681" s="3" t="s">
        <v>4010</v>
      </c>
      <c r="AJ681" s="4" t="s">
        <v>5914</v>
      </c>
      <c r="AK681" s="4"/>
      <c r="AL681" s="3"/>
    </row>
    <row r="682" spans="1:38" x14ac:dyDescent="0.35">
      <c r="A682" s="3" t="s">
        <v>4011</v>
      </c>
      <c r="B682" s="4" t="s">
        <v>1559</v>
      </c>
      <c r="C682" s="4">
        <f>VLOOKUP(A682, [1]Planilha1!$A$3:$B$1015,2,FALSE)</f>
        <v>0</v>
      </c>
      <c r="D682" s="4">
        <f t="shared" si="10"/>
        <v>0</v>
      </c>
      <c r="E682" s="4" t="s">
        <v>1125</v>
      </c>
      <c r="F682" s="3" t="s">
        <v>1556</v>
      </c>
      <c r="G682" s="3" t="s">
        <v>134</v>
      </c>
      <c r="H682" s="3" t="s">
        <v>138</v>
      </c>
      <c r="I682" s="3" t="s">
        <v>33</v>
      </c>
      <c r="J682" s="3" t="s">
        <v>60</v>
      </c>
      <c r="K682" s="3" t="s">
        <v>4013</v>
      </c>
      <c r="L682" s="1">
        <v>46035.415717592594</v>
      </c>
      <c r="M682" s="1">
        <v>46035.425150462965</v>
      </c>
      <c r="N682" s="1">
        <v>46038.458344907405</v>
      </c>
      <c r="O682" s="3" t="s">
        <v>137</v>
      </c>
      <c r="P682" s="3" t="s">
        <v>1559</v>
      </c>
      <c r="Q682" s="3" t="s">
        <v>35</v>
      </c>
      <c r="R682" s="3" t="s">
        <v>1558</v>
      </c>
      <c r="S682" s="3" t="s">
        <v>144</v>
      </c>
      <c r="T682" s="3" t="s">
        <v>143</v>
      </c>
      <c r="U682" s="4" t="b">
        <v>1</v>
      </c>
      <c r="V682" s="3" t="s">
        <v>31</v>
      </c>
      <c r="W682" s="1"/>
      <c r="Y682" s="3" t="s">
        <v>32</v>
      </c>
      <c r="Z682" s="3" t="s">
        <v>32</v>
      </c>
      <c r="AA682" s="3"/>
      <c r="AB682" s="3"/>
      <c r="AC682" s="4" t="s">
        <v>30</v>
      </c>
      <c r="AD682" s="3"/>
      <c r="AE682" s="3" t="s">
        <v>1559</v>
      </c>
      <c r="AF682" s="4" t="s">
        <v>30</v>
      </c>
      <c r="AH682" s="4">
        <v>0</v>
      </c>
      <c r="AI682" s="3" t="s">
        <v>4012</v>
      </c>
      <c r="AJ682" s="4" t="s">
        <v>1557</v>
      </c>
      <c r="AK682" s="4"/>
      <c r="AL682" s="3"/>
    </row>
    <row r="683" spans="1:38" x14ac:dyDescent="0.35">
      <c r="A683" s="3" t="s">
        <v>4014</v>
      </c>
      <c r="B683" s="4" t="s">
        <v>4019</v>
      </c>
      <c r="C683" s="4">
        <f>VLOOKUP(A683, [1]Planilha1!$A$3:$B$1015,2,FALSE)</f>
        <v>0</v>
      </c>
      <c r="D683" s="4">
        <f t="shared" si="10"/>
        <v>0</v>
      </c>
      <c r="E683" s="4" t="s">
        <v>1125</v>
      </c>
      <c r="F683" s="3" t="s">
        <v>4017</v>
      </c>
      <c r="G683" s="3" t="s">
        <v>214</v>
      </c>
      <c r="H683" s="3" t="s">
        <v>44</v>
      </c>
      <c r="I683" s="3" t="s">
        <v>33</v>
      </c>
      <c r="J683" s="3" t="s">
        <v>60</v>
      </c>
      <c r="K683" s="3" t="s">
        <v>4016</v>
      </c>
      <c r="L683" s="1">
        <v>46035.40525462963</v>
      </c>
      <c r="M683" s="1">
        <v>46035.417430555557</v>
      </c>
      <c r="N683" s="1">
        <v>46038.458344907405</v>
      </c>
      <c r="O683" s="3" t="s">
        <v>43</v>
      </c>
      <c r="P683" s="3" t="s">
        <v>4019</v>
      </c>
      <c r="Q683" s="3" t="s">
        <v>35</v>
      </c>
      <c r="R683" s="3" t="s">
        <v>4018</v>
      </c>
      <c r="S683" s="3" t="s">
        <v>144</v>
      </c>
      <c r="T683" s="3" t="s">
        <v>143</v>
      </c>
      <c r="U683" s="4" t="b">
        <v>1</v>
      </c>
      <c r="V683" s="3" t="s">
        <v>31</v>
      </c>
      <c r="W683" s="1"/>
      <c r="Y683" s="3" t="s">
        <v>32</v>
      </c>
      <c r="Z683" s="3" t="s">
        <v>32</v>
      </c>
      <c r="AA683" s="3"/>
      <c r="AB683" s="3"/>
      <c r="AC683" s="4" t="s">
        <v>30</v>
      </c>
      <c r="AD683" s="3"/>
      <c r="AE683" s="3" t="s">
        <v>4019</v>
      </c>
      <c r="AF683" s="4" t="s">
        <v>30</v>
      </c>
      <c r="AH683" s="4">
        <v>0</v>
      </c>
      <c r="AI683" s="3" t="s">
        <v>4015</v>
      </c>
      <c r="AJ683" s="4" t="s">
        <v>5915</v>
      </c>
      <c r="AK683" s="4"/>
      <c r="AL683" s="3"/>
    </row>
    <row r="684" spans="1:38" x14ac:dyDescent="0.35">
      <c r="A684" s="3" t="s">
        <v>4020</v>
      </c>
      <c r="B684" s="4" t="s">
        <v>4026</v>
      </c>
      <c r="C684" s="4">
        <f>VLOOKUP(A684, [1]Planilha1!$A$3:$B$1015,2,FALSE)</f>
        <v>3756</v>
      </c>
      <c r="D684" s="4">
        <f t="shared" si="10"/>
        <v>1.0433333333333332</v>
      </c>
      <c r="E684" s="4" t="s">
        <v>1125</v>
      </c>
      <c r="F684" s="3" t="s">
        <v>4023</v>
      </c>
      <c r="G684" s="3" t="s">
        <v>4021</v>
      </c>
      <c r="H684" s="3" t="s">
        <v>126</v>
      </c>
      <c r="I684" s="3" t="s">
        <v>33</v>
      </c>
      <c r="J684" s="3" t="s">
        <v>34</v>
      </c>
      <c r="L684" s="1">
        <v>46035.399525462963</v>
      </c>
      <c r="M684" s="1">
        <v>46035.399525462963</v>
      </c>
      <c r="N684" s="1">
        <v>46038.458344907405</v>
      </c>
      <c r="O684" s="3" t="s">
        <v>125</v>
      </c>
      <c r="P684" s="3" t="s">
        <v>4026</v>
      </c>
      <c r="Q684" s="3" t="s">
        <v>35</v>
      </c>
      <c r="R684" s="3" t="s">
        <v>4025</v>
      </c>
      <c r="S684" s="3" t="s">
        <v>37</v>
      </c>
      <c r="T684" s="3" t="s">
        <v>36</v>
      </c>
      <c r="U684" s="4" t="b">
        <v>1</v>
      </c>
      <c r="V684" s="3" t="s">
        <v>28</v>
      </c>
      <c r="W684" s="1"/>
      <c r="Y684" s="3" t="s">
        <v>29</v>
      </c>
      <c r="Z684" s="3" t="s">
        <v>29</v>
      </c>
      <c r="AA684" s="3"/>
      <c r="AB684" s="3"/>
      <c r="AC684" s="4" t="s">
        <v>30</v>
      </c>
      <c r="AD684" s="3"/>
      <c r="AE684" s="3" t="s">
        <v>4026</v>
      </c>
      <c r="AF684" s="4" t="s">
        <v>30</v>
      </c>
      <c r="AH684" s="4">
        <v>0</v>
      </c>
      <c r="AI684" s="3" t="s">
        <v>4022</v>
      </c>
      <c r="AJ684" s="4" t="s">
        <v>4024</v>
      </c>
      <c r="AK684" s="4"/>
      <c r="AL684" s="3"/>
    </row>
    <row r="685" spans="1:38" x14ac:dyDescent="0.35">
      <c r="A685" s="3" t="s">
        <v>4027</v>
      </c>
      <c r="B685" s="4" t="s">
        <v>4031</v>
      </c>
      <c r="C685" s="4">
        <f>VLOOKUP(A685, [1]Planilha1!$A$3:$B$1015,2,FALSE)</f>
        <v>0</v>
      </c>
      <c r="D685" s="4">
        <f t="shared" si="10"/>
        <v>0</v>
      </c>
      <c r="E685" s="4" t="s">
        <v>1125</v>
      </c>
      <c r="F685" s="3" t="s">
        <v>4029</v>
      </c>
      <c r="G685" s="3" t="s">
        <v>2212</v>
      </c>
      <c r="H685" s="3" t="s">
        <v>457</v>
      </c>
      <c r="I685" s="3" t="s">
        <v>33</v>
      </c>
      <c r="J685" s="3" t="s">
        <v>60</v>
      </c>
      <c r="L685" s="1">
        <v>46035.394328703704</v>
      </c>
      <c r="M685" s="1">
        <v>46035.398634259262</v>
      </c>
      <c r="N685" s="1">
        <v>46038.416678240741</v>
      </c>
      <c r="O685" s="3" t="s">
        <v>460</v>
      </c>
      <c r="P685" s="3" t="s">
        <v>4031</v>
      </c>
      <c r="Q685" s="3" t="s">
        <v>35</v>
      </c>
      <c r="R685" s="3" t="s">
        <v>4030</v>
      </c>
      <c r="S685" s="3" t="s">
        <v>190</v>
      </c>
      <c r="T685" s="3" t="s">
        <v>189</v>
      </c>
      <c r="U685" s="4" t="b">
        <v>1</v>
      </c>
      <c r="V685" s="3" t="s">
        <v>31</v>
      </c>
      <c r="W685" s="1"/>
      <c r="Y685" s="3" t="s">
        <v>32</v>
      </c>
      <c r="Z685" s="3" t="s">
        <v>32</v>
      </c>
      <c r="AA685" s="3"/>
      <c r="AB685" s="3"/>
      <c r="AC685" s="4" t="s">
        <v>30</v>
      </c>
      <c r="AD685" s="3"/>
      <c r="AE685" s="3" t="s">
        <v>4031</v>
      </c>
      <c r="AF685" s="4" t="s">
        <v>30</v>
      </c>
      <c r="AH685" s="4">
        <v>0</v>
      </c>
      <c r="AI685" s="3" t="s">
        <v>4028</v>
      </c>
      <c r="AJ685" s="4" t="s">
        <v>5916</v>
      </c>
      <c r="AK685" s="4"/>
      <c r="AL685" s="3"/>
    </row>
    <row r="686" spans="1:38" x14ac:dyDescent="0.35">
      <c r="A686" s="3" t="s">
        <v>4032</v>
      </c>
      <c r="B686" s="4" t="s">
        <v>4038</v>
      </c>
      <c r="C686" s="4">
        <f>VLOOKUP(A686, [1]Planilha1!$A$3:$B$1015,2,FALSE)</f>
        <v>14913</v>
      </c>
      <c r="D686" s="4">
        <f t="shared" si="10"/>
        <v>4.1425000000000001</v>
      </c>
      <c r="E686" s="4" t="s">
        <v>1125</v>
      </c>
      <c r="F686" s="3" t="s">
        <v>4035</v>
      </c>
      <c r="G686" s="3" t="s">
        <v>4033</v>
      </c>
      <c r="H686" s="3" t="s">
        <v>44</v>
      </c>
      <c r="I686" s="3" t="s">
        <v>33</v>
      </c>
      <c r="J686" s="3" t="s">
        <v>41</v>
      </c>
      <c r="L686" s="1">
        <v>46035.387094907404</v>
      </c>
      <c r="M686" s="1">
        <v>46035.387094907404</v>
      </c>
      <c r="N686" s="1">
        <v>46035.447881944441</v>
      </c>
      <c r="O686" s="3" t="s">
        <v>43</v>
      </c>
      <c r="P686" s="3" t="s">
        <v>4038</v>
      </c>
      <c r="Q686" s="3" t="s">
        <v>42</v>
      </c>
      <c r="R686" s="3" t="s">
        <v>4037</v>
      </c>
      <c r="S686" s="3" t="s">
        <v>37</v>
      </c>
      <c r="T686" s="3" t="s">
        <v>36</v>
      </c>
      <c r="U686" s="4" t="b">
        <v>1</v>
      </c>
      <c r="V686" s="3" t="s">
        <v>28</v>
      </c>
      <c r="W686" s="1"/>
      <c r="Y686" s="3" t="s">
        <v>29</v>
      </c>
      <c r="Z686" s="3" t="s">
        <v>29</v>
      </c>
      <c r="AA686" s="3"/>
      <c r="AB686" s="3"/>
      <c r="AC686" s="4" t="s">
        <v>30</v>
      </c>
      <c r="AD686" s="3"/>
      <c r="AE686" s="3" t="s">
        <v>4038</v>
      </c>
      <c r="AF686" s="4" t="s">
        <v>30</v>
      </c>
      <c r="AH686" s="4">
        <v>2</v>
      </c>
      <c r="AI686" s="3" t="s">
        <v>4034</v>
      </c>
      <c r="AJ686" s="4" t="s">
        <v>4036</v>
      </c>
      <c r="AK686" s="4"/>
      <c r="AL686" s="3"/>
    </row>
    <row r="687" spans="1:38" x14ac:dyDescent="0.35">
      <c r="A687" s="3" t="s">
        <v>4039</v>
      </c>
      <c r="B687" s="4" t="s">
        <v>4045</v>
      </c>
      <c r="C687" s="4">
        <f>VLOOKUP(A687, [1]Planilha1!$A$3:$B$1015,2,FALSE)</f>
        <v>0</v>
      </c>
      <c r="D687" s="4">
        <f t="shared" si="10"/>
        <v>0</v>
      </c>
      <c r="E687" s="4" t="s">
        <v>1125</v>
      </c>
      <c r="F687" s="3" t="s">
        <v>4042</v>
      </c>
      <c r="G687" s="3" t="s">
        <v>972</v>
      </c>
      <c r="H687" s="3" t="s">
        <v>171</v>
      </c>
      <c r="I687" s="3" t="s">
        <v>33</v>
      </c>
      <c r="J687" s="3" t="s">
        <v>60</v>
      </c>
      <c r="K687" s="3" t="s">
        <v>4041</v>
      </c>
      <c r="L687" s="1">
        <v>46035.368449074071</v>
      </c>
      <c r="M687" s="1">
        <v>46035.393055555556</v>
      </c>
      <c r="N687" s="1">
        <v>46038.416678240741</v>
      </c>
      <c r="O687" s="3" t="s">
        <v>170</v>
      </c>
      <c r="P687" s="3" t="s">
        <v>4045</v>
      </c>
      <c r="Q687" s="3" t="s">
        <v>35</v>
      </c>
      <c r="R687" s="3" t="s">
        <v>4044</v>
      </c>
      <c r="S687" s="3" t="s">
        <v>144</v>
      </c>
      <c r="T687" s="3" t="s">
        <v>143</v>
      </c>
      <c r="U687" s="4" t="b">
        <v>1</v>
      </c>
      <c r="V687" s="3" t="s">
        <v>31</v>
      </c>
      <c r="W687" s="1"/>
      <c r="Y687" s="3" t="s">
        <v>32</v>
      </c>
      <c r="Z687" s="3" t="s">
        <v>32</v>
      </c>
      <c r="AA687" s="3"/>
      <c r="AB687" s="3"/>
      <c r="AC687" s="4" t="s">
        <v>30</v>
      </c>
      <c r="AD687" s="3"/>
      <c r="AE687" s="3" t="s">
        <v>4045</v>
      </c>
      <c r="AF687" s="4" t="s">
        <v>30</v>
      </c>
      <c r="AH687" s="4">
        <v>0</v>
      </c>
      <c r="AI687" s="3" t="s">
        <v>4040</v>
      </c>
      <c r="AJ687" s="4" t="s">
        <v>4043</v>
      </c>
      <c r="AK687" s="4"/>
      <c r="AL687" s="3"/>
    </row>
    <row r="688" spans="1:38" x14ac:dyDescent="0.35">
      <c r="A688" s="3" t="s">
        <v>4046</v>
      </c>
      <c r="B688" s="4" t="s">
        <v>3937</v>
      </c>
      <c r="C688" s="4">
        <f>VLOOKUP(A688, [1]Planilha1!$A$3:$B$1015,2,FALSE)</f>
        <v>0</v>
      </c>
      <c r="D688" s="4">
        <f t="shared" si="10"/>
        <v>0</v>
      </c>
      <c r="E688" s="4" t="s">
        <v>1125</v>
      </c>
      <c r="F688" s="3" t="s">
        <v>3934</v>
      </c>
      <c r="G688" s="3" t="s">
        <v>214</v>
      </c>
      <c r="H688" s="3" t="s">
        <v>44</v>
      </c>
      <c r="I688" s="3" t="s">
        <v>33</v>
      </c>
      <c r="J688" s="3" t="s">
        <v>60</v>
      </c>
      <c r="K688" s="3" t="s">
        <v>4048</v>
      </c>
      <c r="L688" s="1">
        <v>46035.334490740737</v>
      </c>
      <c r="M688" s="1">
        <v>46035.352256944447</v>
      </c>
      <c r="N688" s="1">
        <v>46038.375</v>
      </c>
      <c r="O688" s="3" t="s">
        <v>43</v>
      </c>
      <c r="P688" s="3" t="s">
        <v>3937</v>
      </c>
      <c r="Q688" s="3" t="s">
        <v>35</v>
      </c>
      <c r="R688" s="3" t="s">
        <v>3936</v>
      </c>
      <c r="S688" s="3" t="s">
        <v>144</v>
      </c>
      <c r="T688" s="3" t="s">
        <v>143</v>
      </c>
      <c r="U688" s="4" t="b">
        <v>1</v>
      </c>
      <c r="V688" s="3" t="s">
        <v>31</v>
      </c>
      <c r="W688" s="1"/>
      <c r="Y688" s="3" t="s">
        <v>32</v>
      </c>
      <c r="Z688" s="3" t="s">
        <v>32</v>
      </c>
      <c r="AA688" s="3"/>
      <c r="AB688" s="3"/>
      <c r="AC688" s="4" t="s">
        <v>30</v>
      </c>
      <c r="AD688" s="3"/>
      <c r="AE688" s="3" t="s">
        <v>3937</v>
      </c>
      <c r="AF688" s="4" t="s">
        <v>30</v>
      </c>
      <c r="AH688" s="4">
        <v>0</v>
      </c>
      <c r="AI688" s="3" t="s">
        <v>4047</v>
      </c>
      <c r="AJ688" s="4" t="s">
        <v>3935</v>
      </c>
      <c r="AK688" s="4"/>
      <c r="AL688" s="3"/>
    </row>
    <row r="689" spans="1:38" x14ac:dyDescent="0.35">
      <c r="A689" s="3" t="s">
        <v>4049</v>
      </c>
      <c r="B689" s="4" t="s">
        <v>4054</v>
      </c>
      <c r="C689" s="4">
        <f>VLOOKUP(A689, [1]Planilha1!$A$3:$B$1015,2,FALSE)</f>
        <v>2739</v>
      </c>
      <c r="D689" s="4">
        <f t="shared" si="10"/>
        <v>0.76083333333333336</v>
      </c>
      <c r="E689" s="4" t="s">
        <v>1125</v>
      </c>
      <c r="F689" s="3" t="s">
        <v>4052</v>
      </c>
      <c r="G689" s="3" t="s">
        <v>4050</v>
      </c>
      <c r="H689" s="3" t="s">
        <v>138</v>
      </c>
      <c r="I689" s="3" t="s">
        <v>33</v>
      </c>
      <c r="J689" s="3" t="s">
        <v>41</v>
      </c>
      <c r="L689" s="1">
        <v>46035.324895833335</v>
      </c>
      <c r="M689" s="1">
        <v>46035.324895833335</v>
      </c>
      <c r="N689" s="1">
        <v>46035.35659722222</v>
      </c>
      <c r="O689" s="3" t="s">
        <v>137</v>
      </c>
      <c r="P689" s="3" t="s">
        <v>4054</v>
      </c>
      <c r="Q689" s="3" t="s">
        <v>42</v>
      </c>
      <c r="R689" s="3" t="s">
        <v>4053</v>
      </c>
      <c r="S689" s="3" t="s">
        <v>37</v>
      </c>
      <c r="T689" s="3" t="s">
        <v>36</v>
      </c>
      <c r="U689" s="4" t="b">
        <v>1</v>
      </c>
      <c r="V689" s="3" t="s">
        <v>28</v>
      </c>
      <c r="W689" s="1"/>
      <c r="Y689" s="3" t="s">
        <v>29</v>
      </c>
      <c r="Z689" s="3" t="s">
        <v>29</v>
      </c>
      <c r="AA689" s="3"/>
      <c r="AB689" s="3"/>
      <c r="AC689" s="4" t="s">
        <v>30</v>
      </c>
      <c r="AD689" s="3"/>
      <c r="AE689" s="3" t="s">
        <v>4054</v>
      </c>
      <c r="AF689" s="4" t="s">
        <v>30</v>
      </c>
      <c r="AH689" s="4">
        <v>0</v>
      </c>
      <c r="AI689" s="3" t="s">
        <v>4051</v>
      </c>
      <c r="AJ689" s="4" t="s">
        <v>5917</v>
      </c>
      <c r="AK689" s="4"/>
      <c r="AL689" s="3"/>
    </row>
    <row r="690" spans="1:38" x14ac:dyDescent="0.35">
      <c r="A690" s="3" t="s">
        <v>4055</v>
      </c>
      <c r="B690" s="4" t="s">
        <v>4061</v>
      </c>
      <c r="C690" s="4">
        <f>VLOOKUP(A690, [1]Planilha1!$A$3:$B$1015,2,FALSE)</f>
        <v>4209</v>
      </c>
      <c r="D690" s="4">
        <f t="shared" si="10"/>
        <v>1.1691666666666667</v>
      </c>
      <c r="E690" s="4" t="s">
        <v>1125</v>
      </c>
      <c r="F690" s="3" t="s">
        <v>4058</v>
      </c>
      <c r="G690" s="3" t="s">
        <v>4056</v>
      </c>
      <c r="H690" s="3" t="s">
        <v>622</v>
      </c>
      <c r="I690" s="3" t="s">
        <v>33</v>
      </c>
      <c r="J690" s="3" t="s">
        <v>41</v>
      </c>
      <c r="L690" s="1">
        <v>46035.298576388886</v>
      </c>
      <c r="M690" s="1">
        <v>46035.298576388886</v>
      </c>
      <c r="N690" s="1">
        <v>46035.347291666665</v>
      </c>
      <c r="O690" s="3" t="s">
        <v>621</v>
      </c>
      <c r="P690" s="3" t="s">
        <v>4061</v>
      </c>
      <c r="Q690" s="3" t="s">
        <v>42</v>
      </c>
      <c r="R690" s="3" t="s">
        <v>4060</v>
      </c>
      <c r="S690" s="3" t="s">
        <v>37</v>
      </c>
      <c r="T690" s="3" t="s">
        <v>36</v>
      </c>
      <c r="U690" s="4" t="b">
        <v>1</v>
      </c>
      <c r="V690" s="3" t="s">
        <v>28</v>
      </c>
      <c r="W690" s="1"/>
      <c r="Y690" s="3" t="s">
        <v>29</v>
      </c>
      <c r="Z690" s="3" t="s">
        <v>29</v>
      </c>
      <c r="AA690" s="3"/>
      <c r="AB690" s="3"/>
      <c r="AC690" s="4" t="s">
        <v>30</v>
      </c>
      <c r="AD690" s="3"/>
      <c r="AE690" s="3" t="s">
        <v>4061</v>
      </c>
      <c r="AF690" s="4" t="s">
        <v>30</v>
      </c>
      <c r="AH690" s="4">
        <v>0</v>
      </c>
      <c r="AI690" s="3" t="s">
        <v>4057</v>
      </c>
      <c r="AJ690" s="4" t="s">
        <v>4059</v>
      </c>
      <c r="AK690" s="4"/>
      <c r="AL690" s="3"/>
    </row>
    <row r="691" spans="1:38" x14ac:dyDescent="0.35">
      <c r="A691" s="3" t="s">
        <v>4062</v>
      </c>
      <c r="B691" s="4" t="s">
        <v>4068</v>
      </c>
      <c r="C691" s="4">
        <f>VLOOKUP(A691, [1]Planilha1!$A$3:$B$1015,2,FALSE)</f>
        <v>68742</v>
      </c>
      <c r="D691" s="4">
        <f t="shared" si="10"/>
        <v>19.094999999999999</v>
      </c>
      <c r="E691" s="4" t="s">
        <v>1125</v>
      </c>
      <c r="F691" s="3" t="s">
        <v>4065</v>
      </c>
      <c r="G691" s="3" t="s">
        <v>4063</v>
      </c>
      <c r="H691" s="3" t="s">
        <v>722</v>
      </c>
      <c r="I691" s="3" t="s">
        <v>33</v>
      </c>
      <c r="J691" s="3" t="s">
        <v>250</v>
      </c>
      <c r="L691" s="1">
        <v>46035.065289351849</v>
      </c>
      <c r="M691" s="1">
        <v>46035.065289351849</v>
      </c>
      <c r="N691" s="1">
        <v>46038.625</v>
      </c>
      <c r="O691" s="3" t="s">
        <v>745</v>
      </c>
      <c r="P691" s="3" t="s">
        <v>4068</v>
      </c>
      <c r="Q691" s="3" t="s">
        <v>35</v>
      </c>
      <c r="R691" s="3" t="s">
        <v>4067</v>
      </c>
      <c r="S691" s="3" t="s">
        <v>37</v>
      </c>
      <c r="T691" s="3" t="s">
        <v>36</v>
      </c>
      <c r="U691" s="4" t="b">
        <v>1</v>
      </c>
      <c r="V691" s="3" t="s">
        <v>28</v>
      </c>
      <c r="W691" s="1"/>
      <c r="Y691" s="3" t="s">
        <v>29</v>
      </c>
      <c r="Z691" s="3" t="s">
        <v>29</v>
      </c>
      <c r="AA691" s="3"/>
      <c r="AB691" s="3"/>
      <c r="AC691" s="4" t="s">
        <v>30</v>
      </c>
      <c r="AD691" s="3"/>
      <c r="AE691" s="3" t="s">
        <v>4068</v>
      </c>
      <c r="AF691" s="4" t="s">
        <v>30</v>
      </c>
      <c r="AH691" s="4">
        <v>1</v>
      </c>
      <c r="AI691" s="3" t="s">
        <v>4064</v>
      </c>
      <c r="AJ691" s="4" t="s">
        <v>4066</v>
      </c>
      <c r="AK691" s="4"/>
      <c r="AL691" s="3"/>
    </row>
    <row r="692" spans="1:38" x14ac:dyDescent="0.35">
      <c r="A692" s="3" t="s">
        <v>4069</v>
      </c>
      <c r="B692" s="4" t="s">
        <v>94</v>
      </c>
      <c r="C692" s="4">
        <f>VLOOKUP(A692, [1]Planilha1!$A$3:$B$1015,2,FALSE)</f>
        <v>4466</v>
      </c>
      <c r="D692" s="4">
        <f t="shared" si="10"/>
        <v>1.2405555555555556</v>
      </c>
      <c r="E692" s="4" t="s">
        <v>1125</v>
      </c>
      <c r="F692" s="3" t="s">
        <v>92</v>
      </c>
      <c r="G692" s="3" t="s">
        <v>4070</v>
      </c>
      <c r="H692" s="3" t="s">
        <v>44</v>
      </c>
      <c r="I692" s="3" t="s">
        <v>33</v>
      </c>
      <c r="J692" s="3" t="s">
        <v>41</v>
      </c>
      <c r="L692" s="1">
        <v>46034.793611111112</v>
      </c>
      <c r="M692" s="1">
        <v>46034.793611111112</v>
      </c>
      <c r="N692" s="1">
        <v>46035.343356481484</v>
      </c>
      <c r="O692" s="3" t="s">
        <v>43</v>
      </c>
      <c r="P692" s="3" t="s">
        <v>94</v>
      </c>
      <c r="Q692" s="3" t="s">
        <v>42</v>
      </c>
      <c r="R692" s="3" t="s">
        <v>93</v>
      </c>
      <c r="S692" s="3" t="s">
        <v>37</v>
      </c>
      <c r="T692" s="3" t="s">
        <v>36</v>
      </c>
      <c r="U692" s="4" t="b">
        <v>1</v>
      </c>
      <c r="V692" s="3" t="s">
        <v>28</v>
      </c>
      <c r="W692" s="1"/>
      <c r="Y692" s="3" t="s">
        <v>29</v>
      </c>
      <c r="Z692" s="3" t="s">
        <v>29</v>
      </c>
      <c r="AA692" s="3"/>
      <c r="AB692" s="3"/>
      <c r="AC692" s="4" t="s">
        <v>30</v>
      </c>
      <c r="AD692" s="3"/>
      <c r="AE692" s="3" t="s">
        <v>94</v>
      </c>
      <c r="AF692" s="4" t="s">
        <v>30</v>
      </c>
      <c r="AH692" s="4">
        <v>0</v>
      </c>
      <c r="AI692" s="3" t="s">
        <v>4071</v>
      </c>
      <c r="AJ692" s="4"/>
      <c r="AK692" s="4"/>
      <c r="AL692" s="3"/>
    </row>
    <row r="693" spans="1:38" x14ac:dyDescent="0.35">
      <c r="A693" s="3" t="s">
        <v>4080</v>
      </c>
      <c r="B693" s="4" t="s">
        <v>4086</v>
      </c>
      <c r="C693" s="4">
        <f>VLOOKUP(A693, [1]Planilha1!$A$3:$B$1015,2,FALSE)</f>
        <v>23402</v>
      </c>
      <c r="D693" s="4">
        <f t="shared" si="10"/>
        <v>6.5005555555555556</v>
      </c>
      <c r="E693" s="4" t="s">
        <v>1125</v>
      </c>
      <c r="F693" s="3" t="s">
        <v>4083</v>
      </c>
      <c r="G693" s="3" t="s">
        <v>4081</v>
      </c>
      <c r="H693" s="3" t="s">
        <v>44</v>
      </c>
      <c r="I693" s="3" t="s">
        <v>33</v>
      </c>
      <c r="J693" s="3" t="s">
        <v>41</v>
      </c>
      <c r="L693" s="1">
        <v>46034.716296296298</v>
      </c>
      <c r="M693" s="1">
        <v>46034.716296296298</v>
      </c>
      <c r="N693" s="1">
        <v>46035.415671296294</v>
      </c>
      <c r="O693" s="3" t="s">
        <v>43</v>
      </c>
      <c r="P693" s="3" t="s">
        <v>4086</v>
      </c>
      <c r="Q693" s="3" t="s">
        <v>42</v>
      </c>
      <c r="R693" s="3" t="s">
        <v>4085</v>
      </c>
      <c r="S693" s="3" t="s">
        <v>37</v>
      </c>
      <c r="T693" s="3" t="s">
        <v>36</v>
      </c>
      <c r="U693" s="4" t="b">
        <v>1</v>
      </c>
      <c r="V693" s="3" t="s">
        <v>28</v>
      </c>
      <c r="W693" s="1"/>
      <c r="Y693" s="3" t="s">
        <v>29</v>
      </c>
      <c r="Z693" s="3" t="s">
        <v>29</v>
      </c>
      <c r="AA693" s="3"/>
      <c r="AB693" s="3"/>
      <c r="AC693" s="4" t="s">
        <v>30</v>
      </c>
      <c r="AD693" s="3"/>
      <c r="AE693" s="3" t="s">
        <v>4086</v>
      </c>
      <c r="AF693" s="4" t="s">
        <v>30</v>
      </c>
      <c r="AH693" s="4">
        <v>2</v>
      </c>
      <c r="AI693" s="3" t="s">
        <v>4082</v>
      </c>
      <c r="AJ693" s="4" t="s">
        <v>4084</v>
      </c>
      <c r="AK693" s="4"/>
      <c r="AL693" s="3"/>
    </row>
    <row r="694" spans="1:38" x14ac:dyDescent="0.35">
      <c r="A694" s="3" t="s">
        <v>4087</v>
      </c>
      <c r="B694" s="4" t="s">
        <v>4094</v>
      </c>
      <c r="C694" s="4">
        <f>VLOOKUP(A694, [1]Planilha1!$A$3:$B$1015,2,FALSE)</f>
        <v>128666</v>
      </c>
      <c r="D694" s="4">
        <f t="shared" si="10"/>
        <v>35.740555555555552</v>
      </c>
      <c r="E694" s="4" t="s">
        <v>1125</v>
      </c>
      <c r="F694" s="3" t="s">
        <v>4091</v>
      </c>
      <c r="G694" s="3" t="s">
        <v>4088</v>
      </c>
      <c r="H694" s="3" t="s">
        <v>148</v>
      </c>
      <c r="I694" s="3" t="s">
        <v>33</v>
      </c>
      <c r="J694" s="3" t="s">
        <v>41</v>
      </c>
      <c r="K694" s="3" t="s">
        <v>4090</v>
      </c>
      <c r="L694" s="1">
        <v>46034.709050925929</v>
      </c>
      <c r="M694" s="1">
        <v>46034.721863425926</v>
      </c>
      <c r="N694" s="1">
        <v>46048.427893518521</v>
      </c>
      <c r="O694" s="3" t="s">
        <v>1242</v>
      </c>
      <c r="P694" s="3" t="s">
        <v>4094</v>
      </c>
      <c r="Q694" s="3" t="s">
        <v>35</v>
      </c>
      <c r="R694" s="3" t="s">
        <v>4093</v>
      </c>
      <c r="S694" s="3" t="s">
        <v>98</v>
      </c>
      <c r="T694" s="3" t="s">
        <v>97</v>
      </c>
      <c r="U694" s="4" t="b">
        <v>1</v>
      </c>
      <c r="V694" s="3" t="s">
        <v>31</v>
      </c>
      <c r="W694" s="1"/>
      <c r="Y694" s="3" t="s">
        <v>32</v>
      </c>
      <c r="Z694" s="3" t="s">
        <v>32</v>
      </c>
      <c r="AA694" s="3"/>
      <c r="AB694" s="3"/>
      <c r="AC694" s="4" t="s">
        <v>30</v>
      </c>
      <c r="AD694" s="3"/>
      <c r="AE694" s="3" t="s">
        <v>4094</v>
      </c>
      <c r="AF694" s="4" t="s">
        <v>30</v>
      </c>
      <c r="AH694" s="4">
        <v>2</v>
      </c>
      <c r="AI694" s="3" t="s">
        <v>4089</v>
      </c>
      <c r="AJ694" s="4" t="s">
        <v>4092</v>
      </c>
      <c r="AK694" s="4"/>
      <c r="AL694" s="3"/>
    </row>
    <row r="695" spans="1:38" x14ac:dyDescent="0.35">
      <c r="A695" s="3" t="s">
        <v>4095</v>
      </c>
      <c r="B695" s="4" t="s">
        <v>58</v>
      </c>
      <c r="C695" s="4">
        <f>VLOOKUP(A695, [1]Planilha1!$A$3:$B$1015,2,FALSE)</f>
        <v>29907</v>
      </c>
      <c r="D695" s="4">
        <f t="shared" si="10"/>
        <v>8.3074999999999992</v>
      </c>
      <c r="E695" s="4" t="s">
        <v>1125</v>
      </c>
      <c r="F695" s="3" t="s">
        <v>54</v>
      </c>
      <c r="G695" s="3" t="s">
        <v>4096</v>
      </c>
      <c r="H695" s="3" t="s">
        <v>897</v>
      </c>
      <c r="I695" s="3" t="s">
        <v>33</v>
      </c>
      <c r="J695" s="3" t="s">
        <v>152</v>
      </c>
      <c r="L695" s="1">
        <v>46034.706712962965</v>
      </c>
      <c r="M695" s="1">
        <v>46034.725185185183</v>
      </c>
      <c r="N695" s="1">
        <v>46037.359224537038</v>
      </c>
      <c r="O695" s="3" t="s">
        <v>896</v>
      </c>
      <c r="P695" s="3" t="s">
        <v>57</v>
      </c>
      <c r="Q695" s="3" t="s">
        <v>52</v>
      </c>
      <c r="R695" s="3" t="s">
        <v>56</v>
      </c>
      <c r="S695" s="3" t="s">
        <v>64</v>
      </c>
      <c r="T695" s="3" t="s">
        <v>63</v>
      </c>
      <c r="U695" s="4" t="b">
        <v>0</v>
      </c>
      <c r="V695" s="3" t="s">
        <v>28</v>
      </c>
      <c r="W695" s="1"/>
      <c r="Y695" s="3" t="s">
        <v>29</v>
      </c>
      <c r="Z695" s="3" t="s">
        <v>29</v>
      </c>
      <c r="AA695" s="3" t="s">
        <v>4098</v>
      </c>
      <c r="AB695" s="3" t="s">
        <v>58</v>
      </c>
      <c r="AC695" s="4" t="s">
        <v>30</v>
      </c>
      <c r="AD695" s="3" t="s">
        <v>59</v>
      </c>
      <c r="AE695" s="3" t="s">
        <v>57</v>
      </c>
      <c r="AF695" s="4" t="s">
        <v>30</v>
      </c>
      <c r="AH695" s="4">
        <v>2</v>
      </c>
      <c r="AI695" s="3" t="s">
        <v>4097</v>
      </c>
      <c r="AJ695" s="4" t="s">
        <v>55</v>
      </c>
      <c r="AK695" s="4" t="s">
        <v>4099</v>
      </c>
      <c r="AL695" s="3"/>
    </row>
    <row r="696" spans="1:38" x14ac:dyDescent="0.35">
      <c r="A696" s="3" t="s">
        <v>4100</v>
      </c>
      <c r="B696" s="4" t="s">
        <v>4054</v>
      </c>
      <c r="C696" s="4">
        <f>VLOOKUP(A696, [1]Planilha1!$A$3:$B$1015,2,FALSE)</f>
        <v>1581</v>
      </c>
      <c r="D696" s="4">
        <f t="shared" si="10"/>
        <v>0.43916666666666665</v>
      </c>
      <c r="E696" s="4" t="s">
        <v>1125</v>
      </c>
      <c r="F696" s="3" t="s">
        <v>4052</v>
      </c>
      <c r="G696" s="3" t="s">
        <v>4101</v>
      </c>
      <c r="H696" s="3" t="s">
        <v>622</v>
      </c>
      <c r="I696" s="3" t="s">
        <v>33</v>
      </c>
      <c r="J696" s="3" t="s">
        <v>41</v>
      </c>
      <c r="L696" s="1">
        <v>46034.705810185187</v>
      </c>
      <c r="M696" s="1">
        <v>46034.705810185187</v>
      </c>
      <c r="N696" s="1">
        <v>46034.711909722224</v>
      </c>
      <c r="O696" s="3" t="s">
        <v>621</v>
      </c>
      <c r="P696" s="3" t="s">
        <v>4054</v>
      </c>
      <c r="Q696" s="3" t="s">
        <v>42</v>
      </c>
      <c r="R696" s="3" t="s">
        <v>4053</v>
      </c>
      <c r="S696" s="3" t="s">
        <v>37</v>
      </c>
      <c r="T696" s="3" t="s">
        <v>36</v>
      </c>
      <c r="U696" s="4" t="b">
        <v>1</v>
      </c>
      <c r="V696" s="3" t="s">
        <v>28</v>
      </c>
      <c r="W696" s="1"/>
      <c r="Y696" s="3" t="s">
        <v>29</v>
      </c>
      <c r="Z696" s="3" t="s">
        <v>29</v>
      </c>
      <c r="AA696" s="3"/>
      <c r="AB696" s="3"/>
      <c r="AC696" s="4" t="s">
        <v>30</v>
      </c>
      <c r="AD696" s="3"/>
      <c r="AE696" s="3" t="s">
        <v>4054</v>
      </c>
      <c r="AF696" s="4" t="s">
        <v>30</v>
      </c>
      <c r="AH696" s="4">
        <v>0</v>
      </c>
      <c r="AI696" s="3" t="s">
        <v>4102</v>
      </c>
      <c r="AJ696" s="4" t="s">
        <v>5917</v>
      </c>
      <c r="AK696" s="4"/>
      <c r="AL696" s="3"/>
    </row>
    <row r="697" spans="1:38" x14ac:dyDescent="0.35">
      <c r="A697" s="3" t="s">
        <v>4103</v>
      </c>
      <c r="B697" s="4" t="s">
        <v>4054</v>
      </c>
      <c r="C697" s="4">
        <f>VLOOKUP(A697, [1]Planilha1!$A$3:$B$1015,2,FALSE)</f>
        <v>1488</v>
      </c>
      <c r="D697" s="4">
        <f t="shared" si="10"/>
        <v>0.41333333333333333</v>
      </c>
      <c r="E697" s="4" t="s">
        <v>1125</v>
      </c>
      <c r="F697" s="3" t="s">
        <v>4052</v>
      </c>
      <c r="G697" s="3" t="s">
        <v>4104</v>
      </c>
      <c r="H697" s="3" t="s">
        <v>622</v>
      </c>
      <c r="I697" s="3" t="s">
        <v>33</v>
      </c>
      <c r="J697" s="3" t="s">
        <v>41</v>
      </c>
      <c r="L697" s="1">
        <v>46034.704641203702</v>
      </c>
      <c r="M697" s="1">
        <v>46034.704641203702</v>
      </c>
      <c r="N697" s="1">
        <v>46034.710381944446</v>
      </c>
      <c r="O697" s="3" t="s">
        <v>621</v>
      </c>
      <c r="P697" s="3" t="s">
        <v>4054</v>
      </c>
      <c r="Q697" s="3" t="s">
        <v>42</v>
      </c>
      <c r="R697" s="3" t="s">
        <v>4053</v>
      </c>
      <c r="S697" s="3" t="s">
        <v>37</v>
      </c>
      <c r="T697" s="3" t="s">
        <v>36</v>
      </c>
      <c r="U697" s="4" t="b">
        <v>1</v>
      </c>
      <c r="V697" s="3" t="s">
        <v>28</v>
      </c>
      <c r="W697" s="1"/>
      <c r="Y697" s="3" t="s">
        <v>29</v>
      </c>
      <c r="Z697" s="3" t="s">
        <v>29</v>
      </c>
      <c r="AA697" s="3"/>
      <c r="AB697" s="3"/>
      <c r="AC697" s="4" t="s">
        <v>30</v>
      </c>
      <c r="AD697" s="3"/>
      <c r="AE697" s="3" t="s">
        <v>4054</v>
      </c>
      <c r="AF697" s="4" t="s">
        <v>30</v>
      </c>
      <c r="AH697" s="4">
        <v>0</v>
      </c>
      <c r="AI697" s="3" t="s">
        <v>4105</v>
      </c>
      <c r="AJ697" s="4" t="s">
        <v>5917</v>
      </c>
      <c r="AK697" s="4"/>
      <c r="AL697" s="3"/>
    </row>
    <row r="698" spans="1:38" x14ac:dyDescent="0.35">
      <c r="A698" s="3" t="s">
        <v>4106</v>
      </c>
      <c r="B698" s="4" t="s">
        <v>4111</v>
      </c>
      <c r="C698" s="4">
        <f>VLOOKUP(A698, [1]Planilha1!$A$3:$B$1015,2,FALSE)</f>
        <v>20624</v>
      </c>
      <c r="D698" s="4">
        <f t="shared" si="10"/>
        <v>5.7288888888888891</v>
      </c>
      <c r="E698" s="4" t="s">
        <v>1125</v>
      </c>
      <c r="F698" s="3" t="s">
        <v>4109</v>
      </c>
      <c r="G698" s="3" t="s">
        <v>4107</v>
      </c>
      <c r="H698" s="3" t="s">
        <v>224</v>
      </c>
      <c r="I698" s="3" t="s">
        <v>33</v>
      </c>
      <c r="J698" s="3" t="s">
        <v>41</v>
      </c>
      <c r="K698" s="3" t="s">
        <v>818</v>
      </c>
      <c r="L698" s="1">
        <v>46034.694155092591</v>
      </c>
      <c r="M698" s="1">
        <v>46034.694155092591</v>
      </c>
      <c r="N698" s="1">
        <v>46035.376006944447</v>
      </c>
      <c r="O698" s="3" t="s">
        <v>223</v>
      </c>
      <c r="P698" s="3" t="s">
        <v>4111</v>
      </c>
      <c r="Q698" s="3" t="s">
        <v>35</v>
      </c>
      <c r="R698" s="3" t="s">
        <v>4110</v>
      </c>
      <c r="S698" s="3" t="s">
        <v>37</v>
      </c>
      <c r="T698" s="3" t="s">
        <v>36</v>
      </c>
      <c r="U698" s="4" t="b">
        <v>1</v>
      </c>
      <c r="V698" s="3" t="s">
        <v>28</v>
      </c>
      <c r="W698" s="1"/>
      <c r="Y698" s="3" t="s">
        <v>29</v>
      </c>
      <c r="Z698" s="3" t="s">
        <v>29</v>
      </c>
      <c r="AA698" s="3"/>
      <c r="AB698" s="3"/>
      <c r="AC698" s="4" t="s">
        <v>30</v>
      </c>
      <c r="AD698" s="3"/>
      <c r="AE698" s="3" t="s">
        <v>4111</v>
      </c>
      <c r="AF698" s="4" t="s">
        <v>30</v>
      </c>
      <c r="AH698" s="4">
        <v>1</v>
      </c>
      <c r="AI698" s="3" t="s">
        <v>4108</v>
      </c>
      <c r="AJ698" s="4" t="s">
        <v>5918</v>
      </c>
      <c r="AK698" s="4"/>
      <c r="AL698" s="3"/>
    </row>
    <row r="699" spans="1:38" x14ac:dyDescent="0.35">
      <c r="A699" s="3" t="s">
        <v>4116</v>
      </c>
      <c r="B699" s="4" t="s">
        <v>4121</v>
      </c>
      <c r="C699" s="4">
        <f>VLOOKUP(A699, [1]Planilha1!$A$3:$B$1015,2,FALSE)</f>
        <v>2770</v>
      </c>
      <c r="D699" s="4">
        <f t="shared" si="10"/>
        <v>0.76944444444444449</v>
      </c>
      <c r="E699" s="4" t="s">
        <v>1125</v>
      </c>
      <c r="F699" s="3" t="s">
        <v>4119</v>
      </c>
      <c r="G699" s="3" t="s">
        <v>676</v>
      </c>
      <c r="H699" s="3" t="s">
        <v>44</v>
      </c>
      <c r="I699" s="3" t="s">
        <v>33</v>
      </c>
      <c r="J699" s="3" t="s">
        <v>41</v>
      </c>
      <c r="K699" s="3" t="s">
        <v>4118</v>
      </c>
      <c r="L699" s="1">
        <v>46034.668969907405</v>
      </c>
      <c r="M699" s="1">
        <v>46034.679537037038</v>
      </c>
      <c r="N699" s="1">
        <v>46034.695567129631</v>
      </c>
      <c r="O699" s="3" t="s">
        <v>43</v>
      </c>
      <c r="P699" s="3" t="s">
        <v>4121</v>
      </c>
      <c r="Q699" s="3" t="s">
        <v>42</v>
      </c>
      <c r="R699" s="3" t="s">
        <v>4120</v>
      </c>
      <c r="S699" s="3" t="s">
        <v>190</v>
      </c>
      <c r="T699" s="3" t="s">
        <v>189</v>
      </c>
      <c r="U699" s="4" t="b">
        <v>1</v>
      </c>
      <c r="V699" s="3" t="s">
        <v>31</v>
      </c>
      <c r="W699" s="1"/>
      <c r="Y699" s="3" t="s">
        <v>32</v>
      </c>
      <c r="Z699" s="3" t="s">
        <v>32</v>
      </c>
      <c r="AA699" s="3"/>
      <c r="AB699" s="3"/>
      <c r="AC699" s="4" t="s">
        <v>30</v>
      </c>
      <c r="AD699" s="3"/>
      <c r="AE699" s="3" t="s">
        <v>4121</v>
      </c>
      <c r="AF699" s="4" t="s">
        <v>30</v>
      </c>
      <c r="AH699" s="4">
        <v>1</v>
      </c>
      <c r="AI699" s="3" t="s">
        <v>4117</v>
      </c>
      <c r="AJ699" s="4"/>
      <c r="AK699" s="4"/>
      <c r="AL699" s="3"/>
    </row>
    <row r="700" spans="1:38" x14ac:dyDescent="0.35">
      <c r="A700" s="3" t="s">
        <v>4122</v>
      </c>
      <c r="B700" s="4"/>
      <c r="C700" s="4">
        <f>VLOOKUP(A700, [1]Planilha1!$A$3:$B$1015,2,FALSE)</f>
        <v>30874</v>
      </c>
      <c r="D700" s="4">
        <f t="shared" si="10"/>
        <v>8.5761111111111106</v>
      </c>
      <c r="E700" s="4" t="s">
        <v>1125</v>
      </c>
      <c r="F700" s="3" t="s">
        <v>4124</v>
      </c>
      <c r="G700" s="3" t="s">
        <v>722</v>
      </c>
      <c r="H700" s="3" t="s">
        <v>224</v>
      </c>
      <c r="I700" s="3" t="s">
        <v>33</v>
      </c>
      <c r="J700" s="3" t="s">
        <v>41</v>
      </c>
      <c r="K700" s="3" t="s">
        <v>362</v>
      </c>
      <c r="L700" s="1">
        <v>46034.666944444441</v>
      </c>
      <c r="M700" s="1">
        <v>46034.666944444441</v>
      </c>
      <c r="N700" s="1">
        <v>46035.358171296299</v>
      </c>
      <c r="O700" s="3" t="s">
        <v>223</v>
      </c>
      <c r="Q700" s="3" t="s">
        <v>35</v>
      </c>
      <c r="R700" s="3" t="s">
        <v>4126</v>
      </c>
      <c r="S700" s="3" t="s">
        <v>37</v>
      </c>
      <c r="T700" s="3" t="s">
        <v>36</v>
      </c>
      <c r="U700" s="4" t="b">
        <v>1</v>
      </c>
      <c r="V700" s="3" t="s">
        <v>28</v>
      </c>
      <c r="W700" s="1"/>
      <c r="Y700" s="3" t="s">
        <v>29</v>
      </c>
      <c r="Z700" s="3" t="s">
        <v>29</v>
      </c>
      <c r="AA700" s="3"/>
      <c r="AB700" s="3"/>
      <c r="AC700" s="4" t="s">
        <v>30</v>
      </c>
      <c r="AD700" s="3"/>
      <c r="AE700" s="3"/>
      <c r="AF700" s="4" t="s">
        <v>30</v>
      </c>
      <c r="AH700" s="4">
        <v>1</v>
      </c>
      <c r="AI700" s="3" t="s">
        <v>4123</v>
      </c>
      <c r="AJ700" s="4" t="s">
        <v>4125</v>
      </c>
      <c r="AK700" s="4"/>
      <c r="AL700" s="3"/>
    </row>
    <row r="701" spans="1:38" x14ac:dyDescent="0.35">
      <c r="A701" s="3" t="s">
        <v>4127</v>
      </c>
      <c r="B701" s="4" t="s">
        <v>4133</v>
      </c>
      <c r="C701" s="4">
        <f>VLOOKUP(A701, [1]Planilha1!$A$3:$B$1015,2,FALSE)</f>
        <v>32649</v>
      </c>
      <c r="D701" s="4">
        <f t="shared" si="10"/>
        <v>9.0691666666666659</v>
      </c>
      <c r="E701" s="4" t="s">
        <v>1125</v>
      </c>
      <c r="F701" s="3" t="s">
        <v>4130</v>
      </c>
      <c r="G701" s="3" t="s">
        <v>1757</v>
      </c>
      <c r="H701" s="3" t="s">
        <v>171</v>
      </c>
      <c r="I701" s="3" t="s">
        <v>33</v>
      </c>
      <c r="J701" s="3" t="s">
        <v>41</v>
      </c>
      <c r="K701" s="3" t="s">
        <v>4129</v>
      </c>
      <c r="L701" s="1">
        <v>46034.665891203702</v>
      </c>
      <c r="M701" s="1">
        <v>46034.665891203702</v>
      </c>
      <c r="N701" s="1">
        <v>46035.375185185185</v>
      </c>
      <c r="O701" s="3" t="s">
        <v>170</v>
      </c>
      <c r="P701" s="3" t="s">
        <v>4133</v>
      </c>
      <c r="Q701" s="3" t="s">
        <v>42</v>
      </c>
      <c r="R701" s="3" t="s">
        <v>4132</v>
      </c>
      <c r="S701" s="3" t="s">
        <v>37</v>
      </c>
      <c r="T701" s="3" t="s">
        <v>36</v>
      </c>
      <c r="U701" s="4" t="b">
        <v>1</v>
      </c>
      <c r="V701" s="3" t="s">
        <v>28</v>
      </c>
      <c r="W701" s="1"/>
      <c r="Y701" s="3" t="s">
        <v>29</v>
      </c>
      <c r="Z701" s="3" t="s">
        <v>29</v>
      </c>
      <c r="AA701" s="3"/>
      <c r="AB701" s="3"/>
      <c r="AC701" s="4" t="s">
        <v>30</v>
      </c>
      <c r="AD701" s="3"/>
      <c r="AE701" s="3" t="s">
        <v>4133</v>
      </c>
      <c r="AF701" s="4" t="s">
        <v>30</v>
      </c>
      <c r="AH701" s="4">
        <v>1</v>
      </c>
      <c r="AI701" s="3" t="s">
        <v>4128</v>
      </c>
      <c r="AJ701" s="4" t="s">
        <v>4131</v>
      </c>
      <c r="AK701" s="4"/>
      <c r="AL701" s="3"/>
    </row>
    <row r="702" spans="1:38" x14ac:dyDescent="0.35">
      <c r="A702" s="3" t="s">
        <v>4134</v>
      </c>
      <c r="B702" s="4" t="s">
        <v>4139</v>
      </c>
      <c r="C702" s="4">
        <f>VLOOKUP(A702, [1]Planilha1!$A$3:$B$1015,2,FALSE)</f>
        <v>3300</v>
      </c>
      <c r="D702" s="4">
        <f t="shared" si="10"/>
        <v>0.91666666666666663</v>
      </c>
      <c r="E702" s="4" t="s">
        <v>1125</v>
      </c>
      <c r="F702" s="3" t="s">
        <v>4136</v>
      </c>
      <c r="G702" s="3" t="s">
        <v>3166</v>
      </c>
      <c r="H702" s="3" t="s">
        <v>44</v>
      </c>
      <c r="I702" s="3" t="s">
        <v>33</v>
      </c>
      <c r="J702" s="3" t="s">
        <v>41</v>
      </c>
      <c r="L702" s="1">
        <v>46034.664375</v>
      </c>
      <c r="M702" s="1">
        <v>46034.67591435185</v>
      </c>
      <c r="N702" s="1">
        <v>46034.695011574076</v>
      </c>
      <c r="O702" s="3" t="s">
        <v>43</v>
      </c>
      <c r="P702" s="3" t="s">
        <v>4139</v>
      </c>
      <c r="Q702" s="3" t="s">
        <v>42</v>
      </c>
      <c r="R702" s="3" t="s">
        <v>4138</v>
      </c>
      <c r="S702" s="3" t="s">
        <v>62</v>
      </c>
      <c r="T702" s="3" t="s">
        <v>61</v>
      </c>
      <c r="U702" s="4" t="b">
        <v>1</v>
      </c>
      <c r="V702" s="3" t="s">
        <v>31</v>
      </c>
      <c r="W702" s="1"/>
      <c r="Y702" s="3" t="s">
        <v>32</v>
      </c>
      <c r="Z702" s="3" t="s">
        <v>32</v>
      </c>
      <c r="AA702" s="3"/>
      <c r="AB702" s="3"/>
      <c r="AC702" s="4" t="s">
        <v>30</v>
      </c>
      <c r="AD702" s="3"/>
      <c r="AE702" s="3" t="s">
        <v>4139</v>
      </c>
      <c r="AF702" s="4" t="s">
        <v>30</v>
      </c>
      <c r="AH702" s="4">
        <v>1</v>
      </c>
      <c r="AI702" s="3" t="s">
        <v>4135</v>
      </c>
      <c r="AJ702" s="4" t="s">
        <v>4137</v>
      </c>
      <c r="AK702" s="4"/>
      <c r="AL702" s="3"/>
    </row>
    <row r="703" spans="1:38" x14ac:dyDescent="0.35">
      <c r="A703" s="3" t="s">
        <v>4140</v>
      </c>
      <c r="B703" s="4" t="s">
        <v>4143</v>
      </c>
      <c r="C703" s="4">
        <f>VLOOKUP(A703, [1]Planilha1!$A$3:$B$1015,2,FALSE)</f>
        <v>2796</v>
      </c>
      <c r="D703" s="4">
        <f t="shared" si="10"/>
        <v>0.77666666666666662</v>
      </c>
      <c r="E703" s="4" t="s">
        <v>1125</v>
      </c>
      <c r="F703" s="3" t="s">
        <v>4136</v>
      </c>
      <c r="G703" s="3" t="s">
        <v>816</v>
      </c>
      <c r="H703" s="3" t="s">
        <v>44</v>
      </c>
      <c r="I703" s="3" t="s">
        <v>33</v>
      </c>
      <c r="J703" s="3" t="s">
        <v>41</v>
      </c>
      <c r="L703" s="1">
        <v>46034.664131944446</v>
      </c>
      <c r="M703" s="1">
        <v>46034.673252314817</v>
      </c>
      <c r="N703" s="1">
        <v>46034.689432870371</v>
      </c>
      <c r="O703" s="3" t="s">
        <v>43</v>
      </c>
      <c r="P703" s="3" t="s">
        <v>4143</v>
      </c>
      <c r="Q703" s="3" t="s">
        <v>42</v>
      </c>
      <c r="R703" s="3" t="s">
        <v>4138</v>
      </c>
      <c r="S703" s="3" t="s">
        <v>62</v>
      </c>
      <c r="T703" s="3" t="s">
        <v>61</v>
      </c>
      <c r="U703" s="4" t="b">
        <v>1</v>
      </c>
      <c r="V703" s="3" t="s">
        <v>31</v>
      </c>
      <c r="W703" s="1"/>
      <c r="Y703" s="3" t="s">
        <v>32</v>
      </c>
      <c r="Z703" s="3" t="s">
        <v>32</v>
      </c>
      <c r="AA703" s="3"/>
      <c r="AB703" s="3"/>
      <c r="AC703" s="4" t="s">
        <v>30</v>
      </c>
      <c r="AD703" s="3"/>
      <c r="AE703" s="3" t="s">
        <v>4143</v>
      </c>
      <c r="AF703" s="4" t="s">
        <v>30</v>
      </c>
      <c r="AH703" s="4">
        <v>1</v>
      </c>
      <c r="AI703" s="3" t="s">
        <v>4141</v>
      </c>
      <c r="AJ703" s="4" t="s">
        <v>4142</v>
      </c>
      <c r="AK703" s="4"/>
      <c r="AL703" s="3"/>
    </row>
    <row r="704" spans="1:38" x14ac:dyDescent="0.35">
      <c r="A704" s="3" t="s">
        <v>4144</v>
      </c>
      <c r="B704" s="4" t="s">
        <v>4150</v>
      </c>
      <c r="C704" s="4">
        <f>VLOOKUP(A704, [1]Planilha1!$A$3:$B$1015,2,FALSE)</f>
        <v>3056</v>
      </c>
      <c r="D704" s="4">
        <f t="shared" si="10"/>
        <v>0.84888888888888892</v>
      </c>
      <c r="E704" s="4" t="s">
        <v>1125</v>
      </c>
      <c r="F704" s="3" t="s">
        <v>4147</v>
      </c>
      <c r="G704" s="3" t="s">
        <v>2817</v>
      </c>
      <c r="H704" s="3" t="s">
        <v>44</v>
      </c>
      <c r="I704" s="3" t="s">
        <v>33</v>
      </c>
      <c r="J704" s="3" t="s">
        <v>60</v>
      </c>
      <c r="K704" s="3" t="s">
        <v>4146</v>
      </c>
      <c r="L704" s="1">
        <v>46034.661909722221</v>
      </c>
      <c r="M704" s="1">
        <v>46034.661909722221</v>
      </c>
      <c r="N704" s="1">
        <v>46037.708344907405</v>
      </c>
      <c r="O704" s="3" t="s">
        <v>43</v>
      </c>
      <c r="P704" s="3" t="s">
        <v>4150</v>
      </c>
      <c r="Q704" s="3" t="s">
        <v>42</v>
      </c>
      <c r="R704" s="3" t="s">
        <v>4149</v>
      </c>
      <c r="S704" s="3" t="s">
        <v>37</v>
      </c>
      <c r="T704" s="3" t="s">
        <v>36</v>
      </c>
      <c r="U704" s="4" t="b">
        <v>1</v>
      </c>
      <c r="V704" s="3" t="s">
        <v>28</v>
      </c>
      <c r="W704" s="1"/>
      <c r="Y704" s="3" t="s">
        <v>29</v>
      </c>
      <c r="Z704" s="3" t="s">
        <v>29</v>
      </c>
      <c r="AA704" s="3"/>
      <c r="AB704" s="3"/>
      <c r="AC704" s="4" t="s">
        <v>30</v>
      </c>
      <c r="AD704" s="3"/>
      <c r="AE704" s="3" t="s">
        <v>4150</v>
      </c>
      <c r="AF704" s="4" t="s">
        <v>30</v>
      </c>
      <c r="AH704" s="4">
        <v>0</v>
      </c>
      <c r="AI704" s="3" t="s">
        <v>4145</v>
      </c>
      <c r="AJ704" s="4" t="s">
        <v>4148</v>
      </c>
      <c r="AK704" s="4"/>
      <c r="AL704" s="3"/>
    </row>
    <row r="705" spans="1:38" x14ac:dyDescent="0.35">
      <c r="A705" s="3" t="s">
        <v>4151</v>
      </c>
      <c r="B705" s="4" t="s">
        <v>4155</v>
      </c>
      <c r="C705" s="4">
        <f>VLOOKUP(A705, [1]Planilha1!$A$3:$B$1015,2,FALSE)</f>
        <v>3250</v>
      </c>
      <c r="D705" s="4">
        <f t="shared" si="10"/>
        <v>0.90277777777777779</v>
      </c>
      <c r="E705" s="4" t="s">
        <v>1125</v>
      </c>
      <c r="F705" s="3" t="s">
        <v>4136</v>
      </c>
      <c r="G705" s="3" t="s">
        <v>4152</v>
      </c>
      <c r="H705" s="3" t="s">
        <v>44</v>
      </c>
      <c r="I705" s="3" t="s">
        <v>33</v>
      </c>
      <c r="J705" s="3" t="s">
        <v>41</v>
      </c>
      <c r="L705" s="1">
        <v>46034.66138888889</v>
      </c>
      <c r="M705" s="1">
        <v>46034.669618055559</v>
      </c>
      <c r="N705" s="1">
        <v>46034.688425925924</v>
      </c>
      <c r="O705" s="3" t="s">
        <v>43</v>
      </c>
      <c r="P705" s="3" t="s">
        <v>4155</v>
      </c>
      <c r="Q705" s="3" t="s">
        <v>42</v>
      </c>
      <c r="R705" s="3" t="s">
        <v>4138</v>
      </c>
      <c r="S705" s="3" t="s">
        <v>62</v>
      </c>
      <c r="T705" s="3" t="s">
        <v>61</v>
      </c>
      <c r="U705" s="4" t="b">
        <v>1</v>
      </c>
      <c r="V705" s="3" t="s">
        <v>31</v>
      </c>
      <c r="W705" s="1"/>
      <c r="Y705" s="3" t="s">
        <v>32</v>
      </c>
      <c r="Z705" s="3" t="s">
        <v>32</v>
      </c>
      <c r="AA705" s="3"/>
      <c r="AB705" s="3"/>
      <c r="AC705" s="4" t="s">
        <v>30</v>
      </c>
      <c r="AD705" s="3"/>
      <c r="AE705" s="3" t="s">
        <v>4155</v>
      </c>
      <c r="AF705" s="4" t="s">
        <v>30</v>
      </c>
      <c r="AH705" s="4">
        <v>1</v>
      </c>
      <c r="AI705" s="3" t="s">
        <v>4153</v>
      </c>
      <c r="AJ705" s="4" t="s">
        <v>4154</v>
      </c>
      <c r="AK705" s="4"/>
      <c r="AL705" s="3"/>
    </row>
    <row r="706" spans="1:38" x14ac:dyDescent="0.35">
      <c r="A706" s="3" t="s">
        <v>4156</v>
      </c>
      <c r="B706" s="4" t="s">
        <v>4079</v>
      </c>
      <c r="C706" s="4">
        <f>VLOOKUP(A706, [1]Planilha1!$A$3:$B$1015,2,FALSE)</f>
        <v>13402</v>
      </c>
      <c r="D706" s="4">
        <f t="shared" si="10"/>
        <v>3.722777777777778</v>
      </c>
      <c r="E706" s="4" t="s">
        <v>1125</v>
      </c>
      <c r="F706" s="3" t="s">
        <v>4076</v>
      </c>
      <c r="G706" s="3" t="s">
        <v>4157</v>
      </c>
      <c r="H706" s="3" t="s">
        <v>44</v>
      </c>
      <c r="I706" s="3" t="s">
        <v>33</v>
      </c>
      <c r="J706" s="3" t="s">
        <v>41</v>
      </c>
      <c r="L706" s="1">
        <v>46034.652291666665</v>
      </c>
      <c r="M706" s="1">
        <v>46034.652291666665</v>
      </c>
      <c r="N706" s="1">
        <v>46034.706921296296</v>
      </c>
      <c r="O706" s="3" t="s">
        <v>43</v>
      </c>
      <c r="P706" s="3" t="s">
        <v>4079</v>
      </c>
      <c r="Q706" s="3" t="s">
        <v>42</v>
      </c>
      <c r="R706" s="3" t="s">
        <v>4078</v>
      </c>
      <c r="S706" s="3" t="s">
        <v>37</v>
      </c>
      <c r="T706" s="3" t="s">
        <v>36</v>
      </c>
      <c r="U706" s="4" t="b">
        <v>1</v>
      </c>
      <c r="V706" s="3" t="s">
        <v>28</v>
      </c>
      <c r="W706" s="1"/>
      <c r="Y706" s="3" t="s">
        <v>29</v>
      </c>
      <c r="Z706" s="3" t="s">
        <v>29</v>
      </c>
      <c r="AA706" s="3"/>
      <c r="AB706" s="3"/>
      <c r="AC706" s="4" t="s">
        <v>30</v>
      </c>
      <c r="AD706" s="3"/>
      <c r="AE706" s="3" t="s">
        <v>4079</v>
      </c>
      <c r="AF706" s="4" t="s">
        <v>30</v>
      </c>
      <c r="AH706" s="4">
        <v>2</v>
      </c>
      <c r="AI706" s="3" t="s">
        <v>4158</v>
      </c>
      <c r="AJ706" s="4" t="s">
        <v>4077</v>
      </c>
      <c r="AK706" s="4"/>
      <c r="AL706" s="3"/>
    </row>
    <row r="707" spans="1:38" x14ac:dyDescent="0.35">
      <c r="A707" s="3" t="s">
        <v>4159</v>
      </c>
      <c r="B707" s="4" t="s">
        <v>4165</v>
      </c>
      <c r="C707" s="4">
        <f>VLOOKUP(A707, [1]Planilha1!$A$3:$B$1015,2,FALSE)</f>
        <v>0</v>
      </c>
      <c r="D707" s="4">
        <f t="shared" ref="D707:D770" si="11">C707/3600</f>
        <v>0</v>
      </c>
      <c r="E707" s="4" t="s">
        <v>1125</v>
      </c>
      <c r="F707" s="3" t="s">
        <v>4162</v>
      </c>
      <c r="G707" s="3" t="s">
        <v>134</v>
      </c>
      <c r="H707" s="3" t="s">
        <v>138</v>
      </c>
      <c r="I707" s="3" t="s">
        <v>33</v>
      </c>
      <c r="J707" s="3" t="s">
        <v>60</v>
      </c>
      <c r="K707" s="3" t="s">
        <v>4161</v>
      </c>
      <c r="L707" s="1">
        <v>46034.647534722222</v>
      </c>
      <c r="M707" s="1">
        <v>46034.654502314814</v>
      </c>
      <c r="N707" s="1">
        <v>46037.666678240741</v>
      </c>
      <c r="O707" s="3" t="s">
        <v>137</v>
      </c>
      <c r="P707" s="3" t="s">
        <v>4165</v>
      </c>
      <c r="Q707" s="3" t="s">
        <v>35</v>
      </c>
      <c r="R707" s="3" t="s">
        <v>4164</v>
      </c>
      <c r="S707" s="3" t="s">
        <v>144</v>
      </c>
      <c r="T707" s="3" t="s">
        <v>143</v>
      </c>
      <c r="U707" s="4" t="b">
        <v>1</v>
      </c>
      <c r="V707" s="3" t="s">
        <v>31</v>
      </c>
      <c r="W707" s="1"/>
      <c r="Y707" s="3" t="s">
        <v>32</v>
      </c>
      <c r="Z707" s="3" t="s">
        <v>32</v>
      </c>
      <c r="AA707" s="3"/>
      <c r="AB707" s="3"/>
      <c r="AC707" s="4" t="s">
        <v>30</v>
      </c>
      <c r="AD707" s="3"/>
      <c r="AE707" s="3" t="s">
        <v>4165</v>
      </c>
      <c r="AF707" s="4" t="s">
        <v>30</v>
      </c>
      <c r="AH707" s="4">
        <v>0</v>
      </c>
      <c r="AI707" s="3" t="s">
        <v>4160</v>
      </c>
      <c r="AJ707" s="4" t="s">
        <v>4163</v>
      </c>
      <c r="AK707" s="4"/>
      <c r="AL707" s="3"/>
    </row>
    <row r="708" spans="1:38" x14ac:dyDescent="0.35">
      <c r="A708" s="3" t="s">
        <v>4166</v>
      </c>
      <c r="B708" s="4" t="s">
        <v>4171</v>
      </c>
      <c r="C708" s="4">
        <f>VLOOKUP(A708, [1]Planilha1!$A$3:$B$1015,2,FALSE)</f>
        <v>8874</v>
      </c>
      <c r="D708" s="4">
        <f t="shared" si="11"/>
        <v>2.4649999999999999</v>
      </c>
      <c r="E708" s="4" t="s">
        <v>1125</v>
      </c>
      <c r="F708" s="3" t="s">
        <v>4168</v>
      </c>
      <c r="G708" s="3" t="s">
        <v>74</v>
      </c>
      <c r="H708" s="3" t="s">
        <v>44</v>
      </c>
      <c r="I708" s="3" t="s">
        <v>33</v>
      </c>
      <c r="J708" s="3" t="s">
        <v>41</v>
      </c>
      <c r="L708" s="1">
        <v>46034.64403935185</v>
      </c>
      <c r="M708" s="1">
        <v>46034.645451388889</v>
      </c>
      <c r="N708" s="1">
        <v>46034.696805555555</v>
      </c>
      <c r="O708" s="3" t="s">
        <v>43</v>
      </c>
      <c r="P708" s="3" t="s">
        <v>4171</v>
      </c>
      <c r="Q708" s="3" t="s">
        <v>42</v>
      </c>
      <c r="R708" s="3" t="s">
        <v>4170</v>
      </c>
      <c r="S708" s="3" t="s">
        <v>80</v>
      </c>
      <c r="T708" s="3" t="s">
        <v>79</v>
      </c>
      <c r="U708" s="4" t="b">
        <v>1</v>
      </c>
      <c r="V708" s="3" t="s">
        <v>31</v>
      </c>
      <c r="W708" s="1"/>
      <c r="Y708" s="3" t="s">
        <v>32</v>
      </c>
      <c r="Z708" s="3" t="s">
        <v>32</v>
      </c>
      <c r="AA708" s="3"/>
      <c r="AB708" s="3"/>
      <c r="AC708" s="4" t="s">
        <v>30</v>
      </c>
      <c r="AD708" s="3"/>
      <c r="AE708" s="3" t="s">
        <v>4171</v>
      </c>
      <c r="AF708" s="4" t="s">
        <v>30</v>
      </c>
      <c r="AH708" s="4">
        <v>1</v>
      </c>
      <c r="AI708" s="3" t="s">
        <v>4167</v>
      </c>
      <c r="AJ708" s="4" t="s">
        <v>4169</v>
      </c>
      <c r="AK708" s="4"/>
      <c r="AL708" s="3"/>
    </row>
    <row r="709" spans="1:38" x14ac:dyDescent="0.35">
      <c r="A709" s="3" t="s">
        <v>4172</v>
      </c>
      <c r="B709" s="4" t="s">
        <v>4178</v>
      </c>
      <c r="C709" s="4">
        <f>VLOOKUP(A709, [1]Planilha1!$A$3:$B$1015,2,FALSE)</f>
        <v>0</v>
      </c>
      <c r="D709" s="4">
        <f t="shared" si="11"/>
        <v>0</v>
      </c>
      <c r="E709" s="4" t="s">
        <v>1125</v>
      </c>
      <c r="F709" s="3" t="s">
        <v>4175</v>
      </c>
      <c r="G709" s="3" t="s">
        <v>134</v>
      </c>
      <c r="H709" s="3" t="s">
        <v>138</v>
      </c>
      <c r="I709" s="3" t="s">
        <v>33</v>
      </c>
      <c r="J709" s="3" t="s">
        <v>60</v>
      </c>
      <c r="K709" s="3" t="s">
        <v>4174</v>
      </c>
      <c r="L709" s="1">
        <v>46034.641817129632</v>
      </c>
      <c r="M709" s="1">
        <v>46034.653726851851</v>
      </c>
      <c r="N709" s="1">
        <v>46037.666678240741</v>
      </c>
      <c r="O709" s="3" t="s">
        <v>137</v>
      </c>
      <c r="P709" s="3" t="s">
        <v>4178</v>
      </c>
      <c r="Q709" s="3" t="s">
        <v>35</v>
      </c>
      <c r="R709" s="3" t="s">
        <v>4177</v>
      </c>
      <c r="S709" s="3" t="s">
        <v>144</v>
      </c>
      <c r="T709" s="3" t="s">
        <v>143</v>
      </c>
      <c r="U709" s="4" t="b">
        <v>1</v>
      </c>
      <c r="V709" s="3" t="s">
        <v>31</v>
      </c>
      <c r="W709" s="1"/>
      <c r="Y709" s="3" t="s">
        <v>32</v>
      </c>
      <c r="Z709" s="3" t="s">
        <v>32</v>
      </c>
      <c r="AA709" s="3"/>
      <c r="AB709" s="3"/>
      <c r="AC709" s="4" t="s">
        <v>30</v>
      </c>
      <c r="AD709" s="3"/>
      <c r="AE709" s="3" t="s">
        <v>4178</v>
      </c>
      <c r="AF709" s="4" t="s">
        <v>30</v>
      </c>
      <c r="AH709" s="4">
        <v>0</v>
      </c>
      <c r="AI709" s="3" t="s">
        <v>4173</v>
      </c>
      <c r="AJ709" s="4" t="s">
        <v>4176</v>
      </c>
      <c r="AK709" s="4"/>
      <c r="AL709" s="3"/>
    </row>
    <row r="710" spans="1:38" x14ac:dyDescent="0.35">
      <c r="A710" s="3" t="s">
        <v>4179</v>
      </c>
      <c r="B710" s="4" t="s">
        <v>4184</v>
      </c>
      <c r="C710" s="4">
        <f>VLOOKUP(A710, [1]Planilha1!$A$3:$B$1015,2,FALSE)</f>
        <v>38927</v>
      </c>
      <c r="D710" s="4">
        <f t="shared" si="11"/>
        <v>10.813055555555556</v>
      </c>
      <c r="E710" s="4" t="s">
        <v>1125</v>
      </c>
      <c r="F710" s="3" t="s">
        <v>4182</v>
      </c>
      <c r="G710" s="3" t="s">
        <v>4180</v>
      </c>
      <c r="H710" s="3" t="s">
        <v>163</v>
      </c>
      <c r="I710" s="3" t="s">
        <v>33</v>
      </c>
      <c r="J710" s="3" t="s">
        <v>41</v>
      </c>
      <c r="K710" s="3" t="s">
        <v>3622</v>
      </c>
      <c r="L710" s="1">
        <v>46034.639340277776</v>
      </c>
      <c r="M710" s="1">
        <v>46034.639340277776</v>
      </c>
      <c r="N710" s="1">
        <v>46035.368564814817</v>
      </c>
      <c r="O710" s="3" t="s">
        <v>162</v>
      </c>
      <c r="P710" s="3" t="s">
        <v>4184</v>
      </c>
      <c r="Q710" s="3" t="s">
        <v>35</v>
      </c>
      <c r="R710" s="3" t="s">
        <v>4183</v>
      </c>
      <c r="S710" s="3" t="s">
        <v>37</v>
      </c>
      <c r="T710" s="3" t="s">
        <v>36</v>
      </c>
      <c r="U710" s="4" t="b">
        <v>1</v>
      </c>
      <c r="V710" s="3" t="s">
        <v>28</v>
      </c>
      <c r="W710" s="1"/>
      <c r="Y710" s="3" t="s">
        <v>29</v>
      </c>
      <c r="Z710" s="3" t="s">
        <v>29</v>
      </c>
      <c r="AA710" s="3"/>
      <c r="AB710" s="3"/>
      <c r="AC710" s="4" t="s">
        <v>30</v>
      </c>
      <c r="AD710" s="3"/>
      <c r="AE710" s="3" t="s">
        <v>4184</v>
      </c>
      <c r="AF710" s="4" t="s">
        <v>30</v>
      </c>
      <c r="AH710" s="4">
        <v>1</v>
      </c>
      <c r="AI710" s="3" t="s">
        <v>4181</v>
      </c>
      <c r="AJ710" s="4">
        <v>15383551</v>
      </c>
      <c r="AK710" s="4"/>
      <c r="AL710" s="3"/>
    </row>
    <row r="711" spans="1:38" x14ac:dyDescent="0.35">
      <c r="A711" s="3" t="s">
        <v>4185</v>
      </c>
      <c r="B711" s="4" t="s">
        <v>4190</v>
      </c>
      <c r="C711" s="4">
        <f>VLOOKUP(A711, [1]Planilha1!$A$3:$B$1015,2,FALSE)</f>
        <v>11678</v>
      </c>
      <c r="D711" s="4">
        <f t="shared" si="11"/>
        <v>3.2438888888888888</v>
      </c>
      <c r="E711" s="4" t="s">
        <v>1125</v>
      </c>
      <c r="F711" s="3" t="s">
        <v>4187</v>
      </c>
      <c r="G711" s="3" t="s">
        <v>74</v>
      </c>
      <c r="H711" s="3" t="s">
        <v>44</v>
      </c>
      <c r="I711" s="3" t="s">
        <v>33</v>
      </c>
      <c r="J711" s="3" t="s">
        <v>41</v>
      </c>
      <c r="L711" s="1">
        <v>46034.626006944447</v>
      </c>
      <c r="M711" s="1">
        <v>46034.628668981481</v>
      </c>
      <c r="N711" s="1">
        <v>46034.696250000001</v>
      </c>
      <c r="O711" s="3" t="s">
        <v>43</v>
      </c>
      <c r="P711" s="3" t="s">
        <v>4190</v>
      </c>
      <c r="Q711" s="3" t="s">
        <v>35</v>
      </c>
      <c r="R711" s="3" t="s">
        <v>4189</v>
      </c>
      <c r="S711" s="3" t="s">
        <v>80</v>
      </c>
      <c r="T711" s="3" t="s">
        <v>79</v>
      </c>
      <c r="U711" s="4" t="b">
        <v>1</v>
      </c>
      <c r="V711" s="3" t="s">
        <v>31</v>
      </c>
      <c r="W711" s="1"/>
      <c r="Y711" s="3" t="s">
        <v>32</v>
      </c>
      <c r="Z711" s="3" t="s">
        <v>32</v>
      </c>
      <c r="AA711" s="3"/>
      <c r="AB711" s="3"/>
      <c r="AC711" s="4" t="s">
        <v>30</v>
      </c>
      <c r="AD711" s="3"/>
      <c r="AE711" s="3" t="s">
        <v>4190</v>
      </c>
      <c r="AF711" s="4" t="s">
        <v>30</v>
      </c>
      <c r="AH711" s="4">
        <v>1</v>
      </c>
      <c r="AI711" s="3" t="s">
        <v>4186</v>
      </c>
      <c r="AJ711" s="4" t="s">
        <v>4188</v>
      </c>
      <c r="AK711" s="4"/>
      <c r="AL711" s="3"/>
    </row>
    <row r="712" spans="1:38" x14ac:dyDescent="0.35">
      <c r="A712" s="3" t="s">
        <v>4191</v>
      </c>
      <c r="B712" s="4" t="s">
        <v>4196</v>
      </c>
      <c r="C712" s="4">
        <f>VLOOKUP(A712, [1]Planilha1!$A$3:$B$1015,2,FALSE)</f>
        <v>752</v>
      </c>
      <c r="D712" s="4">
        <f t="shared" si="11"/>
        <v>0.2088888888888889</v>
      </c>
      <c r="E712" s="4" t="s">
        <v>1125</v>
      </c>
      <c r="F712" s="3" t="s">
        <v>4193</v>
      </c>
      <c r="G712" s="3" t="s">
        <v>72</v>
      </c>
      <c r="H712" s="3" t="s">
        <v>237</v>
      </c>
      <c r="I712" s="3" t="s">
        <v>33</v>
      </c>
      <c r="J712" s="3" t="s">
        <v>60</v>
      </c>
      <c r="L712" s="1">
        <v>46034.619259259256</v>
      </c>
      <c r="M712" s="1">
        <v>46034.619259259256</v>
      </c>
      <c r="N712" s="1">
        <v>46037.625</v>
      </c>
      <c r="O712" s="3" t="s">
        <v>1370</v>
      </c>
      <c r="P712" s="3" t="s">
        <v>4196</v>
      </c>
      <c r="Q712" s="3" t="s">
        <v>42</v>
      </c>
      <c r="R712" s="3" t="s">
        <v>4195</v>
      </c>
      <c r="S712" s="3" t="s">
        <v>37</v>
      </c>
      <c r="T712" s="3" t="s">
        <v>36</v>
      </c>
      <c r="U712" s="4" t="b">
        <v>1</v>
      </c>
      <c r="V712" s="3" t="s">
        <v>28</v>
      </c>
      <c r="W712" s="1"/>
      <c r="Y712" s="3" t="s">
        <v>29</v>
      </c>
      <c r="Z712" s="3" t="s">
        <v>29</v>
      </c>
      <c r="AA712" s="3"/>
      <c r="AB712" s="3"/>
      <c r="AC712" s="4" t="s">
        <v>30</v>
      </c>
      <c r="AD712" s="3"/>
      <c r="AE712" s="3" t="s">
        <v>4196</v>
      </c>
      <c r="AF712" s="4" t="s">
        <v>30</v>
      </c>
      <c r="AH712" s="4">
        <v>0</v>
      </c>
      <c r="AI712" s="3" t="s">
        <v>4192</v>
      </c>
      <c r="AJ712" s="4" t="s">
        <v>4194</v>
      </c>
      <c r="AK712" s="4"/>
      <c r="AL712" s="3"/>
    </row>
    <row r="713" spans="1:38" x14ac:dyDescent="0.35">
      <c r="A713" s="3" t="s">
        <v>4197</v>
      </c>
      <c r="B713" s="4" t="s">
        <v>4203</v>
      </c>
      <c r="C713" s="4">
        <f>VLOOKUP(A713, [1]Planilha1!$A$3:$B$1015,2,FALSE)</f>
        <v>44710</v>
      </c>
      <c r="D713" s="4">
        <f t="shared" si="11"/>
        <v>12.419444444444444</v>
      </c>
      <c r="E713" s="4" t="s">
        <v>1125</v>
      </c>
      <c r="F713" s="3" t="s">
        <v>4201</v>
      </c>
      <c r="G713" s="3" t="s">
        <v>4198</v>
      </c>
      <c r="H713" s="3" t="s">
        <v>171</v>
      </c>
      <c r="I713" s="3" t="s">
        <v>33</v>
      </c>
      <c r="J713" s="3" t="s">
        <v>41</v>
      </c>
      <c r="K713" s="3" t="s">
        <v>4200</v>
      </c>
      <c r="L713" s="1">
        <v>46034.618043981478</v>
      </c>
      <c r="M713" s="1">
        <v>46034.618043981478</v>
      </c>
      <c r="N713" s="1">
        <v>46035.371608796297</v>
      </c>
      <c r="O713" s="3" t="s">
        <v>170</v>
      </c>
      <c r="P713" s="3" t="s">
        <v>4203</v>
      </c>
      <c r="Q713" s="3" t="s">
        <v>42</v>
      </c>
      <c r="R713" s="3" t="s">
        <v>4202</v>
      </c>
      <c r="S713" s="3" t="s">
        <v>37</v>
      </c>
      <c r="T713" s="3" t="s">
        <v>36</v>
      </c>
      <c r="U713" s="4" t="b">
        <v>1</v>
      </c>
      <c r="V713" s="3" t="s">
        <v>28</v>
      </c>
      <c r="W713" s="1"/>
      <c r="Y713" s="3" t="s">
        <v>29</v>
      </c>
      <c r="Z713" s="3" t="s">
        <v>29</v>
      </c>
      <c r="AA713" s="3"/>
      <c r="AB713" s="3"/>
      <c r="AC713" s="4" t="s">
        <v>30</v>
      </c>
      <c r="AD713" s="3"/>
      <c r="AE713" s="3" t="s">
        <v>4203</v>
      </c>
      <c r="AF713" s="4" t="s">
        <v>30</v>
      </c>
      <c r="AH713" s="4">
        <v>1</v>
      </c>
      <c r="AI713" s="3" t="s">
        <v>4199</v>
      </c>
      <c r="AJ713" s="4"/>
      <c r="AK713" s="4"/>
      <c r="AL713" s="3"/>
    </row>
    <row r="714" spans="1:38" x14ac:dyDescent="0.35">
      <c r="A714" s="3" t="s">
        <v>4204</v>
      </c>
      <c r="B714" s="4" t="s">
        <v>263</v>
      </c>
      <c r="C714" s="4">
        <f>VLOOKUP(A714, [1]Planilha1!$A$3:$B$1015,2,FALSE)</f>
        <v>60792</v>
      </c>
      <c r="D714" s="4">
        <f t="shared" si="11"/>
        <v>16.886666666666667</v>
      </c>
      <c r="E714" s="4" t="s">
        <v>1125</v>
      </c>
      <c r="F714" s="3" t="s">
        <v>260</v>
      </c>
      <c r="G714" s="3" t="s">
        <v>4205</v>
      </c>
      <c r="H714" s="3" t="s">
        <v>428</v>
      </c>
      <c r="I714" s="3" t="s">
        <v>33</v>
      </c>
      <c r="J714" s="3" t="s">
        <v>41</v>
      </c>
      <c r="K714" s="3" t="s">
        <v>362</v>
      </c>
      <c r="L714" s="1">
        <v>46034.61209490741</v>
      </c>
      <c r="M714" s="1">
        <v>46034.61209490741</v>
      </c>
      <c r="N714" s="1">
        <v>46035.429965277777</v>
      </c>
      <c r="O714" s="3" t="s">
        <v>427</v>
      </c>
      <c r="P714" s="3" t="s">
        <v>263</v>
      </c>
      <c r="Q714" s="3" t="s">
        <v>42</v>
      </c>
      <c r="R714" s="3" t="s">
        <v>262</v>
      </c>
      <c r="S714" s="3" t="s">
        <v>37</v>
      </c>
      <c r="T714" s="3" t="s">
        <v>36</v>
      </c>
      <c r="U714" s="4" t="b">
        <v>1</v>
      </c>
      <c r="V714" s="3" t="s">
        <v>28</v>
      </c>
      <c r="W714" s="1"/>
      <c r="Y714" s="3" t="s">
        <v>29</v>
      </c>
      <c r="Z714" s="3" t="s">
        <v>29</v>
      </c>
      <c r="AA714" s="3"/>
      <c r="AB714" s="3"/>
      <c r="AC714" s="4" t="s">
        <v>30</v>
      </c>
      <c r="AD714" s="3"/>
      <c r="AE714" s="3" t="s">
        <v>263</v>
      </c>
      <c r="AF714" s="4" t="s">
        <v>30</v>
      </c>
      <c r="AH714" s="4">
        <v>1</v>
      </c>
      <c r="AI714" s="3" t="s">
        <v>4206</v>
      </c>
      <c r="AJ714" s="4" t="s">
        <v>261</v>
      </c>
      <c r="AK714" s="4"/>
      <c r="AL714" s="3"/>
    </row>
    <row r="715" spans="1:38" x14ac:dyDescent="0.35">
      <c r="A715" s="3" t="s">
        <v>4207</v>
      </c>
      <c r="B715" s="4" t="s">
        <v>4213</v>
      </c>
      <c r="C715" s="4">
        <f>VLOOKUP(A715, [1]Planilha1!$A$3:$B$1015,2,FALSE)</f>
        <v>8934</v>
      </c>
      <c r="D715" s="4">
        <f t="shared" si="11"/>
        <v>2.4816666666666665</v>
      </c>
      <c r="E715" s="4" t="s">
        <v>1125</v>
      </c>
      <c r="F715" s="3" t="s">
        <v>4210</v>
      </c>
      <c r="G715" s="3" t="s">
        <v>214</v>
      </c>
      <c r="H715" s="3" t="s">
        <v>44</v>
      </c>
      <c r="I715" s="3" t="s">
        <v>33</v>
      </c>
      <c r="J715" s="3" t="s">
        <v>41</v>
      </c>
      <c r="K715" s="3" t="s">
        <v>4209</v>
      </c>
      <c r="L715" s="1">
        <v>46034.596666666665</v>
      </c>
      <c r="M715" s="1">
        <v>46034.60359953704</v>
      </c>
      <c r="N715" s="1">
        <v>46034.655300925922</v>
      </c>
      <c r="O715" s="3" t="s">
        <v>43</v>
      </c>
      <c r="P715" s="3" t="s">
        <v>4213</v>
      </c>
      <c r="Q715" s="3" t="s">
        <v>42</v>
      </c>
      <c r="R715" s="3" t="s">
        <v>4212</v>
      </c>
      <c r="S715" s="3" t="s">
        <v>144</v>
      </c>
      <c r="T715" s="3" t="s">
        <v>143</v>
      </c>
      <c r="U715" s="4" t="b">
        <v>1</v>
      </c>
      <c r="V715" s="3" t="s">
        <v>31</v>
      </c>
      <c r="W715" s="1"/>
      <c r="Y715" s="3" t="s">
        <v>32</v>
      </c>
      <c r="Z715" s="3" t="s">
        <v>32</v>
      </c>
      <c r="AA715" s="3"/>
      <c r="AB715" s="3"/>
      <c r="AC715" s="4" t="s">
        <v>30</v>
      </c>
      <c r="AD715" s="3"/>
      <c r="AE715" s="3" t="s">
        <v>4213</v>
      </c>
      <c r="AF715" s="4" t="s">
        <v>30</v>
      </c>
      <c r="AH715" s="4">
        <v>1</v>
      </c>
      <c r="AI715" s="3" t="s">
        <v>4208</v>
      </c>
      <c r="AJ715" s="4" t="s">
        <v>4211</v>
      </c>
      <c r="AK715" s="4"/>
      <c r="AL715" s="3"/>
    </row>
    <row r="716" spans="1:38" x14ac:dyDescent="0.35">
      <c r="A716" s="3" t="s">
        <v>4214</v>
      </c>
      <c r="B716" s="4" t="s">
        <v>4220</v>
      </c>
      <c r="C716" s="4">
        <f>VLOOKUP(A716, [1]Planilha1!$A$3:$B$1015,2,FALSE)</f>
        <v>11838</v>
      </c>
      <c r="D716" s="4">
        <f t="shared" si="11"/>
        <v>3.2883333333333336</v>
      </c>
      <c r="E716" s="4" t="s">
        <v>1125</v>
      </c>
      <c r="F716" s="3" t="s">
        <v>4217</v>
      </c>
      <c r="G716" s="3" t="s">
        <v>4215</v>
      </c>
      <c r="H716" s="3" t="s">
        <v>44</v>
      </c>
      <c r="I716" s="3" t="s">
        <v>33</v>
      </c>
      <c r="J716" s="3" t="s">
        <v>41</v>
      </c>
      <c r="L716" s="1">
        <v>46034.593391203707</v>
      </c>
      <c r="M716" s="1">
        <v>46034.593391203707</v>
      </c>
      <c r="N716" s="1">
        <v>46034.649004629631</v>
      </c>
      <c r="O716" s="3" t="s">
        <v>43</v>
      </c>
      <c r="P716" s="3" t="s">
        <v>4220</v>
      </c>
      <c r="Q716" s="3" t="s">
        <v>42</v>
      </c>
      <c r="R716" s="3" t="s">
        <v>4219</v>
      </c>
      <c r="S716" s="3" t="s">
        <v>37</v>
      </c>
      <c r="T716" s="3" t="s">
        <v>36</v>
      </c>
      <c r="U716" s="4" t="b">
        <v>1</v>
      </c>
      <c r="V716" s="3" t="s">
        <v>28</v>
      </c>
      <c r="W716" s="1"/>
      <c r="Y716" s="3" t="s">
        <v>29</v>
      </c>
      <c r="Z716" s="3" t="s">
        <v>29</v>
      </c>
      <c r="AA716" s="3"/>
      <c r="AB716" s="3"/>
      <c r="AC716" s="4" t="s">
        <v>30</v>
      </c>
      <c r="AD716" s="3"/>
      <c r="AE716" s="3" t="s">
        <v>4220</v>
      </c>
      <c r="AF716" s="4" t="s">
        <v>30</v>
      </c>
      <c r="AH716" s="4">
        <v>2</v>
      </c>
      <c r="AI716" s="3" t="s">
        <v>4216</v>
      </c>
      <c r="AJ716" s="4" t="s">
        <v>4218</v>
      </c>
      <c r="AK716" s="4"/>
      <c r="AL716" s="3"/>
    </row>
    <row r="717" spans="1:38" x14ac:dyDescent="0.35">
      <c r="A717" s="3" t="s">
        <v>4221</v>
      </c>
      <c r="B717" s="4" t="s">
        <v>3680</v>
      </c>
      <c r="C717" s="4">
        <f>VLOOKUP(A717, [1]Planilha1!$A$3:$B$1015,2,FALSE)</f>
        <v>5502</v>
      </c>
      <c r="D717" s="4">
        <f t="shared" si="11"/>
        <v>1.5283333333333333</v>
      </c>
      <c r="E717" s="4" t="s">
        <v>1125</v>
      </c>
      <c r="F717" s="3" t="s">
        <v>3677</v>
      </c>
      <c r="G717" s="3" t="s">
        <v>4222</v>
      </c>
      <c r="H717" s="3" t="s">
        <v>112</v>
      </c>
      <c r="I717" s="3" t="s">
        <v>33</v>
      </c>
      <c r="J717" s="3" t="s">
        <v>41</v>
      </c>
      <c r="K717" s="3" t="s">
        <v>4224</v>
      </c>
      <c r="L717" s="1">
        <v>46034.592395833337</v>
      </c>
      <c r="M717" s="1">
        <v>46034.592395833337</v>
      </c>
      <c r="N717" s="1">
        <v>46037.530995370369</v>
      </c>
      <c r="O717" s="3" t="s">
        <v>111</v>
      </c>
      <c r="P717" s="3" t="s">
        <v>3680</v>
      </c>
      <c r="Q717" s="3" t="s">
        <v>42</v>
      </c>
      <c r="R717" s="3" t="s">
        <v>3679</v>
      </c>
      <c r="S717" s="3" t="s">
        <v>37</v>
      </c>
      <c r="T717" s="3" t="s">
        <v>36</v>
      </c>
      <c r="U717" s="4" t="b">
        <v>1</v>
      </c>
      <c r="V717" s="3" t="s">
        <v>28</v>
      </c>
      <c r="W717" s="1"/>
      <c r="Y717" s="3" t="s">
        <v>29</v>
      </c>
      <c r="Z717" s="3" t="s">
        <v>29</v>
      </c>
      <c r="AA717" s="3"/>
      <c r="AB717" s="3"/>
      <c r="AC717" s="4" t="s">
        <v>30</v>
      </c>
      <c r="AD717" s="3"/>
      <c r="AE717" s="3" t="s">
        <v>3680</v>
      </c>
      <c r="AF717" s="4" t="s">
        <v>30</v>
      </c>
      <c r="AH717" s="4">
        <v>0</v>
      </c>
      <c r="AI717" s="3" t="s">
        <v>4223</v>
      </c>
      <c r="AJ717" s="4" t="s">
        <v>3678</v>
      </c>
      <c r="AK717" s="4"/>
      <c r="AL717" s="3"/>
    </row>
    <row r="718" spans="1:38" x14ac:dyDescent="0.35">
      <c r="A718" s="3" t="s">
        <v>4225</v>
      </c>
      <c r="B718" s="4" t="s">
        <v>4231</v>
      </c>
      <c r="C718" s="4">
        <f>VLOOKUP(A718, [1]Planilha1!$A$3:$B$1015,2,FALSE)</f>
        <v>9938</v>
      </c>
      <c r="D718" s="4">
        <f t="shared" si="11"/>
        <v>2.7605555555555554</v>
      </c>
      <c r="E718" s="4" t="s">
        <v>1125</v>
      </c>
      <c r="F718" s="3" t="s">
        <v>4228</v>
      </c>
      <c r="G718" s="3" t="s">
        <v>100</v>
      </c>
      <c r="H718" s="3" t="s">
        <v>44</v>
      </c>
      <c r="I718" s="3" t="s">
        <v>33</v>
      </c>
      <c r="J718" s="3" t="s">
        <v>41</v>
      </c>
      <c r="K718" s="3" t="s">
        <v>4227</v>
      </c>
      <c r="L718" s="1">
        <v>46034.560497685183</v>
      </c>
      <c r="M718" s="1">
        <v>46034.563391203701</v>
      </c>
      <c r="N718" s="1">
        <v>46034.62090277778</v>
      </c>
      <c r="O718" s="3" t="s">
        <v>43</v>
      </c>
      <c r="P718" s="3" t="s">
        <v>4231</v>
      </c>
      <c r="Q718" s="3" t="s">
        <v>42</v>
      </c>
      <c r="R718" s="3" t="s">
        <v>4230</v>
      </c>
      <c r="S718" s="3" t="s">
        <v>190</v>
      </c>
      <c r="T718" s="3" t="s">
        <v>189</v>
      </c>
      <c r="U718" s="4" t="b">
        <v>1</v>
      </c>
      <c r="V718" s="3" t="s">
        <v>31</v>
      </c>
      <c r="W718" s="1"/>
      <c r="Y718" s="3" t="s">
        <v>32</v>
      </c>
      <c r="Z718" s="3" t="s">
        <v>32</v>
      </c>
      <c r="AA718" s="3"/>
      <c r="AB718" s="3"/>
      <c r="AC718" s="4" t="s">
        <v>30</v>
      </c>
      <c r="AD718" s="3"/>
      <c r="AE718" s="3" t="s">
        <v>4231</v>
      </c>
      <c r="AF718" s="4" t="s">
        <v>30</v>
      </c>
      <c r="AH718" s="4">
        <v>1</v>
      </c>
      <c r="AI718" s="3" t="s">
        <v>4226</v>
      </c>
      <c r="AJ718" s="4" t="s">
        <v>4229</v>
      </c>
      <c r="AK718" s="4"/>
      <c r="AL718" s="3"/>
    </row>
    <row r="719" spans="1:38" x14ac:dyDescent="0.35">
      <c r="A719" s="3" t="s">
        <v>4232</v>
      </c>
      <c r="B719" s="4" t="s">
        <v>4236</v>
      </c>
      <c r="C719" s="4">
        <f>VLOOKUP(A719, [1]Planilha1!$A$3:$B$1015,2,FALSE)</f>
        <v>2010</v>
      </c>
      <c r="D719" s="4">
        <f t="shared" si="11"/>
        <v>0.55833333333333335</v>
      </c>
      <c r="E719" s="4" t="s">
        <v>1125</v>
      </c>
      <c r="F719" s="3" t="s">
        <v>4234</v>
      </c>
      <c r="G719" s="3" t="s">
        <v>700</v>
      </c>
      <c r="H719" s="3" t="s">
        <v>44</v>
      </c>
      <c r="I719" s="3" t="s">
        <v>33</v>
      </c>
      <c r="J719" s="3" t="s">
        <v>60</v>
      </c>
      <c r="L719" s="1">
        <v>46034.525300925925</v>
      </c>
      <c r="M719" s="1">
        <v>46034.525300925925</v>
      </c>
      <c r="N719" s="1">
        <v>46037.541666666664</v>
      </c>
      <c r="O719" s="3" t="s">
        <v>43</v>
      </c>
      <c r="P719" s="3" t="s">
        <v>4236</v>
      </c>
      <c r="Q719" s="3" t="s">
        <v>35</v>
      </c>
      <c r="R719" s="3" t="s">
        <v>4235</v>
      </c>
      <c r="S719" s="3" t="s">
        <v>37</v>
      </c>
      <c r="T719" s="3" t="s">
        <v>36</v>
      </c>
      <c r="U719" s="4" t="b">
        <v>1</v>
      </c>
      <c r="V719" s="3" t="s">
        <v>28</v>
      </c>
      <c r="W719" s="1"/>
      <c r="Y719" s="3" t="s">
        <v>29</v>
      </c>
      <c r="Z719" s="3" t="s">
        <v>29</v>
      </c>
      <c r="AA719" s="3"/>
      <c r="AB719" s="3"/>
      <c r="AC719" s="4" t="s">
        <v>30</v>
      </c>
      <c r="AD719" s="3"/>
      <c r="AE719" s="3" t="s">
        <v>4236</v>
      </c>
      <c r="AF719" s="4" t="s">
        <v>30</v>
      </c>
      <c r="AH719" s="4">
        <v>0</v>
      </c>
      <c r="AI719" s="3" t="s">
        <v>4233</v>
      </c>
      <c r="AJ719" s="4" t="s">
        <v>5919</v>
      </c>
      <c r="AK719" s="4"/>
      <c r="AL719" s="3"/>
    </row>
    <row r="720" spans="1:38" x14ac:dyDescent="0.35">
      <c r="A720" s="3" t="s">
        <v>4237</v>
      </c>
      <c r="B720" s="4" t="s">
        <v>4241</v>
      </c>
      <c r="C720" s="4">
        <f>VLOOKUP(A720, [1]Planilha1!$A$3:$B$1015,2,FALSE)</f>
        <v>1398</v>
      </c>
      <c r="D720" s="4">
        <f t="shared" si="11"/>
        <v>0.38833333333333331</v>
      </c>
      <c r="E720" s="4" t="s">
        <v>1125</v>
      </c>
      <c r="F720" s="3" t="s">
        <v>4239</v>
      </c>
      <c r="G720" s="3" t="s">
        <v>74</v>
      </c>
      <c r="H720" s="3" t="s">
        <v>44</v>
      </c>
      <c r="I720" s="3" t="s">
        <v>33</v>
      </c>
      <c r="J720" s="3" t="s">
        <v>41</v>
      </c>
      <c r="L720" s="1">
        <v>46034.496747685182</v>
      </c>
      <c r="M720" s="1">
        <v>46034.498981481483</v>
      </c>
      <c r="N720" s="1">
        <v>46034.507071759261</v>
      </c>
      <c r="O720" s="3" t="s">
        <v>43</v>
      </c>
      <c r="P720" s="3" t="s">
        <v>4241</v>
      </c>
      <c r="Q720" s="3" t="s">
        <v>42</v>
      </c>
      <c r="R720" s="3" t="s">
        <v>4240</v>
      </c>
      <c r="S720" s="3" t="s">
        <v>80</v>
      </c>
      <c r="T720" s="3" t="s">
        <v>79</v>
      </c>
      <c r="U720" s="4" t="b">
        <v>1</v>
      </c>
      <c r="V720" s="3" t="s">
        <v>31</v>
      </c>
      <c r="W720" s="1"/>
      <c r="Y720" s="3" t="s">
        <v>32</v>
      </c>
      <c r="Z720" s="3" t="s">
        <v>32</v>
      </c>
      <c r="AA720" s="3"/>
      <c r="AB720" s="3"/>
      <c r="AC720" s="4" t="s">
        <v>30</v>
      </c>
      <c r="AD720" s="3"/>
      <c r="AE720" s="3" t="s">
        <v>4241</v>
      </c>
      <c r="AF720" s="4" t="s">
        <v>30</v>
      </c>
      <c r="AH720" s="4">
        <v>1</v>
      </c>
      <c r="AI720" s="3" t="s">
        <v>4238</v>
      </c>
      <c r="AJ720" s="4" t="s">
        <v>5920</v>
      </c>
      <c r="AK720" s="4"/>
      <c r="AL720" s="3"/>
    </row>
    <row r="721" spans="1:38" x14ac:dyDescent="0.35">
      <c r="A721" s="3" t="s">
        <v>4242</v>
      </c>
      <c r="B721" s="4" t="s">
        <v>4247</v>
      </c>
      <c r="C721" s="4">
        <f>VLOOKUP(A721, [1]Planilha1!$A$3:$B$1015,2,FALSE)</f>
        <v>36518</v>
      </c>
      <c r="D721" s="4">
        <f t="shared" si="11"/>
        <v>10.143888888888888</v>
      </c>
      <c r="E721" s="4" t="s">
        <v>1125</v>
      </c>
      <c r="F721" s="3" t="s">
        <v>4245</v>
      </c>
      <c r="G721" s="3" t="s">
        <v>4243</v>
      </c>
      <c r="H721" s="3" t="s">
        <v>44</v>
      </c>
      <c r="I721" s="3" t="s">
        <v>33</v>
      </c>
      <c r="J721" s="3" t="s">
        <v>41</v>
      </c>
      <c r="L721" s="1">
        <v>46034.493576388886</v>
      </c>
      <c r="M721" s="1">
        <v>46034.493576388886</v>
      </c>
      <c r="N721" s="1">
        <v>46034.647465277776</v>
      </c>
      <c r="O721" s="3" t="s">
        <v>43</v>
      </c>
      <c r="P721" s="3" t="s">
        <v>4247</v>
      </c>
      <c r="Q721" s="3" t="s">
        <v>42</v>
      </c>
      <c r="R721" s="3" t="s">
        <v>4246</v>
      </c>
      <c r="S721" s="3" t="s">
        <v>37</v>
      </c>
      <c r="T721" s="3" t="s">
        <v>36</v>
      </c>
      <c r="U721" s="4" t="b">
        <v>1</v>
      </c>
      <c r="V721" s="3" t="s">
        <v>28</v>
      </c>
      <c r="W721" s="1"/>
      <c r="Y721" s="3" t="s">
        <v>29</v>
      </c>
      <c r="Z721" s="3" t="s">
        <v>29</v>
      </c>
      <c r="AA721" s="3"/>
      <c r="AB721" s="3"/>
      <c r="AC721" s="4" t="s">
        <v>30</v>
      </c>
      <c r="AD721" s="3"/>
      <c r="AE721" s="3" t="s">
        <v>4247</v>
      </c>
      <c r="AF721" s="4" t="s">
        <v>30</v>
      </c>
      <c r="AH721" s="4">
        <v>2</v>
      </c>
      <c r="AI721" s="3" t="s">
        <v>4244</v>
      </c>
      <c r="AJ721" s="4" t="s">
        <v>5921</v>
      </c>
      <c r="AK721" s="4"/>
      <c r="AL721" s="3"/>
    </row>
    <row r="722" spans="1:38" x14ac:dyDescent="0.35">
      <c r="A722" s="3" t="s">
        <v>4248</v>
      </c>
      <c r="B722" s="4" t="s">
        <v>94</v>
      </c>
      <c r="C722" s="4">
        <f>VLOOKUP(A722, [1]Planilha1!$A$3:$B$1015,2,FALSE)</f>
        <v>29391</v>
      </c>
      <c r="D722" s="4">
        <f t="shared" si="11"/>
        <v>8.1641666666666666</v>
      </c>
      <c r="E722" s="4" t="s">
        <v>1125</v>
      </c>
      <c r="F722" s="3" t="s">
        <v>92</v>
      </c>
      <c r="G722" s="3" t="s">
        <v>4249</v>
      </c>
      <c r="H722" s="3" t="s">
        <v>44</v>
      </c>
      <c r="I722" s="3" t="s">
        <v>33</v>
      </c>
      <c r="J722" s="3" t="s">
        <v>41</v>
      </c>
      <c r="L722" s="1">
        <v>46034.488229166665</v>
      </c>
      <c r="M722" s="1">
        <v>46034.488229166665</v>
      </c>
      <c r="N722" s="1">
        <v>46034.601620370369</v>
      </c>
      <c r="O722" s="3" t="s">
        <v>43</v>
      </c>
      <c r="P722" s="3" t="s">
        <v>94</v>
      </c>
      <c r="Q722" s="3" t="s">
        <v>42</v>
      </c>
      <c r="R722" s="3" t="s">
        <v>93</v>
      </c>
      <c r="S722" s="3" t="s">
        <v>37</v>
      </c>
      <c r="T722" s="3" t="s">
        <v>36</v>
      </c>
      <c r="U722" s="4" t="b">
        <v>1</v>
      </c>
      <c r="V722" s="3" t="s">
        <v>28</v>
      </c>
      <c r="W722" s="1"/>
      <c r="Y722" s="3" t="s">
        <v>29</v>
      </c>
      <c r="Z722" s="3" t="s">
        <v>29</v>
      </c>
      <c r="AA722" s="3"/>
      <c r="AB722" s="3"/>
      <c r="AC722" s="4" t="s">
        <v>30</v>
      </c>
      <c r="AD722" s="3"/>
      <c r="AE722" s="3" t="s">
        <v>94</v>
      </c>
      <c r="AF722" s="4" t="s">
        <v>30</v>
      </c>
      <c r="AH722" s="4">
        <v>0</v>
      </c>
      <c r="AI722" s="3" t="s">
        <v>4250</v>
      </c>
      <c r="AJ722" s="4"/>
      <c r="AK722" s="4"/>
      <c r="AL722" s="3"/>
    </row>
    <row r="723" spans="1:38" x14ac:dyDescent="0.35">
      <c r="A723" s="3" t="s">
        <v>4254</v>
      </c>
      <c r="B723" s="4" t="s">
        <v>4260</v>
      </c>
      <c r="C723" s="4">
        <f>VLOOKUP(A723, [1]Planilha1!$A$3:$B$1015,2,FALSE)</f>
        <v>2558</v>
      </c>
      <c r="D723" s="4">
        <f t="shared" si="11"/>
        <v>0.71055555555555561</v>
      </c>
      <c r="E723" s="4" t="s">
        <v>1125</v>
      </c>
      <c r="F723" s="3" t="s">
        <v>4257</v>
      </c>
      <c r="G723" s="3" t="s">
        <v>4255</v>
      </c>
      <c r="H723" s="3" t="s">
        <v>44</v>
      </c>
      <c r="I723" s="3" t="s">
        <v>33</v>
      </c>
      <c r="J723" s="3" t="s">
        <v>41</v>
      </c>
      <c r="L723" s="1">
        <v>46034.477430555555</v>
      </c>
      <c r="M723" s="1">
        <v>46034.48233796296</v>
      </c>
      <c r="N723" s="1">
        <v>46034.497141203705</v>
      </c>
      <c r="O723" s="3" t="s">
        <v>43</v>
      </c>
      <c r="P723" s="3" t="s">
        <v>4260</v>
      </c>
      <c r="Q723" s="3" t="s">
        <v>42</v>
      </c>
      <c r="R723" s="3" t="s">
        <v>4259</v>
      </c>
      <c r="S723" s="3" t="s">
        <v>62</v>
      </c>
      <c r="T723" s="3" t="s">
        <v>61</v>
      </c>
      <c r="U723" s="4" t="b">
        <v>1</v>
      </c>
      <c r="V723" s="3" t="s">
        <v>31</v>
      </c>
      <c r="W723" s="1"/>
      <c r="Y723" s="3" t="s">
        <v>32</v>
      </c>
      <c r="Z723" s="3" t="s">
        <v>32</v>
      </c>
      <c r="AA723" s="3"/>
      <c r="AB723" s="3"/>
      <c r="AC723" s="4" t="s">
        <v>30</v>
      </c>
      <c r="AD723" s="3"/>
      <c r="AE723" s="3" t="s">
        <v>4260</v>
      </c>
      <c r="AF723" s="4" t="s">
        <v>30</v>
      </c>
      <c r="AH723" s="4">
        <v>1</v>
      </c>
      <c r="AI723" s="3" t="s">
        <v>4256</v>
      </c>
      <c r="AJ723" s="4" t="s">
        <v>4258</v>
      </c>
      <c r="AK723" s="4"/>
      <c r="AL723" s="3"/>
    </row>
    <row r="724" spans="1:38" x14ac:dyDescent="0.35">
      <c r="A724" s="3" t="s">
        <v>4261</v>
      </c>
      <c r="B724" s="4" t="s">
        <v>4265</v>
      </c>
      <c r="C724" s="4">
        <f>VLOOKUP(A724, [1]Planilha1!$A$3:$B$1015,2,FALSE)</f>
        <v>2594</v>
      </c>
      <c r="D724" s="4">
        <f t="shared" si="11"/>
        <v>0.7205555555555555</v>
      </c>
      <c r="E724" s="4" t="s">
        <v>1125</v>
      </c>
      <c r="F724" s="3" t="s">
        <v>4263</v>
      </c>
      <c r="G724" s="3" t="s">
        <v>100</v>
      </c>
      <c r="H724" s="3" t="s">
        <v>44</v>
      </c>
      <c r="I724" s="3" t="s">
        <v>33</v>
      </c>
      <c r="J724" s="3" t="s">
        <v>41</v>
      </c>
      <c r="L724" s="1">
        <v>46034.475601851853</v>
      </c>
      <c r="M724" s="1">
        <v>46034.481562499997</v>
      </c>
      <c r="N724" s="1">
        <v>46034.496574074074</v>
      </c>
      <c r="O724" s="3" t="s">
        <v>43</v>
      </c>
      <c r="P724" s="3" t="s">
        <v>4265</v>
      </c>
      <c r="Q724" s="3" t="s">
        <v>42</v>
      </c>
      <c r="R724" s="3" t="s">
        <v>4264</v>
      </c>
      <c r="S724" s="3" t="s">
        <v>62</v>
      </c>
      <c r="T724" s="3" t="s">
        <v>61</v>
      </c>
      <c r="U724" s="4" t="b">
        <v>1</v>
      </c>
      <c r="V724" s="3" t="s">
        <v>31</v>
      </c>
      <c r="W724" s="1"/>
      <c r="Y724" s="3" t="s">
        <v>32</v>
      </c>
      <c r="Z724" s="3" t="s">
        <v>32</v>
      </c>
      <c r="AA724" s="3"/>
      <c r="AB724" s="3"/>
      <c r="AC724" s="4" t="s">
        <v>30</v>
      </c>
      <c r="AD724" s="3"/>
      <c r="AE724" s="3" t="s">
        <v>4265</v>
      </c>
      <c r="AF724" s="4" t="s">
        <v>30</v>
      </c>
      <c r="AH724" s="4">
        <v>1</v>
      </c>
      <c r="AI724" s="3" t="s">
        <v>4262</v>
      </c>
      <c r="AJ724" s="4" t="s">
        <v>5922</v>
      </c>
      <c r="AK724" s="4"/>
      <c r="AL724" s="3"/>
    </row>
    <row r="725" spans="1:38" x14ac:dyDescent="0.35">
      <c r="A725" s="3" t="s">
        <v>4266</v>
      </c>
      <c r="B725" s="4" t="s">
        <v>4271</v>
      </c>
      <c r="C725" s="4">
        <f>VLOOKUP(A725, [1]Planilha1!$A$3:$B$1015,2,FALSE)</f>
        <v>0</v>
      </c>
      <c r="D725" s="4">
        <f t="shared" si="11"/>
        <v>0</v>
      </c>
      <c r="E725" s="4" t="s">
        <v>1125</v>
      </c>
      <c r="F725" s="3" t="s">
        <v>4268</v>
      </c>
      <c r="G725" s="3" t="s">
        <v>44</v>
      </c>
      <c r="H725" s="3" t="s">
        <v>44</v>
      </c>
      <c r="I725" s="3" t="s">
        <v>33</v>
      </c>
      <c r="J725" s="3" t="s">
        <v>60</v>
      </c>
      <c r="L725" s="1">
        <v>46034.47079861111</v>
      </c>
      <c r="M725" s="1">
        <v>46034.473715277774</v>
      </c>
      <c r="N725" s="1">
        <v>46037.500011574077</v>
      </c>
      <c r="O725" s="3" t="s">
        <v>43</v>
      </c>
      <c r="P725" s="3" t="s">
        <v>4271</v>
      </c>
      <c r="Q725" s="3" t="s">
        <v>35</v>
      </c>
      <c r="R725" s="3" t="s">
        <v>4270</v>
      </c>
      <c r="S725" s="3" t="s">
        <v>62</v>
      </c>
      <c r="T725" s="3" t="s">
        <v>61</v>
      </c>
      <c r="U725" s="4" t="b">
        <v>1</v>
      </c>
      <c r="V725" s="3" t="s">
        <v>31</v>
      </c>
      <c r="W725" s="1"/>
      <c r="Y725" s="3" t="s">
        <v>32</v>
      </c>
      <c r="Z725" s="3" t="s">
        <v>32</v>
      </c>
      <c r="AA725" s="3"/>
      <c r="AB725" s="3"/>
      <c r="AC725" s="4" t="s">
        <v>30</v>
      </c>
      <c r="AD725" s="3"/>
      <c r="AE725" s="3" t="s">
        <v>4271</v>
      </c>
      <c r="AF725" s="4" t="s">
        <v>30</v>
      </c>
      <c r="AH725" s="4">
        <v>0</v>
      </c>
      <c r="AI725" s="3" t="s">
        <v>4267</v>
      </c>
      <c r="AJ725" s="4" t="s">
        <v>4269</v>
      </c>
      <c r="AK725" s="4"/>
      <c r="AL725" s="3"/>
    </row>
    <row r="726" spans="1:38" x14ac:dyDescent="0.35">
      <c r="A726" s="3" t="s">
        <v>4272</v>
      </c>
      <c r="B726" s="4" t="s">
        <v>4276</v>
      </c>
      <c r="C726" s="4">
        <f>VLOOKUP(A726, [1]Planilha1!$A$3:$B$1015,2,FALSE)</f>
        <v>5934</v>
      </c>
      <c r="D726" s="4">
        <f t="shared" si="11"/>
        <v>1.6483333333333334</v>
      </c>
      <c r="E726" s="4" t="s">
        <v>1125</v>
      </c>
      <c r="F726" s="3" t="s">
        <v>4274</v>
      </c>
      <c r="G726" s="3" t="s">
        <v>74</v>
      </c>
      <c r="H726" s="3" t="s">
        <v>44</v>
      </c>
      <c r="I726" s="3" t="s">
        <v>33</v>
      </c>
      <c r="J726" s="3" t="s">
        <v>41</v>
      </c>
      <c r="L726" s="1">
        <v>46034.470405092594</v>
      </c>
      <c r="M726" s="1">
        <v>46034.472083333334</v>
      </c>
      <c r="N726" s="1">
        <v>46034.506423611114</v>
      </c>
      <c r="O726" s="3" t="s">
        <v>43</v>
      </c>
      <c r="P726" s="3" t="s">
        <v>4276</v>
      </c>
      <c r="Q726" s="3" t="s">
        <v>42</v>
      </c>
      <c r="R726" s="3" t="s">
        <v>4275</v>
      </c>
      <c r="S726" s="3" t="s">
        <v>80</v>
      </c>
      <c r="T726" s="3" t="s">
        <v>79</v>
      </c>
      <c r="U726" s="4" t="b">
        <v>1</v>
      </c>
      <c r="V726" s="3" t="s">
        <v>31</v>
      </c>
      <c r="W726" s="1"/>
      <c r="Y726" s="3" t="s">
        <v>32</v>
      </c>
      <c r="Z726" s="3" t="s">
        <v>32</v>
      </c>
      <c r="AA726" s="3"/>
      <c r="AB726" s="3"/>
      <c r="AC726" s="4" t="s">
        <v>30</v>
      </c>
      <c r="AD726" s="3"/>
      <c r="AE726" s="3" t="s">
        <v>4276</v>
      </c>
      <c r="AF726" s="4" t="s">
        <v>30</v>
      </c>
      <c r="AH726" s="4">
        <v>1</v>
      </c>
      <c r="AI726" s="3" t="s">
        <v>4273</v>
      </c>
      <c r="AJ726" s="4" t="s">
        <v>5923</v>
      </c>
      <c r="AK726" s="4"/>
      <c r="AL726" s="3"/>
    </row>
    <row r="727" spans="1:38" x14ac:dyDescent="0.35">
      <c r="A727" s="3" t="s">
        <v>4277</v>
      </c>
      <c r="B727" s="4" t="s">
        <v>4253</v>
      </c>
      <c r="C727" s="4">
        <f>VLOOKUP(A727, [1]Planilha1!$A$3:$B$1015,2,FALSE)</f>
        <v>0</v>
      </c>
      <c r="D727" s="4">
        <f t="shared" si="11"/>
        <v>0</v>
      </c>
      <c r="E727" s="4" t="s">
        <v>1125</v>
      </c>
      <c r="F727" s="3" t="s">
        <v>4251</v>
      </c>
      <c r="G727" s="3" t="s">
        <v>4278</v>
      </c>
      <c r="H727" s="3" t="s">
        <v>44</v>
      </c>
      <c r="I727" s="3" t="s">
        <v>33</v>
      </c>
      <c r="J727" s="3" t="s">
        <v>60</v>
      </c>
      <c r="K727" s="3" t="s">
        <v>4280</v>
      </c>
      <c r="L727" s="1">
        <v>46034.464675925927</v>
      </c>
      <c r="M727" s="1">
        <v>46034.491076388891</v>
      </c>
      <c r="N727" s="1">
        <v>46037.500011574077</v>
      </c>
      <c r="O727" s="3" t="s">
        <v>43</v>
      </c>
      <c r="P727" s="3" t="s">
        <v>4253</v>
      </c>
      <c r="Q727" s="3" t="s">
        <v>35</v>
      </c>
      <c r="R727" s="3" t="s">
        <v>4252</v>
      </c>
      <c r="S727" s="3" t="s">
        <v>98</v>
      </c>
      <c r="T727" s="3" t="s">
        <v>97</v>
      </c>
      <c r="U727" s="4" t="b">
        <v>1</v>
      </c>
      <c r="V727" s="3" t="s">
        <v>31</v>
      </c>
      <c r="W727" s="1"/>
      <c r="Y727" s="3" t="s">
        <v>32</v>
      </c>
      <c r="Z727" s="3" t="s">
        <v>32</v>
      </c>
      <c r="AA727" s="3"/>
      <c r="AB727" s="3"/>
      <c r="AC727" s="4" t="s">
        <v>30</v>
      </c>
      <c r="AD727" s="3"/>
      <c r="AE727" s="3" t="s">
        <v>4253</v>
      </c>
      <c r="AF727" s="4" t="s">
        <v>30</v>
      </c>
      <c r="AH727" s="4">
        <v>0</v>
      </c>
      <c r="AI727" s="3" t="s">
        <v>4279</v>
      </c>
      <c r="AJ727" s="4"/>
      <c r="AK727" s="4"/>
      <c r="AL727" s="3"/>
    </row>
    <row r="728" spans="1:38" x14ac:dyDescent="0.35">
      <c r="A728" s="3" t="s">
        <v>4281</v>
      </c>
      <c r="B728" s="4" t="s">
        <v>982</v>
      </c>
      <c r="C728" s="4">
        <f>VLOOKUP(A728, [1]Planilha1!$A$3:$B$1015,2,FALSE)</f>
        <v>38670</v>
      </c>
      <c r="D728" s="4">
        <f t="shared" si="11"/>
        <v>10.741666666666667</v>
      </c>
      <c r="E728" s="4" t="s">
        <v>1125</v>
      </c>
      <c r="F728" s="3" t="s">
        <v>979</v>
      </c>
      <c r="G728" s="3" t="s">
        <v>4282</v>
      </c>
      <c r="H728" s="3" t="s">
        <v>44</v>
      </c>
      <c r="I728" s="3" t="s">
        <v>33</v>
      </c>
      <c r="J728" s="3" t="s">
        <v>41</v>
      </c>
      <c r="L728" s="1">
        <v>46034.464375000003</v>
      </c>
      <c r="M728" s="1">
        <v>46034.464375000003</v>
      </c>
      <c r="N728" s="1">
        <v>46034.620081018518</v>
      </c>
      <c r="O728" s="3" t="s">
        <v>43</v>
      </c>
      <c r="P728" s="3" t="s">
        <v>982</v>
      </c>
      <c r="Q728" s="3" t="s">
        <v>42</v>
      </c>
      <c r="R728" s="3" t="s">
        <v>981</v>
      </c>
      <c r="S728" s="3" t="s">
        <v>37</v>
      </c>
      <c r="T728" s="3" t="s">
        <v>36</v>
      </c>
      <c r="U728" s="4" t="b">
        <v>1</v>
      </c>
      <c r="V728" s="3" t="s">
        <v>28</v>
      </c>
      <c r="W728" s="1"/>
      <c r="Y728" s="3" t="s">
        <v>29</v>
      </c>
      <c r="Z728" s="3" t="s">
        <v>29</v>
      </c>
      <c r="AA728" s="3"/>
      <c r="AB728" s="3"/>
      <c r="AC728" s="4" t="s">
        <v>30</v>
      </c>
      <c r="AD728" s="3"/>
      <c r="AE728" s="3" t="s">
        <v>982</v>
      </c>
      <c r="AF728" s="4" t="s">
        <v>30</v>
      </c>
      <c r="AH728" s="4">
        <v>2</v>
      </c>
      <c r="AI728" s="3" t="s">
        <v>4283</v>
      </c>
      <c r="AJ728" s="4" t="s">
        <v>980</v>
      </c>
      <c r="AK728" s="4"/>
      <c r="AL728" s="3"/>
    </row>
    <row r="729" spans="1:38" x14ac:dyDescent="0.35">
      <c r="A729" s="3" t="s">
        <v>4284</v>
      </c>
      <c r="B729" s="4" t="s">
        <v>4290</v>
      </c>
      <c r="C729" s="4">
        <f>VLOOKUP(A729, [1]Planilha1!$A$3:$B$1015,2,FALSE)</f>
        <v>22548</v>
      </c>
      <c r="D729" s="4">
        <f t="shared" si="11"/>
        <v>6.2633333333333336</v>
      </c>
      <c r="E729" s="4" t="s">
        <v>1125</v>
      </c>
      <c r="F729" s="3" t="s">
        <v>4287</v>
      </c>
      <c r="G729" s="3" t="s">
        <v>4285</v>
      </c>
      <c r="H729" s="3" t="s">
        <v>163</v>
      </c>
      <c r="I729" s="3" t="s">
        <v>33</v>
      </c>
      <c r="J729" s="3" t="s">
        <v>41</v>
      </c>
      <c r="L729" s="1">
        <v>46034.46020833333</v>
      </c>
      <c r="M729" s="1">
        <v>46034.46020833333</v>
      </c>
      <c r="N729" s="1">
        <v>46034.590694444443</v>
      </c>
      <c r="O729" s="3" t="s">
        <v>162</v>
      </c>
      <c r="P729" s="3" t="s">
        <v>4290</v>
      </c>
      <c r="Q729" s="3" t="s">
        <v>35</v>
      </c>
      <c r="R729" s="3" t="s">
        <v>4289</v>
      </c>
      <c r="S729" s="3" t="s">
        <v>37</v>
      </c>
      <c r="T729" s="3" t="s">
        <v>36</v>
      </c>
      <c r="U729" s="4" t="b">
        <v>1</v>
      </c>
      <c r="V729" s="3" t="s">
        <v>28</v>
      </c>
      <c r="W729" s="1"/>
      <c r="Y729" s="3" t="s">
        <v>29</v>
      </c>
      <c r="Z729" s="3" t="s">
        <v>29</v>
      </c>
      <c r="AA729" s="3"/>
      <c r="AB729" s="3"/>
      <c r="AC729" s="4" t="s">
        <v>30</v>
      </c>
      <c r="AD729" s="3"/>
      <c r="AE729" s="3" t="s">
        <v>4290</v>
      </c>
      <c r="AF729" s="4" t="s">
        <v>30</v>
      </c>
      <c r="AH729" s="4">
        <v>1</v>
      </c>
      <c r="AI729" s="3" t="s">
        <v>4286</v>
      </c>
      <c r="AJ729" s="4" t="s">
        <v>4288</v>
      </c>
      <c r="AK729" s="4"/>
      <c r="AL729" s="3"/>
    </row>
    <row r="730" spans="1:38" x14ac:dyDescent="0.35">
      <c r="A730" s="3" t="s">
        <v>4294</v>
      </c>
      <c r="B730" s="4" t="s">
        <v>4155</v>
      </c>
      <c r="C730" s="4">
        <f>VLOOKUP(A730, [1]Planilha1!$A$3:$B$1015,2,FALSE)</f>
        <v>5402</v>
      </c>
      <c r="D730" s="4">
        <f t="shared" si="11"/>
        <v>1.5005555555555556</v>
      </c>
      <c r="E730" s="4" t="s">
        <v>1125</v>
      </c>
      <c r="F730" s="3" t="s">
        <v>4297</v>
      </c>
      <c r="G730" s="3" t="s">
        <v>4295</v>
      </c>
      <c r="H730" s="3" t="s">
        <v>44</v>
      </c>
      <c r="I730" s="3" t="s">
        <v>33</v>
      </c>
      <c r="J730" s="3" t="s">
        <v>41</v>
      </c>
      <c r="L730" s="1">
        <v>46034.457777777781</v>
      </c>
      <c r="M730" s="1">
        <v>46034.464768518519</v>
      </c>
      <c r="N730" s="1">
        <v>46034.496030092596</v>
      </c>
      <c r="O730" s="3" t="s">
        <v>43</v>
      </c>
      <c r="P730" s="3" t="s">
        <v>4155</v>
      </c>
      <c r="Q730" s="3" t="s">
        <v>42</v>
      </c>
      <c r="R730" s="3" t="s">
        <v>4299</v>
      </c>
      <c r="S730" s="3" t="s">
        <v>62</v>
      </c>
      <c r="T730" s="3" t="s">
        <v>61</v>
      </c>
      <c r="U730" s="4" t="b">
        <v>1</v>
      </c>
      <c r="V730" s="3" t="s">
        <v>31</v>
      </c>
      <c r="W730" s="1"/>
      <c r="Y730" s="3" t="s">
        <v>32</v>
      </c>
      <c r="Z730" s="3" t="s">
        <v>32</v>
      </c>
      <c r="AA730" s="3"/>
      <c r="AB730" s="3"/>
      <c r="AC730" s="4" t="s">
        <v>30</v>
      </c>
      <c r="AD730" s="3"/>
      <c r="AE730" s="3" t="s">
        <v>4155</v>
      </c>
      <c r="AF730" s="4" t="s">
        <v>30</v>
      </c>
      <c r="AH730" s="4">
        <v>1</v>
      </c>
      <c r="AI730" s="3" t="s">
        <v>4296</v>
      </c>
      <c r="AJ730" s="4" t="s">
        <v>4298</v>
      </c>
      <c r="AK730" s="4"/>
      <c r="AL730" s="3"/>
    </row>
    <row r="731" spans="1:38" x14ac:dyDescent="0.35">
      <c r="A731" s="3" t="s">
        <v>4300</v>
      </c>
      <c r="B731" s="4" t="s">
        <v>1439</v>
      </c>
      <c r="C731" s="4">
        <f>VLOOKUP(A731, [1]Planilha1!$A$3:$B$1015,2,FALSE)</f>
        <v>7332</v>
      </c>
      <c r="D731" s="4">
        <f t="shared" si="11"/>
        <v>2.0366666666666666</v>
      </c>
      <c r="E731" s="4" t="s">
        <v>1125</v>
      </c>
      <c r="F731" s="3" t="s">
        <v>1437</v>
      </c>
      <c r="G731" s="3" t="s">
        <v>74</v>
      </c>
      <c r="H731" s="3" t="s">
        <v>44</v>
      </c>
      <c r="I731" s="3" t="s">
        <v>33</v>
      </c>
      <c r="J731" s="3" t="s">
        <v>41</v>
      </c>
      <c r="L731" s="1">
        <v>46034.453472222223</v>
      </c>
      <c r="M731" s="1">
        <v>46034.455462962964</v>
      </c>
      <c r="N731" s="1">
        <v>46034.497893518521</v>
      </c>
      <c r="O731" s="3" t="s">
        <v>43</v>
      </c>
      <c r="P731" s="3" t="s">
        <v>1439</v>
      </c>
      <c r="Q731" s="3" t="s">
        <v>42</v>
      </c>
      <c r="R731" s="3" t="s">
        <v>1438</v>
      </c>
      <c r="S731" s="3" t="s">
        <v>80</v>
      </c>
      <c r="T731" s="3" t="s">
        <v>79</v>
      </c>
      <c r="U731" s="4" t="b">
        <v>1</v>
      </c>
      <c r="V731" s="3" t="s">
        <v>31</v>
      </c>
      <c r="W731" s="1"/>
      <c r="Y731" s="3" t="s">
        <v>32</v>
      </c>
      <c r="Z731" s="3" t="s">
        <v>32</v>
      </c>
      <c r="AA731" s="3"/>
      <c r="AB731" s="3"/>
      <c r="AC731" s="4" t="s">
        <v>30</v>
      </c>
      <c r="AD731" s="3"/>
      <c r="AE731" s="3" t="s">
        <v>1439</v>
      </c>
      <c r="AF731" s="4" t="s">
        <v>30</v>
      </c>
      <c r="AH731" s="4">
        <v>1</v>
      </c>
      <c r="AI731" s="3" t="s">
        <v>4301</v>
      </c>
      <c r="AJ731" s="4" t="s">
        <v>5924</v>
      </c>
      <c r="AK731" s="4"/>
      <c r="AL731" s="3"/>
    </row>
    <row r="732" spans="1:38" x14ac:dyDescent="0.35">
      <c r="A732" s="3" t="s">
        <v>4302</v>
      </c>
      <c r="B732" s="4" t="s">
        <v>58</v>
      </c>
      <c r="C732" s="4">
        <f>VLOOKUP(A732, [1]Planilha1!$A$3:$B$1015,2,FALSE)</f>
        <v>116296</v>
      </c>
      <c r="D732" s="4">
        <f t="shared" si="11"/>
        <v>32.304444444444442</v>
      </c>
      <c r="E732" s="4" t="s">
        <v>1125</v>
      </c>
      <c r="F732" s="3" t="s">
        <v>54</v>
      </c>
      <c r="G732" s="3" t="s">
        <v>4303</v>
      </c>
      <c r="H732" s="3" t="s">
        <v>3735</v>
      </c>
      <c r="I732" s="3" t="s">
        <v>33</v>
      </c>
      <c r="J732" s="3" t="s">
        <v>152</v>
      </c>
      <c r="L732" s="1">
        <v>46034.432870370372</v>
      </c>
      <c r="M732" s="1">
        <v>46034.440891203703</v>
      </c>
      <c r="N732" s="1">
        <v>46043.630104166667</v>
      </c>
      <c r="O732" s="3" t="s">
        <v>3734</v>
      </c>
      <c r="P732" s="3" t="s">
        <v>57</v>
      </c>
      <c r="Q732" s="3" t="s">
        <v>35</v>
      </c>
      <c r="R732" s="3" t="s">
        <v>56</v>
      </c>
      <c r="S732" s="3" t="s">
        <v>1331</v>
      </c>
      <c r="T732" s="3" t="s">
        <v>1330</v>
      </c>
      <c r="U732" s="4" t="b">
        <v>0</v>
      </c>
      <c r="V732" s="3" t="s">
        <v>31</v>
      </c>
      <c r="W732" s="1"/>
      <c r="Y732" s="3" t="s">
        <v>32</v>
      </c>
      <c r="Z732" s="3" t="s">
        <v>32</v>
      </c>
      <c r="AA732" s="3" t="s">
        <v>4305</v>
      </c>
      <c r="AB732" s="3" t="s">
        <v>58</v>
      </c>
      <c r="AC732" s="4" t="s">
        <v>30</v>
      </c>
      <c r="AD732" s="3" t="s">
        <v>59</v>
      </c>
      <c r="AE732" s="3" t="s">
        <v>57</v>
      </c>
      <c r="AF732" s="4" t="s">
        <v>30</v>
      </c>
      <c r="AH732" s="4">
        <v>10</v>
      </c>
      <c r="AI732" s="3" t="s">
        <v>4304</v>
      </c>
      <c r="AJ732" s="4" t="s">
        <v>55</v>
      </c>
      <c r="AK732" s="4" t="s">
        <v>4306</v>
      </c>
      <c r="AL732" s="3"/>
    </row>
    <row r="733" spans="1:38" x14ac:dyDescent="0.35">
      <c r="A733" s="3" t="s">
        <v>4307</v>
      </c>
      <c r="B733" s="4" t="s">
        <v>3638</v>
      </c>
      <c r="C733" s="4">
        <f>VLOOKUP(A733, [1]Planilha1!$A$3:$B$1015,2,FALSE)</f>
        <v>7952</v>
      </c>
      <c r="D733" s="4">
        <f t="shared" si="11"/>
        <v>2.2088888888888887</v>
      </c>
      <c r="E733" s="4" t="s">
        <v>1125</v>
      </c>
      <c r="F733" s="3" t="s">
        <v>3635</v>
      </c>
      <c r="G733" s="3" t="s">
        <v>214</v>
      </c>
      <c r="H733" s="3" t="s">
        <v>44</v>
      </c>
      <c r="I733" s="3" t="s">
        <v>33</v>
      </c>
      <c r="J733" s="3" t="s">
        <v>41</v>
      </c>
      <c r="K733" s="3" t="s">
        <v>4309</v>
      </c>
      <c r="L733" s="1">
        <v>46034.427743055552</v>
      </c>
      <c r="M733" s="1">
        <v>46034.449444444443</v>
      </c>
      <c r="N733" s="1">
        <v>46034.495462962965</v>
      </c>
      <c r="O733" s="3" t="s">
        <v>43</v>
      </c>
      <c r="P733" s="3" t="s">
        <v>3638</v>
      </c>
      <c r="Q733" s="3" t="s">
        <v>42</v>
      </c>
      <c r="R733" s="3" t="s">
        <v>3637</v>
      </c>
      <c r="S733" s="3" t="s">
        <v>144</v>
      </c>
      <c r="T733" s="3" t="s">
        <v>143</v>
      </c>
      <c r="U733" s="4" t="b">
        <v>1</v>
      </c>
      <c r="V733" s="3" t="s">
        <v>31</v>
      </c>
      <c r="W733" s="1"/>
      <c r="Y733" s="3" t="s">
        <v>32</v>
      </c>
      <c r="Z733" s="3" t="s">
        <v>32</v>
      </c>
      <c r="AA733" s="3"/>
      <c r="AB733" s="3"/>
      <c r="AC733" s="4" t="s">
        <v>30</v>
      </c>
      <c r="AD733" s="3"/>
      <c r="AE733" s="3" t="s">
        <v>3638</v>
      </c>
      <c r="AF733" s="4" t="s">
        <v>30</v>
      </c>
      <c r="AH733" s="4">
        <v>1</v>
      </c>
      <c r="AI733" s="3" t="s">
        <v>4308</v>
      </c>
      <c r="AJ733" s="4" t="s">
        <v>3636</v>
      </c>
      <c r="AK733" s="4"/>
      <c r="AL733" s="3"/>
    </row>
    <row r="734" spans="1:38" x14ac:dyDescent="0.35">
      <c r="A734" s="3" t="s">
        <v>4310</v>
      </c>
      <c r="B734" s="4" t="s">
        <v>4316</v>
      </c>
      <c r="C734" s="4">
        <f>VLOOKUP(A734, [1]Planilha1!$A$3:$B$1015,2,FALSE)</f>
        <v>0</v>
      </c>
      <c r="D734" s="4">
        <f t="shared" si="11"/>
        <v>0</v>
      </c>
      <c r="E734" s="4" t="s">
        <v>1125</v>
      </c>
      <c r="F734" s="3" t="s">
        <v>4313</v>
      </c>
      <c r="G734" s="3" t="s">
        <v>134</v>
      </c>
      <c r="H734" s="3" t="s">
        <v>138</v>
      </c>
      <c r="I734" s="3" t="s">
        <v>33</v>
      </c>
      <c r="J734" s="3" t="s">
        <v>60</v>
      </c>
      <c r="K734" s="3" t="s">
        <v>4312</v>
      </c>
      <c r="L734" s="1">
        <v>46034.421712962961</v>
      </c>
      <c r="M734" s="1">
        <v>46034.432893518519</v>
      </c>
      <c r="N734" s="1">
        <v>46037.458344907405</v>
      </c>
      <c r="O734" s="3" t="s">
        <v>137</v>
      </c>
      <c r="P734" s="3" t="s">
        <v>4316</v>
      </c>
      <c r="Q734" s="3" t="s">
        <v>35</v>
      </c>
      <c r="R734" s="3" t="s">
        <v>4315</v>
      </c>
      <c r="S734" s="3" t="s">
        <v>144</v>
      </c>
      <c r="T734" s="3" t="s">
        <v>143</v>
      </c>
      <c r="U734" s="4" t="b">
        <v>1</v>
      </c>
      <c r="V734" s="3" t="s">
        <v>31</v>
      </c>
      <c r="W734" s="1"/>
      <c r="Y734" s="3" t="s">
        <v>32</v>
      </c>
      <c r="Z734" s="3" t="s">
        <v>32</v>
      </c>
      <c r="AA734" s="3"/>
      <c r="AB734" s="3"/>
      <c r="AC734" s="4" t="s">
        <v>30</v>
      </c>
      <c r="AD734" s="3"/>
      <c r="AE734" s="3" t="s">
        <v>4316</v>
      </c>
      <c r="AF734" s="4" t="s">
        <v>30</v>
      </c>
      <c r="AH734" s="4">
        <v>0</v>
      </c>
      <c r="AI734" s="3" t="s">
        <v>4311</v>
      </c>
      <c r="AJ734" s="4" t="s">
        <v>4314</v>
      </c>
      <c r="AK734" s="4"/>
      <c r="AL734" s="3"/>
    </row>
    <row r="735" spans="1:38" x14ac:dyDescent="0.35">
      <c r="A735" s="3" t="s">
        <v>4320</v>
      </c>
      <c r="B735" s="4" t="s">
        <v>4324</v>
      </c>
      <c r="C735" s="4">
        <f>VLOOKUP(A735, [1]Planilha1!$A$3:$B$1015,2,FALSE)</f>
        <v>3418</v>
      </c>
      <c r="D735" s="4">
        <f t="shared" si="11"/>
        <v>0.94944444444444442</v>
      </c>
      <c r="E735" s="4" t="s">
        <v>1125</v>
      </c>
      <c r="F735" s="3" t="s">
        <v>4322</v>
      </c>
      <c r="G735" s="3" t="s">
        <v>2401</v>
      </c>
      <c r="H735" s="3" t="s">
        <v>44</v>
      </c>
      <c r="I735" s="3" t="s">
        <v>33</v>
      </c>
      <c r="J735" s="3" t="s">
        <v>41</v>
      </c>
      <c r="L735" s="1">
        <v>46034.413726851853</v>
      </c>
      <c r="M735" s="1">
        <v>46034.420543981483</v>
      </c>
      <c r="N735" s="1">
        <v>46034.44358796296</v>
      </c>
      <c r="O735" s="3" t="s">
        <v>43</v>
      </c>
      <c r="P735" s="3" t="s">
        <v>4324</v>
      </c>
      <c r="Q735" s="3" t="s">
        <v>42</v>
      </c>
      <c r="R735" s="3" t="s">
        <v>4323</v>
      </c>
      <c r="S735" s="3" t="s">
        <v>80</v>
      </c>
      <c r="T735" s="3" t="s">
        <v>79</v>
      </c>
      <c r="U735" s="4" t="b">
        <v>1</v>
      </c>
      <c r="V735" s="3" t="s">
        <v>31</v>
      </c>
      <c r="W735" s="1"/>
      <c r="Y735" s="3" t="s">
        <v>32</v>
      </c>
      <c r="Z735" s="3" t="s">
        <v>32</v>
      </c>
      <c r="AA735" s="3"/>
      <c r="AB735" s="3"/>
      <c r="AC735" s="4" t="s">
        <v>30</v>
      </c>
      <c r="AD735" s="3"/>
      <c r="AE735" s="3" t="s">
        <v>4324</v>
      </c>
      <c r="AF735" s="4" t="s">
        <v>30</v>
      </c>
      <c r="AH735" s="4">
        <v>1</v>
      </c>
      <c r="AI735" s="3" t="s">
        <v>4321</v>
      </c>
      <c r="AJ735" s="4">
        <v>488889</v>
      </c>
      <c r="AK735" s="4"/>
      <c r="AL735" s="3"/>
    </row>
    <row r="736" spans="1:38" x14ac:dyDescent="0.35">
      <c r="A736" s="3" t="s">
        <v>4325</v>
      </c>
      <c r="B736" s="4" t="s">
        <v>4331</v>
      </c>
      <c r="C736" s="4">
        <f>VLOOKUP(A736, [1]Planilha1!$A$3:$B$1015,2,FALSE)</f>
        <v>0</v>
      </c>
      <c r="D736" s="4">
        <f t="shared" si="11"/>
        <v>0</v>
      </c>
      <c r="E736" s="4" t="s">
        <v>1125</v>
      </c>
      <c r="F736" s="3" t="s">
        <v>4328</v>
      </c>
      <c r="G736" s="3" t="s">
        <v>214</v>
      </c>
      <c r="H736" s="3" t="s">
        <v>44</v>
      </c>
      <c r="I736" s="3" t="s">
        <v>33</v>
      </c>
      <c r="J736" s="3" t="s">
        <v>60</v>
      </c>
      <c r="K736" s="3" t="s">
        <v>4327</v>
      </c>
      <c r="L736" s="1">
        <v>46034.377476851849</v>
      </c>
      <c r="M736" s="1">
        <v>46034.412048611113</v>
      </c>
      <c r="N736" s="1">
        <v>46037.416666666664</v>
      </c>
      <c r="O736" s="3" t="s">
        <v>43</v>
      </c>
      <c r="P736" s="3" t="s">
        <v>4331</v>
      </c>
      <c r="Q736" s="3" t="s">
        <v>35</v>
      </c>
      <c r="R736" s="3" t="s">
        <v>4330</v>
      </c>
      <c r="S736" s="3" t="s">
        <v>144</v>
      </c>
      <c r="T736" s="3" t="s">
        <v>143</v>
      </c>
      <c r="U736" s="4" t="b">
        <v>1</v>
      </c>
      <c r="V736" s="3" t="s">
        <v>31</v>
      </c>
      <c r="W736" s="1"/>
      <c r="Y736" s="3" t="s">
        <v>32</v>
      </c>
      <c r="Z736" s="3" t="s">
        <v>32</v>
      </c>
      <c r="AA736" s="3"/>
      <c r="AB736" s="3"/>
      <c r="AC736" s="4" t="s">
        <v>30</v>
      </c>
      <c r="AD736" s="3"/>
      <c r="AE736" s="3" t="s">
        <v>4331</v>
      </c>
      <c r="AF736" s="4" t="s">
        <v>30</v>
      </c>
      <c r="AH736" s="4">
        <v>0</v>
      </c>
      <c r="AI736" s="3" t="s">
        <v>4326</v>
      </c>
      <c r="AJ736" s="4" t="s">
        <v>4329</v>
      </c>
      <c r="AK736" s="4"/>
      <c r="AL736" s="3"/>
    </row>
    <row r="737" spans="1:38" x14ac:dyDescent="0.35">
      <c r="A737" s="3" t="s">
        <v>4333</v>
      </c>
      <c r="B737" s="4" t="s">
        <v>4338</v>
      </c>
      <c r="C737" s="4">
        <f>VLOOKUP(A737, [1]Planilha1!$A$3:$B$1015,2,FALSE)</f>
        <v>9244</v>
      </c>
      <c r="D737" s="4">
        <f t="shared" si="11"/>
        <v>2.5677777777777777</v>
      </c>
      <c r="E737" s="4" t="s">
        <v>1125</v>
      </c>
      <c r="F737" s="3" t="s">
        <v>4336</v>
      </c>
      <c r="G737" s="3" t="s">
        <v>214</v>
      </c>
      <c r="H737" s="3" t="s">
        <v>44</v>
      </c>
      <c r="I737" s="3" t="s">
        <v>33</v>
      </c>
      <c r="J737" s="3" t="s">
        <v>41</v>
      </c>
      <c r="K737" s="3" t="s">
        <v>4335</v>
      </c>
      <c r="L737" s="1">
        <v>46034.353252314817</v>
      </c>
      <c r="M737" s="1">
        <v>46034.363622685189</v>
      </c>
      <c r="N737" s="1">
        <v>46034.428495370368</v>
      </c>
      <c r="O737" s="3" t="s">
        <v>43</v>
      </c>
      <c r="P737" s="3" t="s">
        <v>4338</v>
      </c>
      <c r="Q737" s="3" t="s">
        <v>42</v>
      </c>
      <c r="R737" s="3" t="s">
        <v>4337</v>
      </c>
      <c r="S737" s="3" t="s">
        <v>144</v>
      </c>
      <c r="T737" s="3" t="s">
        <v>143</v>
      </c>
      <c r="U737" s="4" t="b">
        <v>1</v>
      </c>
      <c r="V737" s="3" t="s">
        <v>31</v>
      </c>
      <c r="W737" s="1"/>
      <c r="Y737" s="3" t="s">
        <v>32</v>
      </c>
      <c r="Z737" s="3" t="s">
        <v>32</v>
      </c>
      <c r="AA737" s="3"/>
      <c r="AB737" s="3"/>
      <c r="AC737" s="4" t="s">
        <v>30</v>
      </c>
      <c r="AD737" s="3"/>
      <c r="AE737" s="3" t="s">
        <v>4338</v>
      </c>
      <c r="AF737" s="4" t="s">
        <v>30</v>
      </c>
      <c r="AH737" s="4">
        <v>1</v>
      </c>
      <c r="AI737" s="3" t="s">
        <v>4334</v>
      </c>
      <c r="AJ737" s="4" t="s">
        <v>5925</v>
      </c>
      <c r="AK737" s="4"/>
      <c r="AL737" s="3"/>
    </row>
    <row r="738" spans="1:38" x14ac:dyDescent="0.35">
      <c r="A738" s="3" t="s">
        <v>4339</v>
      </c>
      <c r="B738" s="4" t="s">
        <v>4346</v>
      </c>
      <c r="C738" s="4">
        <f>VLOOKUP(A738, [1]Planilha1!$A$3:$B$1015,2,FALSE)</f>
        <v>0</v>
      </c>
      <c r="D738" s="4">
        <f t="shared" si="11"/>
        <v>0</v>
      </c>
      <c r="E738" s="4" t="s">
        <v>1125</v>
      </c>
      <c r="F738" s="3" t="s">
        <v>4343</v>
      </c>
      <c r="G738" s="3" t="s">
        <v>888</v>
      </c>
      <c r="H738" s="3" t="s">
        <v>888</v>
      </c>
      <c r="I738" s="3" t="s">
        <v>33</v>
      </c>
      <c r="J738" s="3" t="s">
        <v>60</v>
      </c>
      <c r="K738" s="3" t="s">
        <v>4341</v>
      </c>
      <c r="L738" s="1">
        <v>46031.739166666666</v>
      </c>
      <c r="M738" s="1">
        <v>46031.74728009259</v>
      </c>
      <c r="N738" s="1">
        <v>46034.750011574077</v>
      </c>
      <c r="O738" s="3" t="s">
        <v>4342</v>
      </c>
      <c r="P738" s="3" t="s">
        <v>4346</v>
      </c>
      <c r="Q738" s="3" t="s">
        <v>35</v>
      </c>
      <c r="R738" s="3" t="s">
        <v>4345</v>
      </c>
      <c r="S738" s="3" t="s">
        <v>62</v>
      </c>
      <c r="T738" s="3" t="s">
        <v>61</v>
      </c>
      <c r="U738" s="4" t="b">
        <v>1</v>
      </c>
      <c r="V738" s="3" t="s">
        <v>31</v>
      </c>
      <c r="W738" s="1"/>
      <c r="Y738" s="3" t="s">
        <v>32</v>
      </c>
      <c r="Z738" s="3" t="s">
        <v>32</v>
      </c>
      <c r="AA738" s="3"/>
      <c r="AB738" s="3"/>
      <c r="AC738" s="4" t="s">
        <v>30</v>
      </c>
      <c r="AD738" s="3"/>
      <c r="AE738" s="3" t="s">
        <v>4346</v>
      </c>
      <c r="AF738" s="4" t="s">
        <v>30</v>
      </c>
      <c r="AH738" s="4">
        <v>0</v>
      </c>
      <c r="AI738" s="3" t="s">
        <v>4340</v>
      </c>
      <c r="AJ738" s="4" t="s">
        <v>4344</v>
      </c>
      <c r="AK738" s="4"/>
      <c r="AL738" s="3"/>
    </row>
    <row r="739" spans="1:38" x14ac:dyDescent="0.35">
      <c r="A739" s="3" t="s">
        <v>4347</v>
      </c>
      <c r="B739" s="4" t="s">
        <v>4352</v>
      </c>
      <c r="C739" s="4">
        <f>VLOOKUP(A739, [1]Planilha1!$A$3:$B$1015,2,FALSE)</f>
        <v>11802</v>
      </c>
      <c r="D739" s="4">
        <f t="shared" si="11"/>
        <v>3.2783333333333333</v>
      </c>
      <c r="E739" s="4" t="s">
        <v>1125</v>
      </c>
      <c r="F739" s="3" t="s">
        <v>4349</v>
      </c>
      <c r="G739" s="3" t="s">
        <v>74</v>
      </c>
      <c r="H739" s="3" t="s">
        <v>44</v>
      </c>
      <c r="I739" s="3" t="s">
        <v>33</v>
      </c>
      <c r="J739" s="3" t="s">
        <v>41</v>
      </c>
      <c r="L739" s="1">
        <v>46031.738252314812</v>
      </c>
      <c r="M739" s="1">
        <v>46031.742256944446</v>
      </c>
      <c r="N739" s="1">
        <v>46034.435555555552</v>
      </c>
      <c r="O739" s="3" t="s">
        <v>43</v>
      </c>
      <c r="P739" s="3" t="s">
        <v>4352</v>
      </c>
      <c r="Q739" s="3" t="s">
        <v>42</v>
      </c>
      <c r="R739" s="3" t="s">
        <v>4351</v>
      </c>
      <c r="S739" s="3" t="s">
        <v>80</v>
      </c>
      <c r="T739" s="3" t="s">
        <v>79</v>
      </c>
      <c r="U739" s="4" t="b">
        <v>1</v>
      </c>
      <c r="V739" s="3" t="s">
        <v>31</v>
      </c>
      <c r="W739" s="1"/>
      <c r="Y739" s="3" t="s">
        <v>32</v>
      </c>
      <c r="Z739" s="3" t="s">
        <v>32</v>
      </c>
      <c r="AA739" s="3"/>
      <c r="AB739" s="3"/>
      <c r="AC739" s="4" t="s">
        <v>30</v>
      </c>
      <c r="AD739" s="3"/>
      <c r="AE739" s="3" t="s">
        <v>4352</v>
      </c>
      <c r="AF739" s="4" t="s">
        <v>30</v>
      </c>
      <c r="AH739" s="4">
        <v>3</v>
      </c>
      <c r="AI739" s="3" t="s">
        <v>4348</v>
      </c>
      <c r="AJ739" s="4" t="s">
        <v>4350</v>
      </c>
      <c r="AK739" s="4"/>
      <c r="AL739" s="3"/>
    </row>
    <row r="740" spans="1:38" x14ac:dyDescent="0.35">
      <c r="A740" s="3" t="s">
        <v>4353</v>
      </c>
      <c r="B740" s="4" t="s">
        <v>4358</v>
      </c>
      <c r="C740" s="4">
        <f>VLOOKUP(A740, [1]Planilha1!$A$3:$B$1015,2,FALSE)</f>
        <v>12852</v>
      </c>
      <c r="D740" s="4">
        <f t="shared" si="11"/>
        <v>3.57</v>
      </c>
      <c r="E740" s="4" t="s">
        <v>1125</v>
      </c>
      <c r="F740" s="3" t="s">
        <v>4355</v>
      </c>
      <c r="G740" s="3" t="s">
        <v>800</v>
      </c>
      <c r="H740" s="3" t="s">
        <v>44</v>
      </c>
      <c r="I740" s="3" t="s">
        <v>33</v>
      </c>
      <c r="J740" s="3" t="s">
        <v>34</v>
      </c>
      <c r="L740" s="1">
        <v>46031.703101851854</v>
      </c>
      <c r="M740" s="1">
        <v>46031.71434027778</v>
      </c>
      <c r="N740" s="1">
        <v>46037.416666666664</v>
      </c>
      <c r="O740" s="3" t="s">
        <v>43</v>
      </c>
      <c r="P740" s="3" t="s">
        <v>4358</v>
      </c>
      <c r="Q740" s="3" t="s">
        <v>35</v>
      </c>
      <c r="R740" s="3" t="s">
        <v>4357</v>
      </c>
      <c r="S740" s="3" t="s">
        <v>80</v>
      </c>
      <c r="T740" s="3" t="s">
        <v>79</v>
      </c>
      <c r="U740" s="4" t="b">
        <v>1</v>
      </c>
      <c r="V740" s="3" t="s">
        <v>31</v>
      </c>
      <c r="W740" s="1"/>
      <c r="Y740" s="3" t="s">
        <v>32</v>
      </c>
      <c r="Z740" s="3" t="s">
        <v>32</v>
      </c>
      <c r="AA740" s="3"/>
      <c r="AB740" s="3"/>
      <c r="AC740" s="4" t="s">
        <v>30</v>
      </c>
      <c r="AD740" s="3"/>
      <c r="AE740" s="3" t="s">
        <v>4358</v>
      </c>
      <c r="AF740" s="4" t="s">
        <v>30</v>
      </c>
      <c r="AH740" s="4">
        <v>1</v>
      </c>
      <c r="AI740" s="3" t="s">
        <v>4354</v>
      </c>
      <c r="AJ740" s="4" t="s">
        <v>4356</v>
      </c>
      <c r="AK740" s="4"/>
      <c r="AL740" s="3"/>
    </row>
    <row r="741" spans="1:38" x14ac:dyDescent="0.35">
      <c r="A741" s="3" t="s">
        <v>4359</v>
      </c>
      <c r="B741" s="4" t="s">
        <v>4364</v>
      </c>
      <c r="C741" s="4">
        <f>VLOOKUP(A741, [1]Planilha1!$A$3:$B$1015,2,FALSE)</f>
        <v>23322</v>
      </c>
      <c r="D741" s="4">
        <f t="shared" si="11"/>
        <v>6.4783333333333335</v>
      </c>
      <c r="E741" s="4" t="s">
        <v>1125</v>
      </c>
      <c r="F741" s="3" t="s">
        <v>4361</v>
      </c>
      <c r="G741" s="3" t="s">
        <v>74</v>
      </c>
      <c r="H741" s="3" t="s">
        <v>44</v>
      </c>
      <c r="I741" s="3" t="s">
        <v>33</v>
      </c>
      <c r="J741" s="3" t="s">
        <v>41</v>
      </c>
      <c r="L741" s="1">
        <v>46031.672673611109</v>
      </c>
      <c r="M741" s="1">
        <v>46031.674861111111</v>
      </c>
      <c r="N741" s="1">
        <v>46034.43482638889</v>
      </c>
      <c r="O741" s="3" t="s">
        <v>43</v>
      </c>
      <c r="P741" s="3" t="s">
        <v>4364</v>
      </c>
      <c r="Q741" s="3" t="s">
        <v>42</v>
      </c>
      <c r="R741" s="3" t="s">
        <v>4363</v>
      </c>
      <c r="S741" s="3" t="s">
        <v>80</v>
      </c>
      <c r="T741" s="3" t="s">
        <v>79</v>
      </c>
      <c r="U741" s="4" t="b">
        <v>1</v>
      </c>
      <c r="V741" s="3" t="s">
        <v>31</v>
      </c>
      <c r="W741" s="1"/>
      <c r="Y741" s="3" t="s">
        <v>32</v>
      </c>
      <c r="Z741" s="3" t="s">
        <v>32</v>
      </c>
      <c r="AA741" s="3"/>
      <c r="AB741" s="3"/>
      <c r="AC741" s="4" t="s">
        <v>30</v>
      </c>
      <c r="AD741" s="3"/>
      <c r="AE741" s="3" t="s">
        <v>4364</v>
      </c>
      <c r="AF741" s="4" t="s">
        <v>30</v>
      </c>
      <c r="AH741" s="4">
        <v>3</v>
      </c>
      <c r="AI741" s="3" t="s">
        <v>4360</v>
      </c>
      <c r="AJ741" s="4" t="s">
        <v>4362</v>
      </c>
      <c r="AK741" s="4"/>
      <c r="AL741" s="3"/>
    </row>
    <row r="742" spans="1:38" x14ac:dyDescent="0.35">
      <c r="A742" s="3" t="s">
        <v>4365</v>
      </c>
      <c r="B742" s="4" t="s">
        <v>58</v>
      </c>
      <c r="C742" s="4">
        <f>VLOOKUP(A742, [1]Planilha1!$A$3:$B$1015,2,FALSE)</f>
        <v>9090</v>
      </c>
      <c r="D742" s="4">
        <f t="shared" si="11"/>
        <v>2.5249999999999999</v>
      </c>
      <c r="E742" s="4" t="s">
        <v>1125</v>
      </c>
      <c r="F742" s="3" t="s">
        <v>54</v>
      </c>
      <c r="G742" s="3" t="s">
        <v>4366</v>
      </c>
      <c r="H742" s="3" t="s">
        <v>4370</v>
      </c>
      <c r="I742" s="3" t="s">
        <v>33</v>
      </c>
      <c r="J742" s="3" t="s">
        <v>152</v>
      </c>
      <c r="K742" s="3" t="s">
        <v>4368</v>
      </c>
      <c r="L742" s="1">
        <v>46031.65347222222</v>
      </c>
      <c r="M742" s="1">
        <v>46031.662777777776</v>
      </c>
      <c r="N742" s="1">
        <v>46036.673657407409</v>
      </c>
      <c r="O742" s="3" t="s">
        <v>4369</v>
      </c>
      <c r="P742" s="3" t="s">
        <v>57</v>
      </c>
      <c r="Q742" s="3" t="s">
        <v>52</v>
      </c>
      <c r="R742" s="3" t="s">
        <v>56</v>
      </c>
      <c r="S742" s="3" t="s">
        <v>64</v>
      </c>
      <c r="T742" s="3" t="s">
        <v>63</v>
      </c>
      <c r="U742" s="4" t="b">
        <v>0</v>
      </c>
      <c r="V742" s="3" t="s">
        <v>28</v>
      </c>
      <c r="W742" s="1"/>
      <c r="Y742" s="3" t="s">
        <v>29</v>
      </c>
      <c r="Z742" s="3" t="s">
        <v>29</v>
      </c>
      <c r="AA742" s="3" t="s">
        <v>996</v>
      </c>
      <c r="AB742" s="3" t="s">
        <v>58</v>
      </c>
      <c r="AC742" s="4" t="s">
        <v>30</v>
      </c>
      <c r="AD742" s="3" t="s">
        <v>59</v>
      </c>
      <c r="AE742" s="3" t="s">
        <v>57</v>
      </c>
      <c r="AF742" s="4" t="s">
        <v>30</v>
      </c>
      <c r="AH742" s="4">
        <v>2</v>
      </c>
      <c r="AI742" s="3" t="s">
        <v>4367</v>
      </c>
      <c r="AJ742" s="4" t="s">
        <v>55</v>
      </c>
      <c r="AK742" s="4" t="s">
        <v>997</v>
      </c>
      <c r="AL742" s="3"/>
    </row>
    <row r="743" spans="1:38" x14ac:dyDescent="0.35">
      <c r="A743" s="3" t="s">
        <v>4371</v>
      </c>
      <c r="B743" s="4" t="s">
        <v>2734</v>
      </c>
      <c r="C743" s="4">
        <f>VLOOKUP(A743, [1]Planilha1!$A$3:$B$1015,2,FALSE)</f>
        <v>0</v>
      </c>
      <c r="D743" s="4">
        <f t="shared" si="11"/>
        <v>0</v>
      </c>
      <c r="E743" s="4" t="s">
        <v>1125</v>
      </c>
      <c r="F743" s="3" t="s">
        <v>2731</v>
      </c>
      <c r="G743" s="3" t="s">
        <v>214</v>
      </c>
      <c r="H743" s="3" t="s">
        <v>44</v>
      </c>
      <c r="I743" s="3" t="s">
        <v>33</v>
      </c>
      <c r="J743" s="3" t="s">
        <v>60</v>
      </c>
      <c r="K743" s="3" t="s">
        <v>4373</v>
      </c>
      <c r="L743" s="1">
        <v>46031.644942129627</v>
      </c>
      <c r="M743" s="1">
        <v>46031.650289351855</v>
      </c>
      <c r="N743" s="1">
        <v>46034.666666666664</v>
      </c>
      <c r="O743" s="3" t="s">
        <v>43</v>
      </c>
      <c r="P743" s="3" t="s">
        <v>2734</v>
      </c>
      <c r="Q743" s="3" t="s">
        <v>35</v>
      </c>
      <c r="R743" s="3" t="s">
        <v>2733</v>
      </c>
      <c r="S743" s="3" t="s">
        <v>144</v>
      </c>
      <c r="T743" s="3" t="s">
        <v>143</v>
      </c>
      <c r="U743" s="4" t="b">
        <v>1</v>
      </c>
      <c r="V743" s="3" t="s">
        <v>31</v>
      </c>
      <c r="W743" s="1"/>
      <c r="Y743" s="3" t="s">
        <v>32</v>
      </c>
      <c r="Z743" s="3" t="s">
        <v>32</v>
      </c>
      <c r="AA743" s="3"/>
      <c r="AB743" s="3"/>
      <c r="AC743" s="4" t="s">
        <v>30</v>
      </c>
      <c r="AD743" s="3"/>
      <c r="AE743" s="3" t="s">
        <v>2734</v>
      </c>
      <c r="AF743" s="4" t="s">
        <v>30</v>
      </c>
      <c r="AH743" s="4">
        <v>0</v>
      </c>
      <c r="AI743" s="3" t="s">
        <v>4372</v>
      </c>
      <c r="AJ743" s="4" t="s">
        <v>2732</v>
      </c>
      <c r="AK743" s="4"/>
      <c r="AL743" s="3"/>
    </row>
    <row r="744" spans="1:38" x14ac:dyDescent="0.35">
      <c r="A744" s="3" t="s">
        <v>4374</v>
      </c>
      <c r="B744" s="4" t="s">
        <v>4380</v>
      </c>
      <c r="C744" s="4">
        <f>VLOOKUP(A744, [1]Planilha1!$A$3:$B$1015,2,FALSE)</f>
        <v>3180</v>
      </c>
      <c r="D744" s="4">
        <f t="shared" si="11"/>
        <v>0.8833333333333333</v>
      </c>
      <c r="E744" s="4" t="s">
        <v>1125</v>
      </c>
      <c r="F744" s="3" t="s">
        <v>4377</v>
      </c>
      <c r="G744" s="3" t="s">
        <v>134</v>
      </c>
      <c r="H744" s="3" t="s">
        <v>138</v>
      </c>
      <c r="I744" s="3" t="s">
        <v>33</v>
      </c>
      <c r="J744" s="3" t="s">
        <v>60</v>
      </c>
      <c r="K744" s="3" t="s">
        <v>4376</v>
      </c>
      <c r="L744" s="1">
        <v>46031.641724537039</v>
      </c>
      <c r="M744" s="1">
        <v>46031.641724537039</v>
      </c>
      <c r="N744" s="1">
        <v>46034.666666666664</v>
      </c>
      <c r="O744" s="3" t="s">
        <v>137</v>
      </c>
      <c r="P744" s="3" t="s">
        <v>4380</v>
      </c>
      <c r="Q744" s="3" t="s">
        <v>35</v>
      </c>
      <c r="R744" s="3" t="s">
        <v>4379</v>
      </c>
      <c r="S744" s="3" t="s">
        <v>37</v>
      </c>
      <c r="T744" s="3" t="s">
        <v>36</v>
      </c>
      <c r="U744" s="4" t="b">
        <v>1</v>
      </c>
      <c r="V744" s="3" t="s">
        <v>28</v>
      </c>
      <c r="W744" s="1"/>
      <c r="Y744" s="3" t="s">
        <v>29</v>
      </c>
      <c r="Z744" s="3" t="s">
        <v>29</v>
      </c>
      <c r="AA744" s="3"/>
      <c r="AB744" s="3"/>
      <c r="AC744" s="4" t="s">
        <v>30</v>
      </c>
      <c r="AD744" s="3"/>
      <c r="AE744" s="3" t="s">
        <v>4380</v>
      </c>
      <c r="AF744" s="4" t="s">
        <v>30</v>
      </c>
      <c r="AH744" s="4">
        <v>0</v>
      </c>
      <c r="AI744" s="3" t="s">
        <v>4375</v>
      </c>
      <c r="AJ744" s="4" t="s">
        <v>4378</v>
      </c>
      <c r="AK744" s="4"/>
      <c r="AL744" s="3"/>
    </row>
    <row r="745" spans="1:38" x14ac:dyDescent="0.35">
      <c r="A745" s="3" t="s">
        <v>4381</v>
      </c>
      <c r="B745" s="4" t="s">
        <v>4385</v>
      </c>
      <c r="C745" s="4">
        <f>VLOOKUP(A745, [1]Planilha1!$A$3:$B$1015,2,FALSE)</f>
        <v>5448</v>
      </c>
      <c r="D745" s="4">
        <f t="shared" si="11"/>
        <v>1.5133333333333334</v>
      </c>
      <c r="E745" s="4" t="s">
        <v>1125</v>
      </c>
      <c r="F745" s="3" t="s">
        <v>4383</v>
      </c>
      <c r="G745" s="3" t="s">
        <v>74</v>
      </c>
      <c r="H745" s="3" t="s">
        <v>44</v>
      </c>
      <c r="I745" s="3" t="s">
        <v>33</v>
      </c>
      <c r="J745" s="3" t="s">
        <v>41</v>
      </c>
      <c r="L745" s="1">
        <v>46031.640196759261</v>
      </c>
      <c r="M745" s="1">
        <v>46031.644988425927</v>
      </c>
      <c r="N745" s="1">
        <v>46034.708333333336</v>
      </c>
      <c r="O745" s="3" t="s">
        <v>43</v>
      </c>
      <c r="P745" s="3" t="s">
        <v>4385</v>
      </c>
      <c r="Q745" s="3" t="s">
        <v>35</v>
      </c>
      <c r="R745" s="3" t="s">
        <v>4384</v>
      </c>
      <c r="S745" s="3" t="s">
        <v>80</v>
      </c>
      <c r="T745" s="3" t="s">
        <v>79</v>
      </c>
      <c r="U745" s="4" t="b">
        <v>1</v>
      </c>
      <c r="V745" s="3" t="s">
        <v>31</v>
      </c>
      <c r="W745" s="1"/>
      <c r="Y745" s="3" t="s">
        <v>32</v>
      </c>
      <c r="Z745" s="3" t="s">
        <v>32</v>
      </c>
      <c r="AA745" s="3"/>
      <c r="AB745" s="3"/>
      <c r="AC745" s="4" t="s">
        <v>30</v>
      </c>
      <c r="AD745" s="3"/>
      <c r="AE745" s="3" t="s">
        <v>4385</v>
      </c>
      <c r="AF745" s="4" t="s">
        <v>30</v>
      </c>
      <c r="AH745" s="4">
        <v>1</v>
      </c>
      <c r="AI745" s="3" t="s">
        <v>4382</v>
      </c>
      <c r="AJ745" s="4"/>
      <c r="AK745" s="4"/>
      <c r="AL745" s="3"/>
    </row>
    <row r="746" spans="1:38" x14ac:dyDescent="0.35">
      <c r="A746" s="3" t="s">
        <v>4386</v>
      </c>
      <c r="B746" s="4" t="s">
        <v>94</v>
      </c>
      <c r="C746" s="4">
        <f>VLOOKUP(A746, [1]Planilha1!$A$3:$B$1015,2,FALSE)</f>
        <v>0</v>
      </c>
      <c r="D746" s="4">
        <f t="shared" si="11"/>
        <v>0</v>
      </c>
      <c r="E746" s="4" t="s">
        <v>1125</v>
      </c>
      <c r="F746" s="3" t="s">
        <v>92</v>
      </c>
      <c r="G746" s="3" t="s">
        <v>237</v>
      </c>
      <c r="H746" s="3" t="s">
        <v>237</v>
      </c>
      <c r="I746" s="3" t="s">
        <v>33</v>
      </c>
      <c r="J746" s="3" t="s">
        <v>60</v>
      </c>
      <c r="L746" s="1">
        <v>46031.625960648147</v>
      </c>
      <c r="M746" s="1">
        <v>46031.63082175926</v>
      </c>
      <c r="N746" s="1">
        <v>46034.666666666664</v>
      </c>
      <c r="O746" s="3" t="s">
        <v>1370</v>
      </c>
      <c r="P746" s="3" t="s">
        <v>94</v>
      </c>
      <c r="Q746" s="3" t="s">
        <v>42</v>
      </c>
      <c r="R746" s="3" t="s">
        <v>93</v>
      </c>
      <c r="S746" s="3" t="s">
        <v>120</v>
      </c>
      <c r="T746" s="3" t="s">
        <v>119</v>
      </c>
      <c r="U746" s="4" t="b">
        <v>1</v>
      </c>
      <c r="V746" s="3" t="s">
        <v>31</v>
      </c>
      <c r="W746" s="1"/>
      <c r="Y746" s="3" t="s">
        <v>32</v>
      </c>
      <c r="Z746" s="3" t="s">
        <v>32</v>
      </c>
      <c r="AA746" s="3"/>
      <c r="AB746" s="3"/>
      <c r="AC746" s="4" t="s">
        <v>30</v>
      </c>
      <c r="AD746" s="3"/>
      <c r="AE746" s="3" t="s">
        <v>94</v>
      </c>
      <c r="AF746" s="4" t="s">
        <v>30</v>
      </c>
      <c r="AH746" s="4">
        <v>0</v>
      </c>
      <c r="AI746" s="3" t="s">
        <v>4387</v>
      </c>
      <c r="AJ746" s="4"/>
      <c r="AK746" s="4"/>
      <c r="AL746" s="3"/>
    </row>
    <row r="747" spans="1:38" x14ac:dyDescent="0.35">
      <c r="A747" s="3" t="s">
        <v>4388</v>
      </c>
      <c r="B747" s="4" t="s">
        <v>4394</v>
      </c>
      <c r="C747" s="4">
        <f>VLOOKUP(A747, [1]Planilha1!$A$3:$B$1015,2,FALSE)</f>
        <v>36956</v>
      </c>
      <c r="D747" s="4">
        <f t="shared" si="11"/>
        <v>10.265555555555556</v>
      </c>
      <c r="E747" s="4" t="s">
        <v>1125</v>
      </c>
      <c r="F747" s="3" t="s">
        <v>4391</v>
      </c>
      <c r="G747" s="3" t="s">
        <v>4389</v>
      </c>
      <c r="H747" s="3" t="s">
        <v>224</v>
      </c>
      <c r="I747" s="3" t="s">
        <v>33</v>
      </c>
      <c r="J747" s="3" t="s">
        <v>41</v>
      </c>
      <c r="L747" s="1">
        <v>46031.621504629627</v>
      </c>
      <c r="M747" s="1">
        <v>46031.621504629627</v>
      </c>
      <c r="N747" s="1">
        <v>46034.397870370369</v>
      </c>
      <c r="O747" s="3" t="s">
        <v>223</v>
      </c>
      <c r="P747" s="3" t="s">
        <v>4394</v>
      </c>
      <c r="Q747" s="3" t="s">
        <v>35</v>
      </c>
      <c r="R747" s="3" t="s">
        <v>4393</v>
      </c>
      <c r="S747" s="3" t="s">
        <v>37</v>
      </c>
      <c r="T747" s="3" t="s">
        <v>36</v>
      </c>
      <c r="U747" s="4" t="b">
        <v>1</v>
      </c>
      <c r="V747" s="3" t="s">
        <v>28</v>
      </c>
      <c r="W747" s="1"/>
      <c r="Y747" s="3" t="s">
        <v>29</v>
      </c>
      <c r="Z747" s="3" t="s">
        <v>29</v>
      </c>
      <c r="AA747" s="3"/>
      <c r="AB747" s="3"/>
      <c r="AC747" s="4" t="s">
        <v>30</v>
      </c>
      <c r="AD747" s="3"/>
      <c r="AE747" s="3" t="s">
        <v>4394</v>
      </c>
      <c r="AF747" s="4" t="s">
        <v>30</v>
      </c>
      <c r="AH747" s="4">
        <v>1</v>
      </c>
      <c r="AI747" s="3" t="s">
        <v>4390</v>
      </c>
      <c r="AJ747" s="4" t="s">
        <v>4392</v>
      </c>
      <c r="AK747" s="4"/>
      <c r="AL747" s="3"/>
    </row>
    <row r="748" spans="1:38" x14ac:dyDescent="0.35">
      <c r="A748" s="3" t="s">
        <v>4395</v>
      </c>
      <c r="B748" s="4" t="s">
        <v>3638</v>
      </c>
      <c r="C748" s="4">
        <f>VLOOKUP(A748, [1]Planilha1!$A$3:$B$1015,2,FALSE)</f>
        <v>6360</v>
      </c>
      <c r="D748" s="4">
        <f t="shared" si="11"/>
        <v>1.7666666666666666</v>
      </c>
      <c r="E748" s="4" t="s">
        <v>1125</v>
      </c>
      <c r="F748" s="3" t="s">
        <v>3635</v>
      </c>
      <c r="G748" s="3" t="s">
        <v>214</v>
      </c>
      <c r="H748" s="3" t="s">
        <v>44</v>
      </c>
      <c r="I748" s="3" t="s">
        <v>33</v>
      </c>
      <c r="J748" s="3" t="s">
        <v>41</v>
      </c>
      <c r="K748" s="3" t="s">
        <v>4309</v>
      </c>
      <c r="L748" s="1">
        <v>46031.620891203704</v>
      </c>
      <c r="M748" s="1">
        <v>46031.636423611111</v>
      </c>
      <c r="N748" s="1">
        <v>46034.708333333336</v>
      </c>
      <c r="O748" s="3" t="s">
        <v>43</v>
      </c>
      <c r="P748" s="3" t="s">
        <v>3638</v>
      </c>
      <c r="Q748" s="3" t="s">
        <v>35</v>
      </c>
      <c r="R748" s="3" t="s">
        <v>3637</v>
      </c>
      <c r="S748" s="3" t="s">
        <v>144</v>
      </c>
      <c r="T748" s="3" t="s">
        <v>143</v>
      </c>
      <c r="U748" s="4" t="b">
        <v>1</v>
      </c>
      <c r="V748" s="3" t="s">
        <v>31</v>
      </c>
      <c r="W748" s="1"/>
      <c r="Y748" s="3" t="s">
        <v>32</v>
      </c>
      <c r="Z748" s="3" t="s">
        <v>32</v>
      </c>
      <c r="AA748" s="3"/>
      <c r="AB748" s="3"/>
      <c r="AC748" s="4" t="s">
        <v>30</v>
      </c>
      <c r="AD748" s="3"/>
      <c r="AE748" s="3" t="s">
        <v>3638</v>
      </c>
      <c r="AF748" s="4" t="s">
        <v>30</v>
      </c>
      <c r="AH748" s="4">
        <v>1</v>
      </c>
      <c r="AI748" s="3" t="s">
        <v>4396</v>
      </c>
      <c r="AJ748" s="4" t="s">
        <v>3636</v>
      </c>
      <c r="AK748" s="4"/>
      <c r="AL748" s="3"/>
    </row>
    <row r="749" spans="1:38" x14ac:dyDescent="0.35">
      <c r="A749" s="3" t="s">
        <v>4397</v>
      </c>
      <c r="B749" s="4" t="s">
        <v>4005</v>
      </c>
      <c r="C749" s="4">
        <f>VLOOKUP(A749, [1]Planilha1!$A$3:$B$1015,2,FALSE)</f>
        <v>4242</v>
      </c>
      <c r="D749" s="4">
        <f t="shared" si="11"/>
        <v>1.1783333333333332</v>
      </c>
      <c r="E749" s="4" t="s">
        <v>1125</v>
      </c>
      <c r="F749" s="3" t="s">
        <v>4003</v>
      </c>
      <c r="G749" s="3" t="s">
        <v>74</v>
      </c>
      <c r="H749" s="3" t="s">
        <v>44</v>
      </c>
      <c r="I749" s="3" t="s">
        <v>33</v>
      </c>
      <c r="J749" s="3" t="s">
        <v>607</v>
      </c>
      <c r="L749" s="1">
        <v>46031.617314814815</v>
      </c>
      <c r="M749" s="1">
        <v>46031.622685185182</v>
      </c>
      <c r="N749" s="1">
        <v>46034.666666666664</v>
      </c>
      <c r="O749" s="3" t="s">
        <v>43</v>
      </c>
      <c r="P749" s="3" t="s">
        <v>4005</v>
      </c>
      <c r="Q749" s="3" t="s">
        <v>35</v>
      </c>
      <c r="R749" s="3" t="s">
        <v>4004</v>
      </c>
      <c r="S749" s="3" t="s">
        <v>80</v>
      </c>
      <c r="T749" s="3" t="s">
        <v>79</v>
      </c>
      <c r="U749" s="4" t="b">
        <v>1</v>
      </c>
      <c r="V749" s="3" t="s">
        <v>31</v>
      </c>
      <c r="W749" s="1"/>
      <c r="Y749" s="3" t="s">
        <v>32</v>
      </c>
      <c r="Z749" s="3" t="s">
        <v>32</v>
      </c>
      <c r="AA749" s="3"/>
      <c r="AB749" s="3"/>
      <c r="AC749" s="4" t="s">
        <v>30</v>
      </c>
      <c r="AD749" s="3"/>
      <c r="AE749" s="3" t="s">
        <v>4005</v>
      </c>
      <c r="AF749" s="4" t="s">
        <v>30</v>
      </c>
      <c r="AH749" s="4">
        <v>1</v>
      </c>
      <c r="AI749" s="3" t="s">
        <v>4002</v>
      </c>
      <c r="AJ749" s="4" t="s">
        <v>5913</v>
      </c>
      <c r="AK749" s="4"/>
      <c r="AL749" s="3"/>
    </row>
    <row r="750" spans="1:38" x14ac:dyDescent="0.35">
      <c r="A750" s="3" t="s">
        <v>4398</v>
      </c>
      <c r="B750" s="4" t="s">
        <v>4404</v>
      </c>
      <c r="C750" s="4">
        <f>VLOOKUP(A750, [1]Planilha1!$A$3:$B$1015,2,FALSE)</f>
        <v>0</v>
      </c>
      <c r="D750" s="4">
        <f t="shared" si="11"/>
        <v>0</v>
      </c>
      <c r="E750" s="4" t="s">
        <v>1125</v>
      </c>
      <c r="F750" s="3" t="s">
        <v>4401</v>
      </c>
      <c r="G750" s="3" t="s">
        <v>214</v>
      </c>
      <c r="H750" s="3" t="s">
        <v>44</v>
      </c>
      <c r="I750" s="3" t="s">
        <v>33</v>
      </c>
      <c r="J750" s="3" t="s">
        <v>60</v>
      </c>
      <c r="K750" s="3" t="s">
        <v>4400</v>
      </c>
      <c r="L750" s="1">
        <v>46031.614236111112</v>
      </c>
      <c r="M750" s="1">
        <v>46031.635891203703</v>
      </c>
      <c r="N750" s="1">
        <v>46034.666666666664</v>
      </c>
      <c r="O750" s="3" t="s">
        <v>43</v>
      </c>
      <c r="P750" s="3" t="s">
        <v>4404</v>
      </c>
      <c r="Q750" s="3" t="s">
        <v>35</v>
      </c>
      <c r="R750" s="3" t="s">
        <v>4403</v>
      </c>
      <c r="S750" s="3" t="s">
        <v>144</v>
      </c>
      <c r="T750" s="3" t="s">
        <v>143</v>
      </c>
      <c r="U750" s="4" t="b">
        <v>1</v>
      </c>
      <c r="V750" s="3" t="s">
        <v>31</v>
      </c>
      <c r="W750" s="1"/>
      <c r="Y750" s="3" t="s">
        <v>32</v>
      </c>
      <c r="Z750" s="3" t="s">
        <v>32</v>
      </c>
      <c r="AA750" s="3"/>
      <c r="AB750" s="3"/>
      <c r="AC750" s="4" t="s">
        <v>30</v>
      </c>
      <c r="AD750" s="3"/>
      <c r="AE750" s="3" t="s">
        <v>4404</v>
      </c>
      <c r="AF750" s="4" t="s">
        <v>30</v>
      </c>
      <c r="AH750" s="4">
        <v>0</v>
      </c>
      <c r="AI750" s="3" t="s">
        <v>4399</v>
      </c>
      <c r="AJ750" s="4" t="s">
        <v>4402</v>
      </c>
      <c r="AK750" s="4"/>
      <c r="AL750" s="3"/>
    </row>
    <row r="751" spans="1:38" x14ac:dyDescent="0.35">
      <c r="A751" s="3" t="s">
        <v>4405</v>
      </c>
      <c r="B751" s="4" t="s">
        <v>4411</v>
      </c>
      <c r="C751" s="4">
        <f>VLOOKUP(A751, [1]Planilha1!$A$3:$B$1015,2,FALSE)</f>
        <v>38540</v>
      </c>
      <c r="D751" s="4">
        <f t="shared" si="11"/>
        <v>10.705555555555556</v>
      </c>
      <c r="E751" s="4" t="s">
        <v>1125</v>
      </c>
      <c r="F751" s="3" t="s">
        <v>4409</v>
      </c>
      <c r="G751" s="3" t="s">
        <v>4406</v>
      </c>
      <c r="H751" s="3" t="s">
        <v>224</v>
      </c>
      <c r="I751" s="3" t="s">
        <v>33</v>
      </c>
      <c r="J751" s="3" t="s">
        <v>41</v>
      </c>
      <c r="K751" s="3" t="s">
        <v>4408</v>
      </c>
      <c r="L751" s="1">
        <v>46031.606805555559</v>
      </c>
      <c r="M751" s="1">
        <v>46031.606805555559</v>
      </c>
      <c r="N751" s="1">
        <v>46034.392337962963</v>
      </c>
      <c r="O751" s="3" t="s">
        <v>223</v>
      </c>
      <c r="P751" s="3" t="s">
        <v>4411</v>
      </c>
      <c r="Q751" s="3" t="s">
        <v>35</v>
      </c>
      <c r="R751" s="3" t="s">
        <v>4410</v>
      </c>
      <c r="S751" s="3" t="s">
        <v>37</v>
      </c>
      <c r="T751" s="3" t="s">
        <v>36</v>
      </c>
      <c r="U751" s="4" t="b">
        <v>1</v>
      </c>
      <c r="V751" s="3" t="s">
        <v>28</v>
      </c>
      <c r="W751" s="1"/>
      <c r="Y751" s="3" t="s">
        <v>29</v>
      </c>
      <c r="Z751" s="3" t="s">
        <v>29</v>
      </c>
      <c r="AA751" s="3"/>
      <c r="AB751" s="3"/>
      <c r="AC751" s="4" t="s">
        <v>30</v>
      </c>
      <c r="AD751" s="3"/>
      <c r="AE751" s="3" t="s">
        <v>4411</v>
      </c>
      <c r="AF751" s="4" t="s">
        <v>30</v>
      </c>
      <c r="AH751" s="4">
        <v>1</v>
      </c>
      <c r="AI751" s="3" t="s">
        <v>4407</v>
      </c>
      <c r="AJ751" s="4"/>
      <c r="AK751" s="4"/>
      <c r="AL751" s="3"/>
    </row>
    <row r="752" spans="1:38" x14ac:dyDescent="0.35">
      <c r="A752" s="3" t="s">
        <v>4412</v>
      </c>
      <c r="B752" s="4" t="s">
        <v>3941</v>
      </c>
      <c r="C752" s="4">
        <f>VLOOKUP(A752, [1]Planilha1!$A$3:$B$1015,2,FALSE)</f>
        <v>4090</v>
      </c>
      <c r="D752" s="4">
        <f t="shared" si="11"/>
        <v>1.1361111111111111</v>
      </c>
      <c r="E752" s="4" t="s">
        <v>1125</v>
      </c>
      <c r="F752" s="3" t="s">
        <v>3938</v>
      </c>
      <c r="G752" s="3" t="s">
        <v>44</v>
      </c>
      <c r="H752" s="3" t="s">
        <v>44</v>
      </c>
      <c r="I752" s="3" t="s">
        <v>33</v>
      </c>
      <c r="J752" s="3" t="s">
        <v>41</v>
      </c>
      <c r="K752" s="3" t="s">
        <v>818</v>
      </c>
      <c r="L752" s="1">
        <v>46031.596574074072</v>
      </c>
      <c r="M752" s="1">
        <v>46031.615671296298</v>
      </c>
      <c r="N752" s="1">
        <v>46034.666666666664</v>
      </c>
      <c r="O752" s="3" t="s">
        <v>43</v>
      </c>
      <c r="P752" s="3" t="s">
        <v>3941</v>
      </c>
      <c r="Q752" s="3" t="s">
        <v>35</v>
      </c>
      <c r="R752" s="3" t="s">
        <v>3940</v>
      </c>
      <c r="S752" s="3" t="s">
        <v>96</v>
      </c>
      <c r="T752" s="3" t="s">
        <v>95</v>
      </c>
      <c r="U752" s="4" t="b">
        <v>1</v>
      </c>
      <c r="V752" s="3" t="s">
        <v>31</v>
      </c>
      <c r="W752" s="1"/>
      <c r="Y752" s="3" t="s">
        <v>32</v>
      </c>
      <c r="Z752" s="3" t="s">
        <v>32</v>
      </c>
      <c r="AA752" s="3"/>
      <c r="AB752" s="3"/>
      <c r="AC752" s="4" t="s">
        <v>30</v>
      </c>
      <c r="AD752" s="3"/>
      <c r="AE752" s="3" t="s">
        <v>3941</v>
      </c>
      <c r="AF752" s="4" t="s">
        <v>30</v>
      </c>
      <c r="AH752" s="4">
        <v>1</v>
      </c>
      <c r="AI752" s="3" t="s">
        <v>4413</v>
      </c>
      <c r="AJ752" s="4" t="s">
        <v>3939</v>
      </c>
      <c r="AK752" s="4"/>
      <c r="AL752" s="3"/>
    </row>
    <row r="753" spans="1:38" x14ac:dyDescent="0.35">
      <c r="A753" s="3" t="s">
        <v>4414</v>
      </c>
      <c r="B753" s="4" t="s">
        <v>4419</v>
      </c>
      <c r="C753" s="4">
        <f>VLOOKUP(A753, [1]Planilha1!$A$3:$B$1015,2,FALSE)</f>
        <v>4274</v>
      </c>
      <c r="D753" s="4">
        <f t="shared" si="11"/>
        <v>1.1872222222222222</v>
      </c>
      <c r="E753" s="4" t="s">
        <v>1125</v>
      </c>
      <c r="F753" s="3" t="s">
        <v>4416</v>
      </c>
      <c r="G753" s="3" t="s">
        <v>74</v>
      </c>
      <c r="H753" s="3" t="s">
        <v>44</v>
      </c>
      <c r="I753" s="3" t="s">
        <v>33</v>
      </c>
      <c r="J753" s="3" t="s">
        <v>41</v>
      </c>
      <c r="L753" s="1">
        <v>46031.588009259256</v>
      </c>
      <c r="M753" s="1">
        <v>46031.58929398148</v>
      </c>
      <c r="N753" s="1">
        <v>46034.625011574077</v>
      </c>
      <c r="O753" s="3" t="s">
        <v>43</v>
      </c>
      <c r="P753" s="3" t="s">
        <v>4419</v>
      </c>
      <c r="Q753" s="3" t="s">
        <v>35</v>
      </c>
      <c r="R753" s="3" t="s">
        <v>4418</v>
      </c>
      <c r="S753" s="3" t="s">
        <v>80</v>
      </c>
      <c r="T753" s="3" t="s">
        <v>79</v>
      </c>
      <c r="U753" s="4" t="b">
        <v>1</v>
      </c>
      <c r="V753" s="3" t="s">
        <v>31</v>
      </c>
      <c r="W753" s="1"/>
      <c r="Y753" s="3" t="s">
        <v>32</v>
      </c>
      <c r="Z753" s="3" t="s">
        <v>32</v>
      </c>
      <c r="AA753" s="3"/>
      <c r="AB753" s="3"/>
      <c r="AC753" s="4" t="s">
        <v>30</v>
      </c>
      <c r="AD753" s="3"/>
      <c r="AE753" s="3" t="s">
        <v>4419</v>
      </c>
      <c r="AF753" s="4" t="s">
        <v>30</v>
      </c>
      <c r="AH753" s="4">
        <v>1</v>
      </c>
      <c r="AI753" s="3" t="s">
        <v>4415</v>
      </c>
      <c r="AJ753" s="4" t="s">
        <v>4417</v>
      </c>
      <c r="AK753" s="4"/>
      <c r="AL753" s="3"/>
    </row>
    <row r="754" spans="1:38" x14ac:dyDescent="0.35">
      <c r="A754" s="3" t="s">
        <v>4420</v>
      </c>
      <c r="B754" s="4" t="s">
        <v>1569</v>
      </c>
      <c r="C754" s="4">
        <f>VLOOKUP(A754, [1]Planilha1!$A$3:$B$1015,2,FALSE)</f>
        <v>0</v>
      </c>
      <c r="D754" s="4">
        <f t="shared" si="11"/>
        <v>0</v>
      </c>
      <c r="E754" s="4" t="s">
        <v>1125</v>
      </c>
      <c r="F754" s="3" t="s">
        <v>1566</v>
      </c>
      <c r="G754" s="3" t="s">
        <v>1561</v>
      </c>
      <c r="H754" s="3" t="s">
        <v>1565</v>
      </c>
      <c r="I754" s="3" t="s">
        <v>33</v>
      </c>
      <c r="J754" s="3" t="s">
        <v>60</v>
      </c>
      <c r="K754" s="3" t="s">
        <v>1563</v>
      </c>
      <c r="L754" s="1">
        <v>46031.585370370369</v>
      </c>
      <c r="M754" s="1">
        <v>46031.613761574074</v>
      </c>
      <c r="N754" s="1">
        <v>46034.625011574077</v>
      </c>
      <c r="O754" s="3" t="s">
        <v>1564</v>
      </c>
      <c r="P754" s="3" t="s">
        <v>1569</v>
      </c>
      <c r="Q754" s="3" t="s">
        <v>35</v>
      </c>
      <c r="R754" s="3" t="s">
        <v>1568</v>
      </c>
      <c r="S754" s="3" t="s">
        <v>144</v>
      </c>
      <c r="T754" s="3" t="s">
        <v>143</v>
      </c>
      <c r="U754" s="4" t="b">
        <v>1</v>
      </c>
      <c r="V754" s="3" t="s">
        <v>31</v>
      </c>
      <c r="W754" s="1"/>
      <c r="Y754" s="3" t="s">
        <v>32</v>
      </c>
      <c r="Z754" s="3" t="s">
        <v>32</v>
      </c>
      <c r="AA754" s="3"/>
      <c r="AB754" s="3"/>
      <c r="AC754" s="4" t="s">
        <v>30</v>
      </c>
      <c r="AD754" s="3"/>
      <c r="AE754" s="3" t="s">
        <v>1569</v>
      </c>
      <c r="AF754" s="4" t="s">
        <v>30</v>
      </c>
      <c r="AH754" s="4">
        <v>0</v>
      </c>
      <c r="AI754" s="3" t="s">
        <v>4421</v>
      </c>
      <c r="AJ754" s="4" t="s">
        <v>1567</v>
      </c>
      <c r="AK754" s="4"/>
      <c r="AL754" s="3"/>
    </row>
    <row r="755" spans="1:38" x14ac:dyDescent="0.35">
      <c r="A755" s="3" t="s">
        <v>4422</v>
      </c>
      <c r="B755" s="4" t="s">
        <v>4426</v>
      </c>
      <c r="C755" s="4">
        <f>VLOOKUP(A755, [1]Planilha1!$A$3:$B$1015,2,FALSE)</f>
        <v>49056</v>
      </c>
      <c r="D755" s="4">
        <f t="shared" si="11"/>
        <v>13.626666666666667</v>
      </c>
      <c r="E755" s="4" t="s">
        <v>1125</v>
      </c>
      <c r="F755" s="3" t="s">
        <v>4424</v>
      </c>
      <c r="G755" s="3" t="s">
        <v>412</v>
      </c>
      <c r="H755" s="3" t="s">
        <v>44</v>
      </c>
      <c r="I755" s="3" t="s">
        <v>33</v>
      </c>
      <c r="J755" s="3" t="s">
        <v>41</v>
      </c>
      <c r="L755" s="1">
        <v>46031.574699074074</v>
      </c>
      <c r="M755" s="1">
        <v>46031.583287037036</v>
      </c>
      <c r="N755" s="1">
        <v>46034.492175925923</v>
      </c>
      <c r="O755" s="3" t="s">
        <v>43</v>
      </c>
      <c r="P755" s="3" t="s">
        <v>4426</v>
      </c>
      <c r="Q755" s="3" t="s">
        <v>42</v>
      </c>
      <c r="R755" s="3" t="s">
        <v>4425</v>
      </c>
      <c r="S755" s="3" t="s">
        <v>708</v>
      </c>
      <c r="T755" s="3" t="s">
        <v>707</v>
      </c>
      <c r="U755" s="4" t="b">
        <v>1</v>
      </c>
      <c r="V755" s="3" t="s">
        <v>31</v>
      </c>
      <c r="W755" s="1"/>
      <c r="Y755" s="3" t="s">
        <v>32</v>
      </c>
      <c r="Z755" s="3" t="s">
        <v>32</v>
      </c>
      <c r="AA755" s="3"/>
      <c r="AB755" s="3"/>
      <c r="AC755" s="4" t="s">
        <v>30</v>
      </c>
      <c r="AD755" s="3"/>
      <c r="AE755" s="3" t="s">
        <v>4426</v>
      </c>
      <c r="AF755" s="4" t="s">
        <v>30</v>
      </c>
      <c r="AH755" s="4">
        <v>2</v>
      </c>
      <c r="AI755" s="3" t="s">
        <v>4423</v>
      </c>
      <c r="AJ755" s="4" t="s">
        <v>5926</v>
      </c>
      <c r="AK755" s="4"/>
      <c r="AL755" s="3"/>
    </row>
    <row r="756" spans="1:38" x14ac:dyDescent="0.35">
      <c r="A756" s="3" t="s">
        <v>4427</v>
      </c>
      <c r="B756" s="4" t="s">
        <v>4433</v>
      </c>
      <c r="C756" s="4">
        <f>VLOOKUP(A756, [1]Planilha1!$A$3:$B$1015,2,FALSE)</f>
        <v>0</v>
      </c>
      <c r="D756" s="4">
        <f t="shared" si="11"/>
        <v>0</v>
      </c>
      <c r="E756" s="4" t="s">
        <v>1125</v>
      </c>
      <c r="F756" s="3" t="s">
        <v>4430</v>
      </c>
      <c r="G756" s="3" t="s">
        <v>3082</v>
      </c>
      <c r="H756" s="3" t="s">
        <v>3086</v>
      </c>
      <c r="I756" s="3" t="s">
        <v>33</v>
      </c>
      <c r="J756" s="3" t="s">
        <v>60</v>
      </c>
      <c r="K756" s="3" t="s">
        <v>4429</v>
      </c>
      <c r="L756" s="1">
        <v>46031.569004629629</v>
      </c>
      <c r="M756" s="1">
        <v>46031.582881944443</v>
      </c>
      <c r="N756" s="1">
        <v>46034.583333333336</v>
      </c>
      <c r="O756" s="3" t="s">
        <v>3085</v>
      </c>
      <c r="P756" s="3" t="s">
        <v>4433</v>
      </c>
      <c r="Q756" s="3" t="s">
        <v>35</v>
      </c>
      <c r="R756" s="3" t="s">
        <v>4432</v>
      </c>
      <c r="S756" s="3" t="s">
        <v>144</v>
      </c>
      <c r="T756" s="3" t="s">
        <v>143</v>
      </c>
      <c r="U756" s="4" t="b">
        <v>1</v>
      </c>
      <c r="V756" s="3" t="s">
        <v>31</v>
      </c>
      <c r="W756" s="1"/>
      <c r="Y756" s="3" t="s">
        <v>32</v>
      </c>
      <c r="Z756" s="3" t="s">
        <v>32</v>
      </c>
      <c r="AA756" s="3"/>
      <c r="AB756" s="3"/>
      <c r="AC756" s="4" t="s">
        <v>30</v>
      </c>
      <c r="AD756" s="3"/>
      <c r="AE756" s="3" t="s">
        <v>4433</v>
      </c>
      <c r="AF756" s="4" t="s">
        <v>30</v>
      </c>
      <c r="AH756" s="4">
        <v>0</v>
      </c>
      <c r="AI756" s="3" t="s">
        <v>4428</v>
      </c>
      <c r="AJ756" s="4" t="s">
        <v>4431</v>
      </c>
      <c r="AK756" s="4"/>
      <c r="AL756" s="3"/>
    </row>
    <row r="757" spans="1:38" x14ac:dyDescent="0.35">
      <c r="A757" s="3" t="s">
        <v>4434</v>
      </c>
      <c r="B757" s="4" t="s">
        <v>4438</v>
      </c>
      <c r="C757" s="4">
        <f>VLOOKUP(A757, [1]Planilha1!$A$3:$B$1015,2,FALSE)</f>
        <v>2287967</v>
      </c>
      <c r="D757" s="4">
        <f t="shared" si="11"/>
        <v>635.54638888888894</v>
      </c>
      <c r="E757" s="4" t="s">
        <v>1125</v>
      </c>
      <c r="F757" s="3" t="s">
        <v>4436</v>
      </c>
      <c r="G757" s="3" t="s">
        <v>743</v>
      </c>
      <c r="H757" s="3" t="s">
        <v>722</v>
      </c>
      <c r="I757" s="3" t="s">
        <v>65</v>
      </c>
      <c r="J757" s="3" t="s">
        <v>459</v>
      </c>
      <c r="L757" s="1">
        <v>46031.561863425923</v>
      </c>
      <c r="M757" s="1">
        <v>46031.561863425923</v>
      </c>
      <c r="N757" s="1"/>
      <c r="O757" s="3" t="s">
        <v>745</v>
      </c>
      <c r="P757" s="3" t="s">
        <v>4438</v>
      </c>
      <c r="R757" s="3" t="s">
        <v>4437</v>
      </c>
      <c r="S757" s="3" t="s">
        <v>37</v>
      </c>
      <c r="T757" s="3" t="s">
        <v>36</v>
      </c>
      <c r="U757" s="4" t="b">
        <v>0</v>
      </c>
      <c r="V757" s="3" t="s">
        <v>28</v>
      </c>
      <c r="W757" s="1"/>
      <c r="Y757" s="3" t="s">
        <v>29</v>
      </c>
      <c r="Z757" s="3" t="s">
        <v>29</v>
      </c>
      <c r="AA757" s="3"/>
      <c r="AB757" s="3"/>
      <c r="AC757" s="4" t="s">
        <v>30</v>
      </c>
      <c r="AD757" s="3"/>
      <c r="AE757" s="3" t="s">
        <v>4438</v>
      </c>
      <c r="AF757" s="4" t="s">
        <v>30</v>
      </c>
      <c r="AH757" s="4">
        <v>0</v>
      </c>
      <c r="AI757" s="3" t="s">
        <v>4435</v>
      </c>
      <c r="AJ757" s="4"/>
      <c r="AK757" s="4"/>
      <c r="AL757" s="3"/>
    </row>
    <row r="758" spans="1:38" x14ac:dyDescent="0.35">
      <c r="A758" s="3" t="s">
        <v>4439</v>
      </c>
      <c r="B758" s="4" t="s">
        <v>4445</v>
      </c>
      <c r="C758" s="4">
        <f>VLOOKUP(A758, [1]Planilha1!$A$3:$B$1015,2,FALSE)</f>
        <v>3694</v>
      </c>
      <c r="D758" s="4">
        <f t="shared" si="11"/>
        <v>1.0261111111111112</v>
      </c>
      <c r="E758" s="4" t="s">
        <v>1125</v>
      </c>
      <c r="F758" s="3" t="s">
        <v>4442</v>
      </c>
      <c r="G758" s="3" t="s">
        <v>214</v>
      </c>
      <c r="H758" s="3" t="s">
        <v>44</v>
      </c>
      <c r="I758" s="3" t="s">
        <v>33</v>
      </c>
      <c r="J758" s="3" t="s">
        <v>41</v>
      </c>
      <c r="K758" s="3" t="s">
        <v>4441</v>
      </c>
      <c r="L758" s="1">
        <v>46031.547754629632</v>
      </c>
      <c r="M758" s="1">
        <v>46031.558668981481</v>
      </c>
      <c r="N758" s="1">
        <v>46034.583333333336</v>
      </c>
      <c r="O758" s="3" t="s">
        <v>43</v>
      </c>
      <c r="P758" s="3" t="s">
        <v>4445</v>
      </c>
      <c r="Q758" s="3" t="s">
        <v>35</v>
      </c>
      <c r="R758" s="3" t="s">
        <v>4444</v>
      </c>
      <c r="S758" s="3" t="s">
        <v>144</v>
      </c>
      <c r="T758" s="3" t="s">
        <v>143</v>
      </c>
      <c r="U758" s="4" t="b">
        <v>1</v>
      </c>
      <c r="V758" s="3" t="s">
        <v>31</v>
      </c>
      <c r="W758" s="1"/>
      <c r="Y758" s="3" t="s">
        <v>32</v>
      </c>
      <c r="Z758" s="3" t="s">
        <v>32</v>
      </c>
      <c r="AA758" s="3"/>
      <c r="AB758" s="3"/>
      <c r="AC758" s="4" t="s">
        <v>30</v>
      </c>
      <c r="AD758" s="3"/>
      <c r="AE758" s="3" t="s">
        <v>4445</v>
      </c>
      <c r="AF758" s="4" t="s">
        <v>30</v>
      </c>
      <c r="AH758" s="4">
        <v>1</v>
      </c>
      <c r="AI758" s="3" t="s">
        <v>4440</v>
      </c>
      <c r="AJ758" s="4" t="s">
        <v>4443</v>
      </c>
      <c r="AK758" s="4"/>
      <c r="AL758" s="3"/>
    </row>
    <row r="759" spans="1:38" x14ac:dyDescent="0.35">
      <c r="A759" s="3" t="s">
        <v>4446</v>
      </c>
      <c r="B759" s="4" t="s">
        <v>4451</v>
      </c>
      <c r="C759" s="4">
        <f>VLOOKUP(A759, [1]Planilha1!$A$3:$B$1015,2,FALSE)</f>
        <v>2516</v>
      </c>
      <c r="D759" s="4">
        <f t="shared" si="11"/>
        <v>0.69888888888888889</v>
      </c>
      <c r="E759" s="4" t="s">
        <v>1125</v>
      </c>
      <c r="F759" s="3" t="s">
        <v>4449</v>
      </c>
      <c r="G759" s="3" t="s">
        <v>214</v>
      </c>
      <c r="H759" s="3" t="s">
        <v>44</v>
      </c>
      <c r="I759" s="3" t="s">
        <v>33</v>
      </c>
      <c r="J759" s="3" t="s">
        <v>41</v>
      </c>
      <c r="K759" s="3" t="s">
        <v>4448</v>
      </c>
      <c r="L759" s="1">
        <v>46031.539201388892</v>
      </c>
      <c r="M759" s="1">
        <v>46031.567361111112</v>
      </c>
      <c r="N759" s="1">
        <v>46034.583333333336</v>
      </c>
      <c r="O759" s="3" t="s">
        <v>43</v>
      </c>
      <c r="P759" s="3" t="s">
        <v>4451</v>
      </c>
      <c r="Q759" s="3" t="s">
        <v>35</v>
      </c>
      <c r="R759" s="3" t="s">
        <v>4450</v>
      </c>
      <c r="S759" s="3" t="s">
        <v>144</v>
      </c>
      <c r="T759" s="3" t="s">
        <v>143</v>
      </c>
      <c r="U759" s="4" t="b">
        <v>1</v>
      </c>
      <c r="V759" s="3" t="s">
        <v>31</v>
      </c>
      <c r="W759" s="1"/>
      <c r="Y759" s="3" t="s">
        <v>32</v>
      </c>
      <c r="Z759" s="3" t="s">
        <v>32</v>
      </c>
      <c r="AA759" s="3"/>
      <c r="AB759" s="3"/>
      <c r="AC759" s="4" t="s">
        <v>30</v>
      </c>
      <c r="AD759" s="3"/>
      <c r="AE759" s="3" t="s">
        <v>4451</v>
      </c>
      <c r="AF759" s="4" t="s">
        <v>30</v>
      </c>
      <c r="AH759" s="4">
        <v>1</v>
      </c>
      <c r="AI759" s="3" t="s">
        <v>4447</v>
      </c>
      <c r="AJ759" s="4" t="s">
        <v>5927</v>
      </c>
      <c r="AK759" s="4"/>
      <c r="AL759" s="3"/>
    </row>
    <row r="760" spans="1:38" x14ac:dyDescent="0.35">
      <c r="A760" s="3" t="s">
        <v>4452</v>
      </c>
      <c r="B760" s="4" t="s">
        <v>4438</v>
      </c>
      <c r="C760" s="4">
        <f>VLOOKUP(A760, [1]Planilha1!$A$3:$B$1015,2,FALSE)</f>
        <v>9120</v>
      </c>
      <c r="D760" s="4">
        <f t="shared" si="11"/>
        <v>2.5333333333333332</v>
      </c>
      <c r="E760" s="4" t="s">
        <v>1125</v>
      </c>
      <c r="F760" s="3" t="s">
        <v>4436</v>
      </c>
      <c r="G760" s="3" t="s">
        <v>74</v>
      </c>
      <c r="H760" s="3" t="s">
        <v>44</v>
      </c>
      <c r="I760" s="3" t="s">
        <v>33</v>
      </c>
      <c r="J760" s="3" t="s">
        <v>41</v>
      </c>
      <c r="L760" s="1">
        <v>46031.527245370373</v>
      </c>
      <c r="M760" s="1">
        <v>46031.52857638889</v>
      </c>
      <c r="N760" s="1">
        <v>46034.583333333336</v>
      </c>
      <c r="O760" s="3" t="s">
        <v>43</v>
      </c>
      <c r="P760" s="3" t="s">
        <v>4438</v>
      </c>
      <c r="Q760" s="3" t="s">
        <v>35</v>
      </c>
      <c r="R760" s="3" t="s">
        <v>4437</v>
      </c>
      <c r="S760" s="3" t="s">
        <v>80</v>
      </c>
      <c r="T760" s="3" t="s">
        <v>79</v>
      </c>
      <c r="U760" s="4" t="b">
        <v>1</v>
      </c>
      <c r="V760" s="3" t="s">
        <v>31</v>
      </c>
      <c r="W760" s="1"/>
      <c r="Y760" s="3" t="s">
        <v>32</v>
      </c>
      <c r="Z760" s="3" t="s">
        <v>32</v>
      </c>
      <c r="AA760" s="3"/>
      <c r="AB760" s="3"/>
      <c r="AC760" s="4" t="s">
        <v>30</v>
      </c>
      <c r="AD760" s="3"/>
      <c r="AE760" s="3" t="s">
        <v>4438</v>
      </c>
      <c r="AF760" s="4" t="s">
        <v>30</v>
      </c>
      <c r="AH760" s="4">
        <v>1</v>
      </c>
      <c r="AI760" s="3" t="s">
        <v>4453</v>
      </c>
      <c r="AJ760" s="4"/>
      <c r="AK760" s="4"/>
      <c r="AL760" s="3"/>
    </row>
    <row r="761" spans="1:38" x14ac:dyDescent="0.35">
      <c r="A761" s="3" t="s">
        <v>4454</v>
      </c>
      <c r="B761" s="4" t="s">
        <v>4459</v>
      </c>
      <c r="C761" s="4">
        <f>VLOOKUP(A761, [1]Planilha1!$A$3:$B$1015,2,FALSE)</f>
        <v>926</v>
      </c>
      <c r="D761" s="4">
        <f t="shared" si="11"/>
        <v>0.25722222222222224</v>
      </c>
      <c r="E761" s="4" t="s">
        <v>1125</v>
      </c>
      <c r="F761" s="3" t="s">
        <v>4456</v>
      </c>
      <c r="G761" s="3" t="s">
        <v>74</v>
      </c>
      <c r="H761" s="3" t="s">
        <v>44</v>
      </c>
      <c r="I761" s="3" t="s">
        <v>33</v>
      </c>
      <c r="J761" s="3" t="s">
        <v>41</v>
      </c>
      <c r="K761" s="3" t="s">
        <v>818</v>
      </c>
      <c r="L761" s="1">
        <v>46031.512233796297</v>
      </c>
      <c r="M761" s="1">
        <v>46031.514537037037</v>
      </c>
      <c r="N761" s="1">
        <v>46034.541666666664</v>
      </c>
      <c r="O761" s="3" t="s">
        <v>43</v>
      </c>
      <c r="P761" s="3" t="s">
        <v>4459</v>
      </c>
      <c r="Q761" s="3" t="s">
        <v>35</v>
      </c>
      <c r="R761" s="3" t="s">
        <v>4458</v>
      </c>
      <c r="S761" s="3" t="s">
        <v>80</v>
      </c>
      <c r="T761" s="3" t="s">
        <v>79</v>
      </c>
      <c r="U761" s="4" t="b">
        <v>1</v>
      </c>
      <c r="V761" s="3" t="s">
        <v>31</v>
      </c>
      <c r="W761" s="1"/>
      <c r="Y761" s="3" t="s">
        <v>32</v>
      </c>
      <c r="Z761" s="3" t="s">
        <v>32</v>
      </c>
      <c r="AA761" s="3"/>
      <c r="AB761" s="3"/>
      <c r="AC761" s="4" t="s">
        <v>30</v>
      </c>
      <c r="AD761" s="3"/>
      <c r="AE761" s="3" t="s">
        <v>4459</v>
      </c>
      <c r="AF761" s="4" t="s">
        <v>30</v>
      </c>
      <c r="AH761" s="4">
        <v>1</v>
      </c>
      <c r="AI761" s="3" t="s">
        <v>4455</v>
      </c>
      <c r="AJ761" s="4" t="s">
        <v>4457</v>
      </c>
      <c r="AK761" s="4"/>
      <c r="AL761" s="3"/>
    </row>
    <row r="762" spans="1:38" x14ac:dyDescent="0.35">
      <c r="A762" s="3" t="s">
        <v>4460</v>
      </c>
      <c r="B762" s="4" t="s">
        <v>4466</v>
      </c>
      <c r="C762" s="4">
        <f>VLOOKUP(A762, [1]Planilha1!$A$3:$B$1015,2,FALSE)</f>
        <v>0</v>
      </c>
      <c r="D762" s="4">
        <f t="shared" si="11"/>
        <v>0</v>
      </c>
      <c r="E762" s="4" t="s">
        <v>1125</v>
      </c>
      <c r="F762" s="3" t="s">
        <v>4463</v>
      </c>
      <c r="G762" s="3" t="s">
        <v>233</v>
      </c>
      <c r="H762" s="3" t="s">
        <v>237</v>
      </c>
      <c r="I762" s="3" t="s">
        <v>33</v>
      </c>
      <c r="J762" s="3" t="s">
        <v>60</v>
      </c>
      <c r="K762" s="3" t="s">
        <v>4462</v>
      </c>
      <c r="L762" s="1">
        <v>46031.511296296296</v>
      </c>
      <c r="M762" s="1">
        <v>46031.524687500001</v>
      </c>
      <c r="N762" s="1">
        <v>46034.541666666664</v>
      </c>
      <c r="O762" s="3" t="s">
        <v>1370</v>
      </c>
      <c r="P762" s="3" t="s">
        <v>4466</v>
      </c>
      <c r="Q762" s="3" t="s">
        <v>35</v>
      </c>
      <c r="R762" s="3" t="s">
        <v>4465</v>
      </c>
      <c r="S762" s="3" t="s">
        <v>144</v>
      </c>
      <c r="T762" s="3" t="s">
        <v>143</v>
      </c>
      <c r="U762" s="4" t="b">
        <v>1</v>
      </c>
      <c r="V762" s="3" t="s">
        <v>31</v>
      </c>
      <c r="W762" s="1"/>
      <c r="Y762" s="3" t="s">
        <v>32</v>
      </c>
      <c r="Z762" s="3" t="s">
        <v>32</v>
      </c>
      <c r="AA762" s="3"/>
      <c r="AB762" s="3"/>
      <c r="AC762" s="4" t="s">
        <v>30</v>
      </c>
      <c r="AD762" s="3"/>
      <c r="AE762" s="3" t="s">
        <v>4466</v>
      </c>
      <c r="AF762" s="4" t="s">
        <v>30</v>
      </c>
      <c r="AH762" s="4">
        <v>0</v>
      </c>
      <c r="AI762" s="3" t="s">
        <v>4461</v>
      </c>
      <c r="AJ762" s="4" t="s">
        <v>4464</v>
      </c>
      <c r="AK762" s="4"/>
      <c r="AL762" s="3"/>
    </row>
    <row r="763" spans="1:38" x14ac:dyDescent="0.35">
      <c r="A763" s="3" t="s">
        <v>4467</v>
      </c>
      <c r="B763" s="4" t="s">
        <v>4473</v>
      </c>
      <c r="C763" s="4">
        <f>VLOOKUP(A763, [1]Planilha1!$A$3:$B$1015,2,FALSE)</f>
        <v>9494</v>
      </c>
      <c r="D763" s="4">
        <f t="shared" si="11"/>
        <v>2.6372222222222224</v>
      </c>
      <c r="E763" s="4" t="s">
        <v>1125</v>
      </c>
      <c r="F763" s="3" t="s">
        <v>4470</v>
      </c>
      <c r="G763" s="3" t="s">
        <v>134</v>
      </c>
      <c r="H763" s="3" t="s">
        <v>138</v>
      </c>
      <c r="I763" s="3" t="s">
        <v>33</v>
      </c>
      <c r="J763" s="3" t="s">
        <v>60</v>
      </c>
      <c r="K763" s="3" t="s">
        <v>4469</v>
      </c>
      <c r="L763" s="1">
        <v>46031.506180555552</v>
      </c>
      <c r="M763" s="1">
        <v>46031.506180555552</v>
      </c>
      <c r="N763" s="1">
        <v>46034.583333333336</v>
      </c>
      <c r="O763" s="3" t="s">
        <v>137</v>
      </c>
      <c r="P763" s="3" t="s">
        <v>4473</v>
      </c>
      <c r="Q763" s="3" t="s">
        <v>35</v>
      </c>
      <c r="R763" s="3" t="s">
        <v>4472</v>
      </c>
      <c r="S763" s="3" t="s">
        <v>37</v>
      </c>
      <c r="T763" s="3" t="s">
        <v>36</v>
      </c>
      <c r="U763" s="4" t="b">
        <v>1</v>
      </c>
      <c r="V763" s="3" t="s">
        <v>28</v>
      </c>
      <c r="W763" s="1"/>
      <c r="Y763" s="3" t="s">
        <v>29</v>
      </c>
      <c r="Z763" s="3" t="s">
        <v>29</v>
      </c>
      <c r="AA763" s="3"/>
      <c r="AB763" s="3"/>
      <c r="AC763" s="4" t="s">
        <v>30</v>
      </c>
      <c r="AD763" s="3"/>
      <c r="AE763" s="3" t="s">
        <v>4473</v>
      </c>
      <c r="AF763" s="4" t="s">
        <v>30</v>
      </c>
      <c r="AH763" s="4">
        <v>0</v>
      </c>
      <c r="AI763" s="3" t="s">
        <v>4468</v>
      </c>
      <c r="AJ763" s="4" t="s">
        <v>4471</v>
      </c>
      <c r="AK763" s="4"/>
      <c r="AL763" s="3"/>
    </row>
    <row r="764" spans="1:38" x14ac:dyDescent="0.35">
      <c r="A764" s="3" t="s">
        <v>4474</v>
      </c>
      <c r="B764" s="4" t="s">
        <v>4480</v>
      </c>
      <c r="C764" s="4">
        <f>VLOOKUP(A764, [1]Planilha1!$A$3:$B$1015,2,FALSE)</f>
        <v>5652</v>
      </c>
      <c r="D764" s="4">
        <f t="shared" si="11"/>
        <v>1.57</v>
      </c>
      <c r="E764" s="4" t="s">
        <v>1125</v>
      </c>
      <c r="F764" s="3" t="s">
        <v>4477</v>
      </c>
      <c r="G764" s="3" t="s">
        <v>4475</v>
      </c>
      <c r="H764" s="3" t="s">
        <v>428</v>
      </c>
      <c r="I764" s="3" t="s">
        <v>33</v>
      </c>
      <c r="J764" s="3" t="s">
        <v>41</v>
      </c>
      <c r="K764" s="3" t="s">
        <v>818</v>
      </c>
      <c r="L764" s="1">
        <v>46031.489340277774</v>
      </c>
      <c r="M764" s="1">
        <v>46031.489340277774</v>
      </c>
      <c r="N764" s="1">
        <v>46034.541666666664</v>
      </c>
      <c r="O764" s="3" t="s">
        <v>427</v>
      </c>
      <c r="P764" s="3" t="s">
        <v>4480</v>
      </c>
      <c r="Q764" s="3" t="s">
        <v>35</v>
      </c>
      <c r="R764" s="3" t="s">
        <v>4479</v>
      </c>
      <c r="S764" s="3" t="s">
        <v>37</v>
      </c>
      <c r="T764" s="3" t="s">
        <v>36</v>
      </c>
      <c r="U764" s="4" t="b">
        <v>1</v>
      </c>
      <c r="V764" s="3" t="s">
        <v>28</v>
      </c>
      <c r="W764" s="1"/>
      <c r="Y764" s="3" t="s">
        <v>29</v>
      </c>
      <c r="Z764" s="3" t="s">
        <v>29</v>
      </c>
      <c r="AA764" s="3"/>
      <c r="AB764" s="3"/>
      <c r="AC764" s="4" t="s">
        <v>30</v>
      </c>
      <c r="AD764" s="3"/>
      <c r="AE764" s="3" t="s">
        <v>4480</v>
      </c>
      <c r="AF764" s="4" t="s">
        <v>30</v>
      </c>
      <c r="AH764" s="4">
        <v>1</v>
      </c>
      <c r="AI764" s="3" t="s">
        <v>4476</v>
      </c>
      <c r="AJ764" s="4" t="s">
        <v>4478</v>
      </c>
      <c r="AK764" s="4"/>
      <c r="AL764" s="3"/>
    </row>
    <row r="765" spans="1:38" x14ac:dyDescent="0.35">
      <c r="A765" s="3" t="s">
        <v>4481</v>
      </c>
      <c r="B765" s="4" t="s">
        <v>132</v>
      </c>
      <c r="C765" s="4">
        <f>VLOOKUP(A765, [1]Planilha1!$A$3:$B$1015,2,FALSE)</f>
        <v>110206</v>
      </c>
      <c r="D765" s="4">
        <f t="shared" si="11"/>
        <v>30.612777777777779</v>
      </c>
      <c r="E765" s="4" t="s">
        <v>1125</v>
      </c>
      <c r="F765" s="3" t="s">
        <v>834</v>
      </c>
      <c r="G765" s="3" t="s">
        <v>4482</v>
      </c>
      <c r="H765" s="3" t="s">
        <v>897</v>
      </c>
      <c r="I765" s="3" t="s">
        <v>33</v>
      </c>
      <c r="J765" s="3" t="s">
        <v>152</v>
      </c>
      <c r="L765" s="1">
        <v>46031.484340277777</v>
      </c>
      <c r="M765" s="1">
        <v>46031.487905092596</v>
      </c>
      <c r="N765" s="1">
        <v>46036.638437499998</v>
      </c>
      <c r="O765" s="3" t="s">
        <v>896</v>
      </c>
      <c r="P765" s="3" t="s">
        <v>132</v>
      </c>
      <c r="Q765" s="3" t="s">
        <v>52</v>
      </c>
      <c r="R765" s="3" t="s">
        <v>836</v>
      </c>
      <c r="S765" s="3" t="s">
        <v>64</v>
      </c>
      <c r="T765" s="3" t="s">
        <v>63</v>
      </c>
      <c r="U765" s="4" t="b">
        <v>0</v>
      </c>
      <c r="V765" s="3" t="s">
        <v>28</v>
      </c>
      <c r="W765" s="1"/>
      <c r="Y765" s="3" t="s">
        <v>29</v>
      </c>
      <c r="Z765" s="3" t="s">
        <v>29</v>
      </c>
      <c r="AA765" s="3"/>
      <c r="AB765" s="3"/>
      <c r="AC765" s="4" t="s">
        <v>30</v>
      </c>
      <c r="AD765" s="3"/>
      <c r="AE765" s="3" t="s">
        <v>132</v>
      </c>
      <c r="AF765" s="4" t="s">
        <v>30</v>
      </c>
      <c r="AH765" s="4">
        <v>2</v>
      </c>
      <c r="AI765" s="3" t="s">
        <v>4483</v>
      </c>
      <c r="AJ765" s="4" t="s">
        <v>835</v>
      </c>
      <c r="AK765" s="4"/>
      <c r="AL765" s="3"/>
    </row>
    <row r="766" spans="1:38" x14ac:dyDescent="0.35">
      <c r="A766" s="3" t="s">
        <v>4484</v>
      </c>
      <c r="B766" s="4" t="s">
        <v>4489</v>
      </c>
      <c r="C766" s="4">
        <f>VLOOKUP(A766, [1]Planilha1!$A$3:$B$1015,2,FALSE)</f>
        <v>13758</v>
      </c>
      <c r="D766" s="4">
        <f t="shared" si="11"/>
        <v>3.8216666666666668</v>
      </c>
      <c r="E766" s="4" t="s">
        <v>1125</v>
      </c>
      <c r="F766" s="3" t="s">
        <v>4487</v>
      </c>
      <c r="G766" s="3" t="s">
        <v>4485</v>
      </c>
      <c r="H766" s="3" t="s">
        <v>44</v>
      </c>
      <c r="I766" s="3" t="s">
        <v>33</v>
      </c>
      <c r="J766" s="3" t="s">
        <v>41</v>
      </c>
      <c r="K766" s="3" t="s">
        <v>818</v>
      </c>
      <c r="L766" s="1">
        <v>46031.475717592592</v>
      </c>
      <c r="M766" s="1">
        <v>46031.487488425926</v>
      </c>
      <c r="N766" s="1">
        <v>46034.666666666664</v>
      </c>
      <c r="O766" s="3" t="s">
        <v>43</v>
      </c>
      <c r="P766" s="3" t="s">
        <v>4489</v>
      </c>
      <c r="Q766" s="3" t="s">
        <v>35</v>
      </c>
      <c r="R766" s="3" t="s">
        <v>4488</v>
      </c>
      <c r="S766" s="3" t="s">
        <v>96</v>
      </c>
      <c r="T766" s="3" t="s">
        <v>95</v>
      </c>
      <c r="U766" s="4" t="b">
        <v>1</v>
      </c>
      <c r="V766" s="3" t="s">
        <v>31</v>
      </c>
      <c r="W766" s="1"/>
      <c r="Y766" s="3" t="s">
        <v>32</v>
      </c>
      <c r="Z766" s="3" t="s">
        <v>32</v>
      </c>
      <c r="AA766" s="3"/>
      <c r="AB766" s="3"/>
      <c r="AC766" s="4" t="s">
        <v>30</v>
      </c>
      <c r="AD766" s="3"/>
      <c r="AE766" s="3" t="s">
        <v>4489</v>
      </c>
      <c r="AF766" s="4" t="s">
        <v>30</v>
      </c>
      <c r="AH766" s="4">
        <v>5</v>
      </c>
      <c r="AI766" s="3" t="s">
        <v>4486</v>
      </c>
      <c r="AJ766" s="4" t="s">
        <v>5928</v>
      </c>
      <c r="AK766" s="4"/>
      <c r="AL766" s="3"/>
    </row>
    <row r="767" spans="1:38" x14ac:dyDescent="0.35">
      <c r="A767" s="3" t="s">
        <v>4490</v>
      </c>
      <c r="B767" s="4" t="s">
        <v>4496</v>
      </c>
      <c r="C767" s="4">
        <f>VLOOKUP(A767, [1]Planilha1!$A$3:$B$1015,2,FALSE)</f>
        <v>9110</v>
      </c>
      <c r="D767" s="4">
        <f t="shared" si="11"/>
        <v>2.5305555555555554</v>
      </c>
      <c r="E767" s="4" t="s">
        <v>1125</v>
      </c>
      <c r="F767" s="3" t="s">
        <v>4493</v>
      </c>
      <c r="G767" s="3" t="s">
        <v>4491</v>
      </c>
      <c r="H767" s="3" t="s">
        <v>428</v>
      </c>
      <c r="I767" s="3" t="s">
        <v>33</v>
      </c>
      <c r="J767" s="3" t="s">
        <v>41</v>
      </c>
      <c r="K767" s="3" t="s">
        <v>818</v>
      </c>
      <c r="L767" s="1">
        <v>46031.472233796296</v>
      </c>
      <c r="M767" s="1">
        <v>46031.472233796296</v>
      </c>
      <c r="N767" s="1">
        <v>46034.541666666664</v>
      </c>
      <c r="O767" s="3" t="s">
        <v>427</v>
      </c>
      <c r="P767" s="3" t="s">
        <v>4496</v>
      </c>
      <c r="Q767" s="3" t="s">
        <v>35</v>
      </c>
      <c r="R767" s="3" t="s">
        <v>4495</v>
      </c>
      <c r="S767" s="3" t="s">
        <v>37</v>
      </c>
      <c r="T767" s="3" t="s">
        <v>36</v>
      </c>
      <c r="U767" s="4" t="b">
        <v>1</v>
      </c>
      <c r="V767" s="3" t="s">
        <v>28</v>
      </c>
      <c r="W767" s="1"/>
      <c r="Y767" s="3" t="s">
        <v>29</v>
      </c>
      <c r="Z767" s="3" t="s">
        <v>29</v>
      </c>
      <c r="AA767" s="3"/>
      <c r="AB767" s="3"/>
      <c r="AC767" s="4" t="s">
        <v>30</v>
      </c>
      <c r="AD767" s="3"/>
      <c r="AE767" s="3" t="s">
        <v>4496</v>
      </c>
      <c r="AF767" s="4" t="s">
        <v>30</v>
      </c>
      <c r="AH767" s="4">
        <v>1</v>
      </c>
      <c r="AI767" s="3" t="s">
        <v>4492</v>
      </c>
      <c r="AJ767" s="4" t="s">
        <v>4494</v>
      </c>
      <c r="AK767" s="4"/>
      <c r="AL767" s="3"/>
    </row>
    <row r="768" spans="1:38" x14ac:dyDescent="0.35">
      <c r="A768" s="3" t="s">
        <v>4497</v>
      </c>
      <c r="B768" s="4" t="s">
        <v>4502</v>
      </c>
      <c r="C768" s="4">
        <f>VLOOKUP(A768, [1]Planilha1!$A$3:$B$1015,2,FALSE)</f>
        <v>22920</v>
      </c>
      <c r="D768" s="4">
        <f t="shared" si="11"/>
        <v>6.3666666666666663</v>
      </c>
      <c r="E768" s="4" t="s">
        <v>1125</v>
      </c>
      <c r="F768" s="3" t="s">
        <v>4500</v>
      </c>
      <c r="G768" s="3" t="s">
        <v>4498</v>
      </c>
      <c r="H768" s="3" t="s">
        <v>727</v>
      </c>
      <c r="I768" s="3" t="s">
        <v>33</v>
      </c>
      <c r="J768" s="3" t="s">
        <v>41</v>
      </c>
      <c r="L768" s="1">
        <v>46031.46775462963</v>
      </c>
      <c r="M768" s="1">
        <v>46031.46775462963</v>
      </c>
      <c r="N768" s="1">
        <v>46034.625011574077</v>
      </c>
      <c r="O768" s="3" t="s">
        <v>726</v>
      </c>
      <c r="P768" s="3" t="s">
        <v>4502</v>
      </c>
      <c r="Q768" s="3" t="s">
        <v>35</v>
      </c>
      <c r="R768" s="3" t="s">
        <v>4501</v>
      </c>
      <c r="S768" s="3" t="s">
        <v>37</v>
      </c>
      <c r="T768" s="3" t="s">
        <v>36</v>
      </c>
      <c r="U768" s="4" t="b">
        <v>1</v>
      </c>
      <c r="V768" s="3" t="s">
        <v>28</v>
      </c>
      <c r="W768" s="1"/>
      <c r="Y768" s="3" t="s">
        <v>29</v>
      </c>
      <c r="Z768" s="3" t="s">
        <v>29</v>
      </c>
      <c r="AA768" s="3"/>
      <c r="AB768" s="3"/>
      <c r="AC768" s="4" t="s">
        <v>30</v>
      </c>
      <c r="AD768" s="3"/>
      <c r="AE768" s="3" t="s">
        <v>4502</v>
      </c>
      <c r="AF768" s="4" t="s">
        <v>30</v>
      </c>
      <c r="AH768" s="4">
        <v>1</v>
      </c>
      <c r="AI768" s="3" t="s">
        <v>4499</v>
      </c>
      <c r="AJ768" s="4" t="s">
        <v>5929</v>
      </c>
      <c r="AK768" s="4"/>
      <c r="AL768" s="3"/>
    </row>
    <row r="769" spans="1:38" x14ac:dyDescent="0.35">
      <c r="A769" s="3" t="s">
        <v>4503</v>
      </c>
      <c r="B769" s="4" t="s">
        <v>4508</v>
      </c>
      <c r="C769" s="4">
        <f>VLOOKUP(A769, [1]Planilha1!$A$3:$B$1015,2,FALSE)</f>
        <v>22034</v>
      </c>
      <c r="D769" s="4">
        <f t="shared" si="11"/>
        <v>6.1205555555555557</v>
      </c>
      <c r="E769" s="4" t="s">
        <v>1125</v>
      </c>
      <c r="F769" s="3" t="s">
        <v>4506</v>
      </c>
      <c r="G769" s="3" t="s">
        <v>938</v>
      </c>
      <c r="H769" s="3" t="s">
        <v>171</v>
      </c>
      <c r="I769" s="3" t="s">
        <v>33</v>
      </c>
      <c r="J769" s="3" t="s">
        <v>41</v>
      </c>
      <c r="K769" s="3" t="s">
        <v>4505</v>
      </c>
      <c r="L769" s="1">
        <v>46031.45994212963</v>
      </c>
      <c r="M769" s="1">
        <v>46031.45994212963</v>
      </c>
      <c r="N769" s="1">
        <v>46034.625011574077</v>
      </c>
      <c r="O769" s="3" t="s">
        <v>170</v>
      </c>
      <c r="P769" s="3" t="s">
        <v>4508</v>
      </c>
      <c r="Q769" s="3" t="s">
        <v>35</v>
      </c>
      <c r="R769" s="3" t="s">
        <v>4507</v>
      </c>
      <c r="S769" s="3" t="s">
        <v>37</v>
      </c>
      <c r="T769" s="3" t="s">
        <v>36</v>
      </c>
      <c r="U769" s="4" t="b">
        <v>1</v>
      </c>
      <c r="V769" s="3" t="s">
        <v>28</v>
      </c>
      <c r="W769" s="1"/>
      <c r="Y769" s="3" t="s">
        <v>29</v>
      </c>
      <c r="Z769" s="3" t="s">
        <v>29</v>
      </c>
      <c r="AA769" s="3"/>
      <c r="AB769" s="3"/>
      <c r="AC769" s="4" t="s">
        <v>30</v>
      </c>
      <c r="AD769" s="3"/>
      <c r="AE769" s="3" t="s">
        <v>4508</v>
      </c>
      <c r="AF769" s="4" t="s">
        <v>30</v>
      </c>
      <c r="AH769" s="4">
        <v>1</v>
      </c>
      <c r="AI769" s="3" t="s">
        <v>4504</v>
      </c>
      <c r="AJ769" s="4" t="s">
        <v>5930</v>
      </c>
      <c r="AK769" s="4"/>
      <c r="AL769" s="3"/>
    </row>
    <row r="770" spans="1:38" x14ac:dyDescent="0.35">
      <c r="A770" s="3" t="s">
        <v>4509</v>
      </c>
      <c r="B770" s="4" t="s">
        <v>4514</v>
      </c>
      <c r="C770" s="4">
        <f>VLOOKUP(A770, [1]Planilha1!$A$3:$B$1015,2,FALSE)</f>
        <v>0</v>
      </c>
      <c r="D770" s="4">
        <f t="shared" si="11"/>
        <v>0</v>
      </c>
      <c r="E770" s="4" t="s">
        <v>1125</v>
      </c>
      <c r="F770" s="3" t="s">
        <v>4512</v>
      </c>
      <c r="G770" s="3" t="s">
        <v>214</v>
      </c>
      <c r="H770" s="3" t="s">
        <v>44</v>
      </c>
      <c r="I770" s="3" t="s">
        <v>33</v>
      </c>
      <c r="J770" s="3" t="s">
        <v>60</v>
      </c>
      <c r="K770" s="3" t="s">
        <v>4511</v>
      </c>
      <c r="L770" s="1">
        <v>46031.443761574075</v>
      </c>
      <c r="M770" s="1">
        <v>46031.458981481483</v>
      </c>
      <c r="N770" s="1">
        <v>46034.5</v>
      </c>
      <c r="O770" s="3" t="s">
        <v>43</v>
      </c>
      <c r="P770" s="3" t="s">
        <v>4514</v>
      </c>
      <c r="Q770" s="3" t="s">
        <v>35</v>
      </c>
      <c r="R770" s="3" t="s">
        <v>4513</v>
      </c>
      <c r="S770" s="3" t="s">
        <v>144</v>
      </c>
      <c r="T770" s="3" t="s">
        <v>143</v>
      </c>
      <c r="U770" s="4" t="b">
        <v>1</v>
      </c>
      <c r="V770" s="3" t="s">
        <v>31</v>
      </c>
      <c r="W770" s="1"/>
      <c r="Y770" s="3" t="s">
        <v>32</v>
      </c>
      <c r="Z770" s="3" t="s">
        <v>32</v>
      </c>
      <c r="AA770" s="3"/>
      <c r="AB770" s="3"/>
      <c r="AC770" s="4" t="s">
        <v>30</v>
      </c>
      <c r="AD770" s="3"/>
      <c r="AE770" s="3" t="s">
        <v>4514</v>
      </c>
      <c r="AF770" s="4" t="s">
        <v>30</v>
      </c>
      <c r="AH770" s="4">
        <v>0</v>
      </c>
      <c r="AI770" s="3" t="s">
        <v>4510</v>
      </c>
      <c r="AJ770" s="4" t="s">
        <v>5931</v>
      </c>
      <c r="AK770" s="4"/>
      <c r="AL770" s="3"/>
    </row>
    <row r="771" spans="1:38" x14ac:dyDescent="0.35">
      <c r="A771" s="3" t="s">
        <v>4515</v>
      </c>
      <c r="B771" s="4" t="s">
        <v>4520</v>
      </c>
      <c r="C771" s="4">
        <f>VLOOKUP(A771, [1]Planilha1!$A$3:$B$1015,2,FALSE)</f>
        <v>26812</v>
      </c>
      <c r="D771" s="4">
        <f t="shared" ref="D771:D834" si="12">C771/3600</f>
        <v>7.4477777777777776</v>
      </c>
      <c r="E771" s="4" t="s">
        <v>1125</v>
      </c>
      <c r="F771" s="3" t="s">
        <v>4518</v>
      </c>
      <c r="G771" s="3" t="s">
        <v>4516</v>
      </c>
      <c r="H771" s="3" t="s">
        <v>428</v>
      </c>
      <c r="I771" s="3" t="s">
        <v>33</v>
      </c>
      <c r="J771" s="3" t="s">
        <v>41</v>
      </c>
      <c r="K771" s="3" t="s">
        <v>818</v>
      </c>
      <c r="L771" s="1">
        <v>46031.435902777775</v>
      </c>
      <c r="M771" s="1">
        <v>46031.435902777775</v>
      </c>
      <c r="N771" s="1">
        <v>46034.625011574077</v>
      </c>
      <c r="O771" s="3" t="s">
        <v>427</v>
      </c>
      <c r="P771" s="3" t="s">
        <v>4520</v>
      </c>
      <c r="Q771" s="3" t="s">
        <v>35</v>
      </c>
      <c r="R771" s="3" t="s">
        <v>4519</v>
      </c>
      <c r="S771" s="3" t="s">
        <v>37</v>
      </c>
      <c r="T771" s="3" t="s">
        <v>36</v>
      </c>
      <c r="U771" s="4" t="b">
        <v>1</v>
      </c>
      <c r="V771" s="3" t="s">
        <v>28</v>
      </c>
      <c r="W771" s="1"/>
      <c r="Y771" s="3" t="s">
        <v>29</v>
      </c>
      <c r="Z771" s="3" t="s">
        <v>29</v>
      </c>
      <c r="AA771" s="3"/>
      <c r="AB771" s="3"/>
      <c r="AC771" s="4" t="s">
        <v>30</v>
      </c>
      <c r="AD771" s="3"/>
      <c r="AE771" s="3" t="s">
        <v>4520</v>
      </c>
      <c r="AF771" s="4" t="s">
        <v>30</v>
      </c>
      <c r="AH771" s="4">
        <v>1</v>
      </c>
      <c r="AI771" s="3" t="s">
        <v>4517</v>
      </c>
      <c r="AJ771" s="4" t="s">
        <v>5932</v>
      </c>
      <c r="AK771" s="4"/>
      <c r="AL771" s="3"/>
    </row>
    <row r="772" spans="1:38" x14ac:dyDescent="0.35">
      <c r="A772" s="3" t="s">
        <v>4521</v>
      </c>
      <c r="B772" s="4" t="s">
        <v>4527</v>
      </c>
      <c r="C772" s="4">
        <f>VLOOKUP(A772, [1]Planilha1!$A$3:$B$1015,2,FALSE)</f>
        <v>2076</v>
      </c>
      <c r="D772" s="4">
        <f t="shared" si="12"/>
        <v>0.57666666666666666</v>
      </c>
      <c r="E772" s="4" t="s">
        <v>1125</v>
      </c>
      <c r="F772" s="3" t="s">
        <v>4524</v>
      </c>
      <c r="G772" s="3" t="s">
        <v>1802</v>
      </c>
      <c r="H772" s="3" t="s">
        <v>44</v>
      </c>
      <c r="I772" s="3" t="s">
        <v>33</v>
      </c>
      <c r="J772" s="3" t="s">
        <v>41</v>
      </c>
      <c r="K772" s="3" t="s">
        <v>4523</v>
      </c>
      <c r="L772" s="1">
        <v>46031.424039351848</v>
      </c>
      <c r="M772" s="1">
        <v>46031.429826388892</v>
      </c>
      <c r="N772" s="1">
        <v>46034.458344907405</v>
      </c>
      <c r="O772" s="3" t="s">
        <v>43</v>
      </c>
      <c r="P772" s="3" t="s">
        <v>4527</v>
      </c>
      <c r="Q772" s="3" t="s">
        <v>35</v>
      </c>
      <c r="R772" s="3" t="s">
        <v>4526</v>
      </c>
      <c r="S772" s="3" t="s">
        <v>62</v>
      </c>
      <c r="T772" s="3" t="s">
        <v>61</v>
      </c>
      <c r="U772" s="4" t="b">
        <v>1</v>
      </c>
      <c r="V772" s="3" t="s">
        <v>31</v>
      </c>
      <c r="W772" s="1"/>
      <c r="Y772" s="3" t="s">
        <v>32</v>
      </c>
      <c r="Z772" s="3" t="s">
        <v>32</v>
      </c>
      <c r="AA772" s="3"/>
      <c r="AB772" s="3"/>
      <c r="AC772" s="4" t="s">
        <v>30</v>
      </c>
      <c r="AD772" s="3"/>
      <c r="AE772" s="3" t="s">
        <v>4527</v>
      </c>
      <c r="AF772" s="4" t="s">
        <v>30</v>
      </c>
      <c r="AH772" s="4">
        <v>1</v>
      </c>
      <c r="AI772" s="3" t="s">
        <v>4522</v>
      </c>
      <c r="AJ772" s="4" t="s">
        <v>4525</v>
      </c>
      <c r="AK772" s="4"/>
      <c r="AL772" s="3"/>
    </row>
    <row r="773" spans="1:38" x14ac:dyDescent="0.35">
      <c r="A773" s="3" t="s">
        <v>4528</v>
      </c>
      <c r="B773" s="4" t="s">
        <v>4535</v>
      </c>
      <c r="C773" s="4">
        <f>VLOOKUP(A773, [1]Planilha1!$A$3:$B$1015,2,FALSE)</f>
        <v>17454</v>
      </c>
      <c r="D773" s="4">
        <f t="shared" si="12"/>
        <v>4.8483333333333336</v>
      </c>
      <c r="E773" s="4" t="s">
        <v>1125</v>
      </c>
      <c r="F773" s="3" t="s">
        <v>4532</v>
      </c>
      <c r="G773" s="3" t="s">
        <v>4529</v>
      </c>
      <c r="H773" s="3" t="s">
        <v>428</v>
      </c>
      <c r="I773" s="3" t="s">
        <v>33</v>
      </c>
      <c r="J773" s="3" t="s">
        <v>41</v>
      </c>
      <c r="K773" s="3" t="s">
        <v>4531</v>
      </c>
      <c r="L773" s="1">
        <v>46031.419745370367</v>
      </c>
      <c r="M773" s="1">
        <v>46031.419745370367</v>
      </c>
      <c r="N773" s="1">
        <v>46034.541666666664</v>
      </c>
      <c r="O773" s="3" t="s">
        <v>427</v>
      </c>
      <c r="P773" s="3" t="s">
        <v>4535</v>
      </c>
      <c r="Q773" s="3" t="s">
        <v>35</v>
      </c>
      <c r="R773" s="3" t="s">
        <v>4534</v>
      </c>
      <c r="S773" s="3" t="s">
        <v>37</v>
      </c>
      <c r="T773" s="3" t="s">
        <v>36</v>
      </c>
      <c r="U773" s="4" t="b">
        <v>1</v>
      </c>
      <c r="V773" s="3" t="s">
        <v>28</v>
      </c>
      <c r="W773" s="1"/>
      <c r="Y773" s="3" t="s">
        <v>29</v>
      </c>
      <c r="Z773" s="3" t="s">
        <v>29</v>
      </c>
      <c r="AA773" s="3"/>
      <c r="AB773" s="3"/>
      <c r="AC773" s="4" t="s">
        <v>30</v>
      </c>
      <c r="AD773" s="3"/>
      <c r="AE773" s="3" t="s">
        <v>4535</v>
      </c>
      <c r="AF773" s="4" t="s">
        <v>30</v>
      </c>
      <c r="AH773" s="4">
        <v>1</v>
      </c>
      <c r="AI773" s="3" t="s">
        <v>4530</v>
      </c>
      <c r="AJ773" s="4" t="s">
        <v>4533</v>
      </c>
      <c r="AK773" s="4"/>
      <c r="AL773" s="3"/>
    </row>
    <row r="774" spans="1:38" x14ac:dyDescent="0.35">
      <c r="A774" s="3" t="s">
        <v>4536</v>
      </c>
      <c r="B774" s="4" t="s">
        <v>4542</v>
      </c>
      <c r="C774" s="4">
        <f>VLOOKUP(A774, [1]Planilha1!$A$3:$B$1015,2,FALSE)</f>
        <v>0</v>
      </c>
      <c r="D774" s="4">
        <f t="shared" si="12"/>
        <v>0</v>
      </c>
      <c r="E774" s="4" t="s">
        <v>1125</v>
      </c>
      <c r="F774" s="3" t="s">
        <v>4539</v>
      </c>
      <c r="G774" s="3" t="s">
        <v>134</v>
      </c>
      <c r="H774" s="3" t="s">
        <v>138</v>
      </c>
      <c r="I774" s="3" t="s">
        <v>33</v>
      </c>
      <c r="J774" s="3" t="s">
        <v>60</v>
      </c>
      <c r="K774" s="3" t="s">
        <v>4538</v>
      </c>
      <c r="L774" s="1">
        <v>46031.419050925928</v>
      </c>
      <c r="M774" s="1">
        <v>46031.42633101852</v>
      </c>
      <c r="N774" s="1">
        <v>46034.458344907405</v>
      </c>
      <c r="O774" s="3" t="s">
        <v>137</v>
      </c>
      <c r="P774" s="3" t="s">
        <v>4542</v>
      </c>
      <c r="Q774" s="3" t="s">
        <v>35</v>
      </c>
      <c r="R774" s="3" t="s">
        <v>4541</v>
      </c>
      <c r="S774" s="3" t="s">
        <v>144</v>
      </c>
      <c r="T774" s="3" t="s">
        <v>143</v>
      </c>
      <c r="U774" s="4" t="b">
        <v>1</v>
      </c>
      <c r="V774" s="3" t="s">
        <v>31</v>
      </c>
      <c r="W774" s="1"/>
      <c r="Y774" s="3" t="s">
        <v>32</v>
      </c>
      <c r="Z774" s="3" t="s">
        <v>32</v>
      </c>
      <c r="AA774" s="3"/>
      <c r="AB774" s="3"/>
      <c r="AC774" s="4" t="s">
        <v>30</v>
      </c>
      <c r="AD774" s="3"/>
      <c r="AE774" s="3" t="s">
        <v>4542</v>
      </c>
      <c r="AF774" s="4" t="s">
        <v>30</v>
      </c>
      <c r="AH774" s="4">
        <v>0</v>
      </c>
      <c r="AI774" s="3" t="s">
        <v>4537</v>
      </c>
      <c r="AJ774" s="4" t="s">
        <v>4540</v>
      </c>
      <c r="AK774" s="4"/>
      <c r="AL774" s="3"/>
    </row>
    <row r="775" spans="1:38" x14ac:dyDescent="0.35">
      <c r="A775" s="3" t="s">
        <v>4543</v>
      </c>
      <c r="B775" s="4" t="s">
        <v>4547</v>
      </c>
      <c r="C775" s="4">
        <f>VLOOKUP(A775, [1]Planilha1!$A$3:$B$1015,2,FALSE)</f>
        <v>4560</v>
      </c>
      <c r="D775" s="4">
        <f t="shared" si="12"/>
        <v>1.2666666666666666</v>
      </c>
      <c r="E775" s="4" t="s">
        <v>1125</v>
      </c>
      <c r="F775" s="3" t="s">
        <v>4545</v>
      </c>
      <c r="G775" s="3" t="s">
        <v>74</v>
      </c>
      <c r="H775" s="3" t="s">
        <v>44</v>
      </c>
      <c r="I775" s="3" t="s">
        <v>33</v>
      </c>
      <c r="J775" s="3" t="s">
        <v>41</v>
      </c>
      <c r="K775" s="3" t="s">
        <v>818</v>
      </c>
      <c r="L775" s="1">
        <v>46031.410810185182</v>
      </c>
      <c r="M775" s="1">
        <v>46031.48710648148</v>
      </c>
      <c r="N775" s="1">
        <v>46034.541666666664</v>
      </c>
      <c r="O775" s="3" t="s">
        <v>43</v>
      </c>
      <c r="P775" s="3" t="s">
        <v>4547</v>
      </c>
      <c r="Q775" s="3" t="s">
        <v>35</v>
      </c>
      <c r="R775" s="3" t="s">
        <v>4546</v>
      </c>
      <c r="S775" s="3" t="s">
        <v>80</v>
      </c>
      <c r="T775" s="3" t="s">
        <v>79</v>
      </c>
      <c r="U775" s="4" t="b">
        <v>1</v>
      </c>
      <c r="V775" s="3" t="s">
        <v>31</v>
      </c>
      <c r="W775" s="1"/>
      <c r="Y775" s="3" t="s">
        <v>32</v>
      </c>
      <c r="Z775" s="3" t="s">
        <v>32</v>
      </c>
      <c r="AA775" s="3"/>
      <c r="AB775" s="3"/>
      <c r="AC775" s="4" t="s">
        <v>30</v>
      </c>
      <c r="AD775" s="3"/>
      <c r="AE775" s="3" t="s">
        <v>4547</v>
      </c>
      <c r="AF775" s="4" t="s">
        <v>30</v>
      </c>
      <c r="AH775" s="4">
        <v>1</v>
      </c>
      <c r="AI775" s="3" t="s">
        <v>4544</v>
      </c>
      <c r="AJ775" s="4" t="s">
        <v>5933</v>
      </c>
      <c r="AK775" s="4"/>
      <c r="AL775" s="3"/>
    </row>
    <row r="776" spans="1:38" x14ac:dyDescent="0.35">
      <c r="A776" s="3" t="s">
        <v>4548</v>
      </c>
      <c r="B776" s="4" t="s">
        <v>4075</v>
      </c>
      <c r="C776" s="4">
        <f>VLOOKUP(A776, [1]Planilha1!$A$3:$B$1015,2,FALSE)</f>
        <v>17784</v>
      </c>
      <c r="D776" s="4">
        <f t="shared" si="12"/>
        <v>4.9400000000000004</v>
      </c>
      <c r="E776" s="4" t="s">
        <v>1125</v>
      </c>
      <c r="F776" s="3" t="s">
        <v>4072</v>
      </c>
      <c r="G776" s="3" t="s">
        <v>44</v>
      </c>
      <c r="H776" s="3" t="s">
        <v>44</v>
      </c>
      <c r="I776" s="3" t="s">
        <v>33</v>
      </c>
      <c r="J776" s="3" t="s">
        <v>41</v>
      </c>
      <c r="K776" s="3" t="s">
        <v>818</v>
      </c>
      <c r="L776" s="1">
        <v>46031.408472222225</v>
      </c>
      <c r="M776" s="1">
        <v>46031.412291666667</v>
      </c>
      <c r="N776" s="1">
        <v>46034.541666666664</v>
      </c>
      <c r="O776" s="3" t="s">
        <v>43</v>
      </c>
      <c r="P776" s="3" t="s">
        <v>4075</v>
      </c>
      <c r="Q776" s="3" t="s">
        <v>35</v>
      </c>
      <c r="R776" s="3" t="s">
        <v>4074</v>
      </c>
      <c r="S776" s="3" t="s">
        <v>96</v>
      </c>
      <c r="T776" s="3" t="s">
        <v>95</v>
      </c>
      <c r="U776" s="4" t="b">
        <v>1</v>
      </c>
      <c r="V776" s="3" t="s">
        <v>31</v>
      </c>
      <c r="W776" s="1"/>
      <c r="Y776" s="3" t="s">
        <v>32</v>
      </c>
      <c r="Z776" s="3" t="s">
        <v>32</v>
      </c>
      <c r="AA776" s="3"/>
      <c r="AB776" s="3"/>
      <c r="AC776" s="4" t="s">
        <v>30</v>
      </c>
      <c r="AD776" s="3"/>
      <c r="AE776" s="3" t="s">
        <v>4075</v>
      </c>
      <c r="AF776" s="4" t="s">
        <v>30</v>
      </c>
      <c r="AH776" s="4">
        <v>1</v>
      </c>
      <c r="AI776" s="3" t="s">
        <v>4549</v>
      </c>
      <c r="AJ776" s="4" t="s">
        <v>4073</v>
      </c>
      <c r="AK776" s="4"/>
      <c r="AL776" s="3"/>
    </row>
    <row r="777" spans="1:38" x14ac:dyDescent="0.35">
      <c r="A777" s="3" t="s">
        <v>4550</v>
      </c>
      <c r="B777" s="4" t="s">
        <v>1559</v>
      </c>
      <c r="C777" s="4">
        <f>VLOOKUP(A777, [1]Planilha1!$A$3:$B$1015,2,FALSE)</f>
        <v>18218</v>
      </c>
      <c r="D777" s="4">
        <f t="shared" si="12"/>
        <v>5.0605555555555553</v>
      </c>
      <c r="E777" s="4" t="s">
        <v>1125</v>
      </c>
      <c r="F777" s="3" t="s">
        <v>1556</v>
      </c>
      <c r="G777" s="3" t="s">
        <v>74</v>
      </c>
      <c r="H777" s="3" t="s">
        <v>44</v>
      </c>
      <c r="I777" s="3" t="s">
        <v>33</v>
      </c>
      <c r="J777" s="3" t="s">
        <v>41</v>
      </c>
      <c r="K777" s="3" t="s">
        <v>818</v>
      </c>
      <c r="L777" s="1">
        <v>46031.407418981478</v>
      </c>
      <c r="M777" s="1">
        <v>46031.411006944443</v>
      </c>
      <c r="N777" s="1">
        <v>46034.541666666664</v>
      </c>
      <c r="O777" s="3" t="s">
        <v>43</v>
      </c>
      <c r="P777" s="3" t="s">
        <v>1559</v>
      </c>
      <c r="Q777" s="3" t="s">
        <v>35</v>
      </c>
      <c r="R777" s="3" t="s">
        <v>1558</v>
      </c>
      <c r="S777" s="3" t="s">
        <v>80</v>
      </c>
      <c r="T777" s="3" t="s">
        <v>79</v>
      </c>
      <c r="U777" s="4" t="b">
        <v>1</v>
      </c>
      <c r="V777" s="3" t="s">
        <v>31</v>
      </c>
      <c r="W777" s="1"/>
      <c r="Y777" s="3" t="s">
        <v>32</v>
      </c>
      <c r="Z777" s="3" t="s">
        <v>32</v>
      </c>
      <c r="AA777" s="3"/>
      <c r="AB777" s="3"/>
      <c r="AC777" s="4" t="s">
        <v>30</v>
      </c>
      <c r="AD777" s="3"/>
      <c r="AE777" s="3" t="s">
        <v>1559</v>
      </c>
      <c r="AF777" s="4" t="s">
        <v>30</v>
      </c>
      <c r="AH777" s="4">
        <v>1</v>
      </c>
      <c r="AI777" s="3" t="s">
        <v>4551</v>
      </c>
      <c r="AJ777" s="4" t="s">
        <v>1557</v>
      </c>
      <c r="AK777" s="4"/>
      <c r="AL777" s="3"/>
    </row>
    <row r="778" spans="1:38" x14ac:dyDescent="0.35">
      <c r="A778" s="3" t="s">
        <v>4552</v>
      </c>
      <c r="B778" s="4" t="s">
        <v>58</v>
      </c>
      <c r="C778" s="4">
        <f>VLOOKUP(A778, [1]Planilha1!$A$3:$B$1015,2,FALSE)</f>
        <v>14849</v>
      </c>
      <c r="D778" s="4">
        <f t="shared" si="12"/>
        <v>4.1247222222222222</v>
      </c>
      <c r="E778" s="4" t="s">
        <v>1125</v>
      </c>
      <c r="F778" s="3" t="s">
        <v>54</v>
      </c>
      <c r="G778" s="3" t="s">
        <v>4553</v>
      </c>
      <c r="H778" s="3" t="s">
        <v>995</v>
      </c>
      <c r="I778" s="3" t="s">
        <v>33</v>
      </c>
      <c r="J778" s="3" t="s">
        <v>152</v>
      </c>
      <c r="K778" s="3" t="s">
        <v>4555</v>
      </c>
      <c r="L778" s="1">
        <v>46031.385509259257</v>
      </c>
      <c r="M778" s="1">
        <v>46031.389884259261</v>
      </c>
      <c r="N778" s="1">
        <v>46031.561747685184</v>
      </c>
      <c r="O778" s="3" t="s">
        <v>994</v>
      </c>
      <c r="P778" s="3" t="s">
        <v>57</v>
      </c>
      <c r="Q778" s="3" t="s">
        <v>52</v>
      </c>
      <c r="R778" s="3" t="s">
        <v>56</v>
      </c>
      <c r="S778" s="3" t="s">
        <v>64</v>
      </c>
      <c r="T778" s="3" t="s">
        <v>63</v>
      </c>
      <c r="U778" s="4" t="b">
        <v>0</v>
      </c>
      <c r="V778" s="3" t="s">
        <v>28</v>
      </c>
      <c r="W778" s="1"/>
      <c r="Y778" s="3" t="s">
        <v>29</v>
      </c>
      <c r="Z778" s="3" t="s">
        <v>29</v>
      </c>
      <c r="AA778" s="3" t="s">
        <v>4098</v>
      </c>
      <c r="AB778" s="3" t="s">
        <v>58</v>
      </c>
      <c r="AC778" s="4" t="s">
        <v>30</v>
      </c>
      <c r="AD778" s="3" t="s">
        <v>59</v>
      </c>
      <c r="AE778" s="3" t="s">
        <v>57</v>
      </c>
      <c r="AF778" s="4" t="s">
        <v>30</v>
      </c>
      <c r="AH778" s="4">
        <v>2</v>
      </c>
      <c r="AI778" s="3" t="s">
        <v>4554</v>
      </c>
      <c r="AJ778" s="4" t="s">
        <v>55</v>
      </c>
      <c r="AK778" s="4" t="s">
        <v>4099</v>
      </c>
      <c r="AL778" s="3"/>
    </row>
    <row r="779" spans="1:38" x14ac:dyDescent="0.35">
      <c r="A779" s="3" t="s">
        <v>4556</v>
      </c>
      <c r="B779" s="4" t="s">
        <v>4562</v>
      </c>
      <c r="C779" s="4">
        <f>VLOOKUP(A779, [1]Planilha1!$A$3:$B$1015,2,FALSE)</f>
        <v>0</v>
      </c>
      <c r="D779" s="4">
        <f t="shared" si="12"/>
        <v>0</v>
      </c>
      <c r="E779" s="4" t="s">
        <v>1125</v>
      </c>
      <c r="F779" s="3" t="s">
        <v>4559</v>
      </c>
      <c r="G779" s="3" t="s">
        <v>1208</v>
      </c>
      <c r="H779" s="3" t="s">
        <v>428</v>
      </c>
      <c r="I779" s="3" t="s">
        <v>33</v>
      </c>
      <c r="J779" s="3" t="s">
        <v>60</v>
      </c>
      <c r="K779" s="3" t="s">
        <v>4558</v>
      </c>
      <c r="L779" s="1">
        <v>46031.381516203706</v>
      </c>
      <c r="M779" s="1">
        <v>46031.415208333332</v>
      </c>
      <c r="N779" s="1">
        <v>46034.416678240741</v>
      </c>
      <c r="O779" s="3" t="s">
        <v>427</v>
      </c>
      <c r="P779" s="3" t="s">
        <v>4562</v>
      </c>
      <c r="Q779" s="3" t="s">
        <v>35</v>
      </c>
      <c r="R779" s="3" t="s">
        <v>4561</v>
      </c>
      <c r="S779" s="3" t="s">
        <v>144</v>
      </c>
      <c r="T779" s="3" t="s">
        <v>143</v>
      </c>
      <c r="U779" s="4" t="b">
        <v>1</v>
      </c>
      <c r="V779" s="3" t="s">
        <v>31</v>
      </c>
      <c r="W779" s="1"/>
      <c r="Y779" s="3" t="s">
        <v>32</v>
      </c>
      <c r="Z779" s="3" t="s">
        <v>32</v>
      </c>
      <c r="AA779" s="3"/>
      <c r="AB779" s="3"/>
      <c r="AC779" s="4" t="s">
        <v>30</v>
      </c>
      <c r="AD779" s="3"/>
      <c r="AE779" s="3" t="s">
        <v>4562</v>
      </c>
      <c r="AF779" s="4" t="s">
        <v>30</v>
      </c>
      <c r="AH779" s="4">
        <v>0</v>
      </c>
      <c r="AI779" s="3" t="s">
        <v>4557</v>
      </c>
      <c r="AJ779" s="4" t="s">
        <v>4560</v>
      </c>
      <c r="AK779" s="4"/>
      <c r="AL779" s="3"/>
    </row>
    <row r="780" spans="1:38" x14ac:dyDescent="0.35">
      <c r="A780" s="3" t="s">
        <v>4563</v>
      </c>
      <c r="B780" s="4" t="s">
        <v>4241</v>
      </c>
      <c r="C780" s="4">
        <f>VLOOKUP(A780, [1]Planilha1!$A$3:$B$1015,2,FALSE)</f>
        <v>24702</v>
      </c>
      <c r="D780" s="4">
        <f t="shared" si="12"/>
        <v>6.8616666666666664</v>
      </c>
      <c r="E780" s="4" t="s">
        <v>1125</v>
      </c>
      <c r="F780" s="3" t="s">
        <v>4239</v>
      </c>
      <c r="G780" s="3" t="s">
        <v>44</v>
      </c>
      <c r="H780" s="3" t="s">
        <v>44</v>
      </c>
      <c r="I780" s="3" t="s">
        <v>33</v>
      </c>
      <c r="J780" s="3" t="s">
        <v>41</v>
      </c>
      <c r="K780" s="3" t="s">
        <v>818</v>
      </c>
      <c r="L780" s="1">
        <v>46031.365324074075</v>
      </c>
      <c r="M780" s="1">
        <v>46031.370185185187</v>
      </c>
      <c r="N780" s="1">
        <v>46034.541666666664</v>
      </c>
      <c r="O780" s="3" t="s">
        <v>43</v>
      </c>
      <c r="P780" s="3" t="s">
        <v>4241</v>
      </c>
      <c r="Q780" s="3" t="s">
        <v>35</v>
      </c>
      <c r="R780" s="3" t="s">
        <v>4240</v>
      </c>
      <c r="S780" s="3" t="s">
        <v>96</v>
      </c>
      <c r="T780" s="3" t="s">
        <v>95</v>
      </c>
      <c r="U780" s="4" t="b">
        <v>1</v>
      </c>
      <c r="V780" s="3" t="s">
        <v>31</v>
      </c>
      <c r="W780" s="1"/>
      <c r="Y780" s="3" t="s">
        <v>32</v>
      </c>
      <c r="Z780" s="3" t="s">
        <v>32</v>
      </c>
      <c r="AA780" s="3"/>
      <c r="AB780" s="3"/>
      <c r="AC780" s="4" t="s">
        <v>30</v>
      </c>
      <c r="AD780" s="3"/>
      <c r="AE780" s="3" t="s">
        <v>4241</v>
      </c>
      <c r="AF780" s="4" t="s">
        <v>30</v>
      </c>
      <c r="AH780" s="4">
        <v>1</v>
      </c>
      <c r="AI780" s="3" t="s">
        <v>4564</v>
      </c>
      <c r="AJ780" s="4" t="s">
        <v>5920</v>
      </c>
      <c r="AK780" s="4"/>
      <c r="AL780" s="3"/>
    </row>
    <row r="781" spans="1:38" x14ac:dyDescent="0.35">
      <c r="A781" s="3" t="s">
        <v>4565</v>
      </c>
      <c r="B781" s="4" t="s">
        <v>4572</v>
      </c>
      <c r="C781" s="4">
        <f>VLOOKUP(A781, [1]Planilha1!$A$3:$B$1015,2,FALSE)</f>
        <v>64353</v>
      </c>
      <c r="D781" s="4">
        <f t="shared" si="12"/>
        <v>17.875833333333333</v>
      </c>
      <c r="E781" s="4" t="s">
        <v>1125</v>
      </c>
      <c r="F781" s="3" t="s">
        <v>4569</v>
      </c>
      <c r="G781" s="3" t="s">
        <v>4566</v>
      </c>
      <c r="H781" s="3" t="s">
        <v>428</v>
      </c>
      <c r="I781" s="3" t="s">
        <v>33</v>
      </c>
      <c r="J781" s="3" t="s">
        <v>41</v>
      </c>
      <c r="K781" s="3" t="s">
        <v>4568</v>
      </c>
      <c r="L781" s="1">
        <v>46030.83221064815</v>
      </c>
      <c r="M781" s="1">
        <v>46030.83221064815</v>
      </c>
      <c r="N781" s="1">
        <v>46034.625011574077</v>
      </c>
      <c r="O781" s="3" t="s">
        <v>427</v>
      </c>
      <c r="P781" s="3" t="s">
        <v>4572</v>
      </c>
      <c r="Q781" s="3" t="s">
        <v>35</v>
      </c>
      <c r="R781" s="3" t="s">
        <v>4571</v>
      </c>
      <c r="S781" s="3" t="s">
        <v>37</v>
      </c>
      <c r="T781" s="3" t="s">
        <v>36</v>
      </c>
      <c r="U781" s="4" t="b">
        <v>1</v>
      </c>
      <c r="V781" s="3" t="s">
        <v>28</v>
      </c>
      <c r="W781" s="1"/>
      <c r="Y781" s="3" t="s">
        <v>29</v>
      </c>
      <c r="Z781" s="3" t="s">
        <v>29</v>
      </c>
      <c r="AA781" s="3"/>
      <c r="AB781" s="3"/>
      <c r="AC781" s="4" t="s">
        <v>30</v>
      </c>
      <c r="AD781" s="3"/>
      <c r="AE781" s="3" t="s">
        <v>4572</v>
      </c>
      <c r="AF781" s="4" t="s">
        <v>30</v>
      </c>
      <c r="AH781" s="4">
        <v>0</v>
      </c>
      <c r="AI781" s="3" t="s">
        <v>4567</v>
      </c>
      <c r="AJ781" s="4" t="s">
        <v>4570</v>
      </c>
      <c r="AK781" s="4"/>
      <c r="AL781" s="3"/>
    </row>
    <row r="782" spans="1:38" x14ac:dyDescent="0.35">
      <c r="A782" s="3" t="s">
        <v>4573</v>
      </c>
      <c r="B782" s="4" t="s">
        <v>1300</v>
      </c>
      <c r="C782" s="4">
        <f>VLOOKUP(A782, [1]Planilha1!$A$3:$B$1015,2,FALSE)</f>
        <v>0</v>
      </c>
      <c r="D782" s="4">
        <f t="shared" si="12"/>
        <v>0</v>
      </c>
      <c r="E782" s="4" t="s">
        <v>1125</v>
      </c>
      <c r="F782" s="3" t="s">
        <v>1297</v>
      </c>
      <c r="G782" s="3" t="s">
        <v>457</v>
      </c>
      <c r="H782" s="3" t="s">
        <v>457</v>
      </c>
      <c r="I782" s="3" t="s">
        <v>33</v>
      </c>
      <c r="J782" s="3" t="s">
        <v>60</v>
      </c>
      <c r="K782" s="3" t="s">
        <v>4575</v>
      </c>
      <c r="L782" s="1">
        <v>46030.696759259263</v>
      </c>
      <c r="M782" s="1">
        <v>46030.707986111112</v>
      </c>
      <c r="N782" s="1">
        <v>46033.708344907405</v>
      </c>
      <c r="O782" s="3" t="s">
        <v>460</v>
      </c>
      <c r="P782" s="3" t="s">
        <v>1300</v>
      </c>
      <c r="Q782" s="3" t="s">
        <v>42</v>
      </c>
      <c r="R782" s="3" t="s">
        <v>1299</v>
      </c>
      <c r="S782" s="3" t="s">
        <v>120</v>
      </c>
      <c r="T782" s="3" t="s">
        <v>119</v>
      </c>
      <c r="U782" s="4" t="b">
        <v>1</v>
      </c>
      <c r="V782" s="3" t="s">
        <v>31</v>
      </c>
      <c r="W782" s="1"/>
      <c r="Y782" s="3" t="s">
        <v>32</v>
      </c>
      <c r="Z782" s="3" t="s">
        <v>32</v>
      </c>
      <c r="AA782" s="3"/>
      <c r="AB782" s="3"/>
      <c r="AC782" s="4" t="s">
        <v>30</v>
      </c>
      <c r="AD782" s="3"/>
      <c r="AE782" s="3" t="s">
        <v>1300</v>
      </c>
      <c r="AF782" s="4" t="s">
        <v>30</v>
      </c>
      <c r="AH782" s="4">
        <v>0</v>
      </c>
      <c r="AI782" s="3" t="s">
        <v>4574</v>
      </c>
      <c r="AJ782" s="4" t="s">
        <v>1298</v>
      </c>
      <c r="AK782" s="4"/>
      <c r="AL782" s="3"/>
    </row>
    <row r="783" spans="1:38" x14ac:dyDescent="0.35">
      <c r="A783" s="3" t="s">
        <v>4576</v>
      </c>
      <c r="B783" s="4" t="s">
        <v>4581</v>
      </c>
      <c r="C783" s="4">
        <f>VLOOKUP(A783, [1]Planilha1!$A$3:$B$1015,2,FALSE)</f>
        <v>6456</v>
      </c>
      <c r="D783" s="4">
        <f t="shared" si="12"/>
        <v>1.7933333333333332</v>
      </c>
      <c r="E783" s="4" t="s">
        <v>1125</v>
      </c>
      <c r="F783" s="3" t="s">
        <v>4579</v>
      </c>
      <c r="G783" s="3" t="s">
        <v>44</v>
      </c>
      <c r="H783" s="3" t="s">
        <v>44</v>
      </c>
      <c r="I783" s="3" t="s">
        <v>33</v>
      </c>
      <c r="J783" s="3" t="s">
        <v>41</v>
      </c>
      <c r="K783" s="3" t="s">
        <v>4578</v>
      </c>
      <c r="L783" s="1">
        <v>46030.691666666666</v>
      </c>
      <c r="M783" s="1">
        <v>46030.702847222223</v>
      </c>
      <c r="N783" s="1">
        <v>46030.740208333336</v>
      </c>
      <c r="O783" s="3" t="s">
        <v>43</v>
      </c>
      <c r="P783" s="3" t="s">
        <v>4581</v>
      </c>
      <c r="Q783" s="3" t="s">
        <v>42</v>
      </c>
      <c r="R783" s="3" t="s">
        <v>4580</v>
      </c>
      <c r="S783" s="3" t="s">
        <v>62</v>
      </c>
      <c r="T783" s="3" t="s">
        <v>61</v>
      </c>
      <c r="U783" s="4" t="b">
        <v>1</v>
      </c>
      <c r="V783" s="3" t="s">
        <v>31</v>
      </c>
      <c r="W783" s="1"/>
      <c r="Y783" s="3" t="s">
        <v>32</v>
      </c>
      <c r="Z783" s="3" t="s">
        <v>32</v>
      </c>
      <c r="AA783" s="3"/>
      <c r="AB783" s="3"/>
      <c r="AC783" s="4" t="s">
        <v>30</v>
      </c>
      <c r="AD783" s="3"/>
      <c r="AE783" s="3" t="s">
        <v>4581</v>
      </c>
      <c r="AF783" s="4" t="s">
        <v>30</v>
      </c>
      <c r="AH783" s="4">
        <v>1</v>
      </c>
      <c r="AI783" s="3" t="s">
        <v>4577</v>
      </c>
      <c r="AJ783" s="4" t="s">
        <v>5934</v>
      </c>
      <c r="AK783" s="4"/>
      <c r="AL783" s="3"/>
    </row>
    <row r="784" spans="1:38" x14ac:dyDescent="0.35">
      <c r="A784" s="3" t="s">
        <v>4582</v>
      </c>
      <c r="B784" s="4" t="s">
        <v>4588</v>
      </c>
      <c r="C784" s="4">
        <f>VLOOKUP(A784, [1]Planilha1!$A$3:$B$1015,2,FALSE)</f>
        <v>3146</v>
      </c>
      <c r="D784" s="4">
        <f t="shared" si="12"/>
        <v>0.87388888888888894</v>
      </c>
      <c r="E784" s="4" t="s">
        <v>1125</v>
      </c>
      <c r="F784" s="3" t="s">
        <v>4585</v>
      </c>
      <c r="G784" s="3" t="s">
        <v>4583</v>
      </c>
      <c r="H784" s="3" t="s">
        <v>224</v>
      </c>
      <c r="I784" s="3" t="s">
        <v>33</v>
      </c>
      <c r="J784" s="3" t="s">
        <v>41</v>
      </c>
      <c r="L784" s="1">
        <v>46030.678148148145</v>
      </c>
      <c r="M784" s="1">
        <v>46030.678148148145</v>
      </c>
      <c r="N784" s="1">
        <v>46030.69635416667</v>
      </c>
      <c r="O784" s="3" t="s">
        <v>223</v>
      </c>
      <c r="P784" s="3" t="s">
        <v>4588</v>
      </c>
      <c r="Q784" s="3" t="s">
        <v>35</v>
      </c>
      <c r="R784" s="3" t="s">
        <v>4587</v>
      </c>
      <c r="S784" s="3" t="s">
        <v>37</v>
      </c>
      <c r="T784" s="3" t="s">
        <v>36</v>
      </c>
      <c r="U784" s="4" t="b">
        <v>1</v>
      </c>
      <c r="V784" s="3" t="s">
        <v>28</v>
      </c>
      <c r="W784" s="1"/>
      <c r="Y784" s="3" t="s">
        <v>29</v>
      </c>
      <c r="Z784" s="3" t="s">
        <v>29</v>
      </c>
      <c r="AA784" s="3"/>
      <c r="AB784" s="3"/>
      <c r="AC784" s="4" t="s">
        <v>30</v>
      </c>
      <c r="AD784" s="3"/>
      <c r="AE784" s="3" t="s">
        <v>4588</v>
      </c>
      <c r="AF784" s="4" t="s">
        <v>30</v>
      </c>
      <c r="AH784" s="4">
        <v>1</v>
      </c>
      <c r="AI784" s="3" t="s">
        <v>4584</v>
      </c>
      <c r="AJ784" s="4" t="s">
        <v>4586</v>
      </c>
      <c r="AK784" s="4"/>
      <c r="AL784" s="3"/>
    </row>
    <row r="785" spans="1:38" x14ac:dyDescent="0.35">
      <c r="A785" s="3" t="s">
        <v>4589</v>
      </c>
      <c r="B785" s="4" t="s">
        <v>4588</v>
      </c>
      <c r="C785" s="4">
        <f>VLOOKUP(A785, [1]Planilha1!$A$3:$B$1015,2,FALSE)</f>
        <v>4342</v>
      </c>
      <c r="D785" s="4">
        <f t="shared" si="12"/>
        <v>1.2061111111111111</v>
      </c>
      <c r="E785" s="4" t="s">
        <v>1125</v>
      </c>
      <c r="F785" s="3" t="s">
        <v>4585</v>
      </c>
      <c r="G785" s="3" t="s">
        <v>4590</v>
      </c>
      <c r="H785" s="3" t="s">
        <v>224</v>
      </c>
      <c r="I785" s="3" t="s">
        <v>33</v>
      </c>
      <c r="J785" s="3" t="s">
        <v>41</v>
      </c>
      <c r="K785" s="3" t="s">
        <v>4592</v>
      </c>
      <c r="L785" s="1">
        <v>46030.672442129631</v>
      </c>
      <c r="M785" s="1">
        <v>46030.672442129631</v>
      </c>
      <c r="N785" s="1">
        <v>46030.697569444441</v>
      </c>
      <c r="O785" s="3" t="s">
        <v>223</v>
      </c>
      <c r="P785" s="3" t="s">
        <v>4588</v>
      </c>
      <c r="Q785" s="3" t="s">
        <v>42</v>
      </c>
      <c r="R785" s="3" t="s">
        <v>4587</v>
      </c>
      <c r="S785" s="3" t="s">
        <v>37</v>
      </c>
      <c r="T785" s="3" t="s">
        <v>36</v>
      </c>
      <c r="U785" s="4" t="b">
        <v>1</v>
      </c>
      <c r="V785" s="3" t="s">
        <v>28</v>
      </c>
      <c r="W785" s="1"/>
      <c r="Y785" s="3" t="s">
        <v>29</v>
      </c>
      <c r="Z785" s="3" t="s">
        <v>29</v>
      </c>
      <c r="AA785" s="3"/>
      <c r="AB785" s="3"/>
      <c r="AC785" s="4" t="s">
        <v>30</v>
      </c>
      <c r="AD785" s="3"/>
      <c r="AE785" s="3" t="s">
        <v>4588</v>
      </c>
      <c r="AF785" s="4" t="s">
        <v>30</v>
      </c>
      <c r="AH785" s="4">
        <v>1</v>
      </c>
      <c r="AI785" s="3" t="s">
        <v>4591</v>
      </c>
      <c r="AJ785" s="4" t="s">
        <v>4586</v>
      </c>
      <c r="AK785" s="4"/>
      <c r="AL785" s="3"/>
    </row>
    <row r="786" spans="1:38" x14ac:dyDescent="0.35">
      <c r="A786" s="3" t="s">
        <v>4593</v>
      </c>
      <c r="B786" s="4" t="s">
        <v>1183</v>
      </c>
      <c r="C786" s="4">
        <f>VLOOKUP(A786, [1]Planilha1!$A$3:$B$1015,2,FALSE)</f>
        <v>4744</v>
      </c>
      <c r="D786" s="4">
        <f t="shared" si="12"/>
        <v>1.3177777777777777</v>
      </c>
      <c r="E786" s="4" t="s">
        <v>1125</v>
      </c>
      <c r="F786" s="3" t="s">
        <v>1180</v>
      </c>
      <c r="G786" s="3" t="s">
        <v>4594</v>
      </c>
      <c r="H786" s="3" t="s">
        <v>224</v>
      </c>
      <c r="I786" s="3" t="s">
        <v>33</v>
      </c>
      <c r="J786" s="3" t="s">
        <v>41</v>
      </c>
      <c r="L786" s="1">
        <v>46030.663414351853</v>
      </c>
      <c r="M786" s="1">
        <v>46030.663414351853</v>
      </c>
      <c r="N786" s="1">
        <v>46030.690868055557</v>
      </c>
      <c r="O786" s="3" t="s">
        <v>223</v>
      </c>
      <c r="P786" s="3" t="s">
        <v>1183</v>
      </c>
      <c r="Q786" s="3" t="s">
        <v>35</v>
      </c>
      <c r="R786" s="3" t="s">
        <v>1182</v>
      </c>
      <c r="S786" s="3" t="s">
        <v>37</v>
      </c>
      <c r="T786" s="3" t="s">
        <v>36</v>
      </c>
      <c r="U786" s="4" t="b">
        <v>1</v>
      </c>
      <c r="V786" s="3" t="s">
        <v>28</v>
      </c>
      <c r="W786" s="1"/>
      <c r="Y786" s="3" t="s">
        <v>29</v>
      </c>
      <c r="Z786" s="3" t="s">
        <v>29</v>
      </c>
      <c r="AA786" s="3"/>
      <c r="AB786" s="3"/>
      <c r="AC786" s="4" t="s">
        <v>30</v>
      </c>
      <c r="AD786" s="3"/>
      <c r="AE786" s="3" t="s">
        <v>1183</v>
      </c>
      <c r="AF786" s="4" t="s">
        <v>30</v>
      </c>
      <c r="AH786" s="4">
        <v>1</v>
      </c>
      <c r="AI786" s="3" t="s">
        <v>4595</v>
      </c>
      <c r="AJ786" s="4" t="s">
        <v>1181</v>
      </c>
      <c r="AK786" s="4"/>
      <c r="AL786" s="3"/>
    </row>
    <row r="787" spans="1:38" x14ac:dyDescent="0.35">
      <c r="A787" s="3" t="s">
        <v>4600</v>
      </c>
      <c r="B787" s="4" t="s">
        <v>4605</v>
      </c>
      <c r="C787" s="4">
        <f>VLOOKUP(A787, [1]Planilha1!$A$3:$B$1015,2,FALSE)</f>
        <v>1758</v>
      </c>
      <c r="D787" s="4">
        <f t="shared" si="12"/>
        <v>0.48833333333333334</v>
      </c>
      <c r="E787" s="4" t="s">
        <v>1125</v>
      </c>
      <c r="F787" s="3" t="s">
        <v>4603</v>
      </c>
      <c r="G787" s="3" t="s">
        <v>100</v>
      </c>
      <c r="H787" s="3" t="s">
        <v>44</v>
      </c>
      <c r="I787" s="3" t="s">
        <v>33</v>
      </c>
      <c r="J787" s="3" t="s">
        <v>41</v>
      </c>
      <c r="K787" s="3" t="s">
        <v>4602</v>
      </c>
      <c r="L787" s="1">
        <v>46030.640277777777</v>
      </c>
      <c r="M787" s="1">
        <v>46030.655821759261</v>
      </c>
      <c r="N787" s="1">
        <v>46030.665995370371</v>
      </c>
      <c r="O787" s="3" t="s">
        <v>43</v>
      </c>
      <c r="P787" s="3" t="s">
        <v>4605</v>
      </c>
      <c r="Q787" s="3" t="s">
        <v>42</v>
      </c>
      <c r="R787" s="3" t="s">
        <v>4604</v>
      </c>
      <c r="S787" s="3" t="s">
        <v>190</v>
      </c>
      <c r="T787" s="3" t="s">
        <v>189</v>
      </c>
      <c r="U787" s="4" t="b">
        <v>1</v>
      </c>
      <c r="V787" s="3" t="s">
        <v>31</v>
      </c>
      <c r="W787" s="1"/>
      <c r="Y787" s="3" t="s">
        <v>32</v>
      </c>
      <c r="Z787" s="3" t="s">
        <v>32</v>
      </c>
      <c r="AA787" s="3"/>
      <c r="AB787" s="3"/>
      <c r="AC787" s="4" t="s">
        <v>30</v>
      </c>
      <c r="AD787" s="3"/>
      <c r="AE787" s="3" t="s">
        <v>4605</v>
      </c>
      <c r="AF787" s="4" t="s">
        <v>30</v>
      </c>
      <c r="AH787" s="4">
        <v>1</v>
      </c>
      <c r="AI787" s="3" t="s">
        <v>4601</v>
      </c>
      <c r="AJ787" s="4"/>
      <c r="AK787" s="4"/>
      <c r="AL787" s="3"/>
    </row>
    <row r="788" spans="1:38" x14ac:dyDescent="0.35">
      <c r="A788" s="3" t="s">
        <v>4610</v>
      </c>
      <c r="B788" s="4" t="s">
        <v>94</v>
      </c>
      <c r="C788" s="4">
        <f>VLOOKUP(A788, [1]Planilha1!$A$3:$B$1015,2,FALSE)</f>
        <v>0</v>
      </c>
      <c r="D788" s="4">
        <f t="shared" si="12"/>
        <v>0</v>
      </c>
      <c r="E788" s="4" t="s">
        <v>1125</v>
      </c>
      <c r="F788" s="3" t="s">
        <v>92</v>
      </c>
      <c r="G788" s="3" t="s">
        <v>4611</v>
      </c>
      <c r="H788" s="3" t="s">
        <v>44</v>
      </c>
      <c r="I788" s="3" t="s">
        <v>33</v>
      </c>
      <c r="J788" s="3" t="s">
        <v>60</v>
      </c>
      <c r="L788" s="1">
        <v>46030.626377314817</v>
      </c>
      <c r="M788" s="1">
        <v>46030.640219907407</v>
      </c>
      <c r="N788" s="1">
        <v>46033.666678240741</v>
      </c>
      <c r="O788" s="3" t="s">
        <v>43</v>
      </c>
      <c r="P788" s="3" t="s">
        <v>94</v>
      </c>
      <c r="Q788" s="3" t="s">
        <v>35</v>
      </c>
      <c r="R788" s="3" t="s">
        <v>93</v>
      </c>
      <c r="S788" s="3" t="s">
        <v>190</v>
      </c>
      <c r="T788" s="3" t="s">
        <v>189</v>
      </c>
      <c r="U788" s="4" t="b">
        <v>1</v>
      </c>
      <c r="V788" s="3" t="s">
        <v>31</v>
      </c>
      <c r="W788" s="1"/>
      <c r="Y788" s="3" t="s">
        <v>32</v>
      </c>
      <c r="Z788" s="3" t="s">
        <v>32</v>
      </c>
      <c r="AA788" s="3"/>
      <c r="AB788" s="3"/>
      <c r="AC788" s="4" t="s">
        <v>30</v>
      </c>
      <c r="AD788" s="3"/>
      <c r="AE788" s="3" t="s">
        <v>94</v>
      </c>
      <c r="AF788" s="4" t="s">
        <v>30</v>
      </c>
      <c r="AH788" s="4">
        <v>0</v>
      </c>
      <c r="AI788" s="3" t="s">
        <v>4612</v>
      </c>
      <c r="AJ788" s="4"/>
      <c r="AK788" s="4"/>
      <c r="AL788" s="3"/>
    </row>
    <row r="789" spans="1:38" x14ac:dyDescent="0.35">
      <c r="A789" s="3" t="s">
        <v>4613</v>
      </c>
      <c r="B789" s="4" t="s">
        <v>3791</v>
      </c>
      <c r="C789" s="4">
        <f>VLOOKUP(A789, [1]Planilha1!$A$3:$B$1015,2,FALSE)</f>
        <v>10284</v>
      </c>
      <c r="D789" s="4">
        <f t="shared" si="12"/>
        <v>2.8566666666666665</v>
      </c>
      <c r="E789" s="4" t="s">
        <v>1125</v>
      </c>
      <c r="F789" s="3" t="s">
        <v>3788</v>
      </c>
      <c r="G789" s="3" t="s">
        <v>4614</v>
      </c>
      <c r="H789" s="3" t="s">
        <v>44</v>
      </c>
      <c r="I789" s="3" t="s">
        <v>33</v>
      </c>
      <c r="J789" s="3" t="s">
        <v>41</v>
      </c>
      <c r="L789" s="1">
        <v>46030.623425925929</v>
      </c>
      <c r="M789" s="1">
        <v>46030.623425925929</v>
      </c>
      <c r="N789" s="1">
        <v>46033.666678240741</v>
      </c>
      <c r="O789" s="3" t="s">
        <v>43</v>
      </c>
      <c r="P789" s="3" t="s">
        <v>3791</v>
      </c>
      <c r="Q789" s="3" t="s">
        <v>42</v>
      </c>
      <c r="R789" s="3" t="s">
        <v>3790</v>
      </c>
      <c r="S789" s="3" t="s">
        <v>37</v>
      </c>
      <c r="T789" s="3" t="s">
        <v>36</v>
      </c>
      <c r="U789" s="4" t="b">
        <v>1</v>
      </c>
      <c r="V789" s="3" t="s">
        <v>28</v>
      </c>
      <c r="W789" s="1"/>
      <c r="Y789" s="3" t="s">
        <v>29</v>
      </c>
      <c r="Z789" s="3" t="s">
        <v>29</v>
      </c>
      <c r="AA789" s="3"/>
      <c r="AB789" s="3"/>
      <c r="AC789" s="4" t="s">
        <v>30</v>
      </c>
      <c r="AD789" s="3"/>
      <c r="AE789" s="3" t="s">
        <v>3791</v>
      </c>
      <c r="AF789" s="4" t="s">
        <v>30</v>
      </c>
      <c r="AH789" s="4">
        <v>2</v>
      </c>
      <c r="AI789" s="3" t="s">
        <v>4615</v>
      </c>
      <c r="AJ789" s="4" t="s">
        <v>3789</v>
      </c>
      <c r="AK789" s="4"/>
      <c r="AL789" s="3"/>
    </row>
    <row r="790" spans="1:38" x14ac:dyDescent="0.35">
      <c r="A790" s="3" t="s">
        <v>4620</v>
      </c>
      <c r="B790" s="4" t="s">
        <v>4625</v>
      </c>
      <c r="C790" s="4">
        <f>VLOOKUP(A790, [1]Planilha1!$A$3:$B$1015,2,FALSE)</f>
        <v>0</v>
      </c>
      <c r="D790" s="4">
        <f t="shared" si="12"/>
        <v>0</v>
      </c>
      <c r="E790" s="4" t="s">
        <v>1125</v>
      </c>
      <c r="F790" s="3" t="s">
        <v>4623</v>
      </c>
      <c r="G790" s="3" t="s">
        <v>214</v>
      </c>
      <c r="H790" s="3" t="s">
        <v>44</v>
      </c>
      <c r="I790" s="3" t="s">
        <v>33</v>
      </c>
      <c r="J790" s="3" t="s">
        <v>60</v>
      </c>
      <c r="K790" s="3" t="s">
        <v>4622</v>
      </c>
      <c r="L790" s="1">
        <v>46030.622210648151</v>
      </c>
      <c r="M790" s="1">
        <v>46030.647476851853</v>
      </c>
      <c r="N790" s="1">
        <v>46033.666678240741</v>
      </c>
      <c r="O790" s="3" t="s">
        <v>43</v>
      </c>
      <c r="P790" s="3" t="s">
        <v>4625</v>
      </c>
      <c r="Q790" s="3" t="s">
        <v>35</v>
      </c>
      <c r="R790" s="3" t="s">
        <v>4624</v>
      </c>
      <c r="S790" s="3" t="s">
        <v>144</v>
      </c>
      <c r="T790" s="3" t="s">
        <v>143</v>
      </c>
      <c r="U790" s="4" t="b">
        <v>1</v>
      </c>
      <c r="V790" s="3" t="s">
        <v>31</v>
      </c>
      <c r="W790" s="1"/>
      <c r="Y790" s="3" t="s">
        <v>32</v>
      </c>
      <c r="Z790" s="3" t="s">
        <v>32</v>
      </c>
      <c r="AA790" s="3"/>
      <c r="AB790" s="3"/>
      <c r="AC790" s="4" t="s">
        <v>30</v>
      </c>
      <c r="AD790" s="3"/>
      <c r="AE790" s="3" t="s">
        <v>4625</v>
      </c>
      <c r="AF790" s="4" t="s">
        <v>30</v>
      </c>
      <c r="AH790" s="4">
        <v>0</v>
      </c>
      <c r="AI790" s="3" t="s">
        <v>4621</v>
      </c>
      <c r="AJ790" s="4" t="s">
        <v>5935</v>
      </c>
      <c r="AK790" s="4"/>
      <c r="AL790" s="3"/>
    </row>
    <row r="791" spans="1:38" x14ac:dyDescent="0.35">
      <c r="A791" s="3" t="s">
        <v>4626</v>
      </c>
      <c r="B791" s="4" t="s">
        <v>4231</v>
      </c>
      <c r="C791" s="4">
        <f>VLOOKUP(A791, [1]Planilha1!$A$3:$B$1015,2,FALSE)</f>
        <v>6978</v>
      </c>
      <c r="D791" s="4">
        <f t="shared" si="12"/>
        <v>1.9383333333333332</v>
      </c>
      <c r="E791" s="4" t="s">
        <v>1125</v>
      </c>
      <c r="F791" s="3" t="s">
        <v>4228</v>
      </c>
      <c r="G791" s="3" t="s">
        <v>44</v>
      </c>
      <c r="H791" s="3" t="s">
        <v>44</v>
      </c>
      <c r="I791" s="3" t="s">
        <v>33</v>
      </c>
      <c r="J791" s="3" t="s">
        <v>41</v>
      </c>
      <c r="L791" s="1">
        <v>46030.620717592596</v>
      </c>
      <c r="M791" s="1">
        <v>46030.622060185182</v>
      </c>
      <c r="N791" s="1">
        <v>46030.662442129629</v>
      </c>
      <c r="O791" s="3" t="s">
        <v>43</v>
      </c>
      <c r="P791" s="3" t="s">
        <v>4231</v>
      </c>
      <c r="Q791" s="3" t="s">
        <v>42</v>
      </c>
      <c r="R791" s="3" t="s">
        <v>4230</v>
      </c>
      <c r="S791" s="3" t="s">
        <v>96</v>
      </c>
      <c r="T791" s="3" t="s">
        <v>95</v>
      </c>
      <c r="U791" s="4" t="b">
        <v>1</v>
      </c>
      <c r="V791" s="3" t="s">
        <v>31</v>
      </c>
      <c r="W791" s="1"/>
      <c r="Y791" s="3" t="s">
        <v>32</v>
      </c>
      <c r="Z791" s="3" t="s">
        <v>32</v>
      </c>
      <c r="AA791" s="3"/>
      <c r="AB791" s="3"/>
      <c r="AC791" s="4" t="s">
        <v>30</v>
      </c>
      <c r="AD791" s="3"/>
      <c r="AE791" s="3" t="s">
        <v>4231</v>
      </c>
      <c r="AF791" s="4" t="s">
        <v>30</v>
      </c>
      <c r="AH791" s="4">
        <v>1</v>
      </c>
      <c r="AI791" s="3" t="s">
        <v>4627</v>
      </c>
      <c r="AJ791" s="4" t="s">
        <v>4229</v>
      </c>
      <c r="AK791" s="4"/>
      <c r="AL791" s="3"/>
    </row>
    <row r="792" spans="1:38" x14ac:dyDescent="0.35">
      <c r="A792" s="3" t="s">
        <v>4628</v>
      </c>
      <c r="B792" s="4" t="s">
        <v>4609</v>
      </c>
      <c r="C792" s="4">
        <f>VLOOKUP(A792, [1]Planilha1!$A$3:$B$1015,2,FALSE)</f>
        <v>0</v>
      </c>
      <c r="D792" s="4">
        <f t="shared" si="12"/>
        <v>0</v>
      </c>
      <c r="E792" s="4" t="s">
        <v>1125</v>
      </c>
      <c r="F792" s="3" t="s">
        <v>4606</v>
      </c>
      <c r="G792" s="3" t="s">
        <v>44</v>
      </c>
      <c r="H792" s="3" t="s">
        <v>44</v>
      </c>
      <c r="I792" s="3" t="s">
        <v>33</v>
      </c>
      <c r="J792" s="3" t="s">
        <v>60</v>
      </c>
      <c r="L792" s="1">
        <v>46030.615312499998</v>
      </c>
      <c r="M792" s="1">
        <v>46030.622569444444</v>
      </c>
      <c r="N792" s="1">
        <v>46033.625</v>
      </c>
      <c r="O792" s="3" t="s">
        <v>43</v>
      </c>
      <c r="P792" s="3" t="s">
        <v>4609</v>
      </c>
      <c r="Q792" s="3" t="s">
        <v>35</v>
      </c>
      <c r="R792" s="3" t="s">
        <v>4608</v>
      </c>
      <c r="S792" s="3" t="s">
        <v>96</v>
      </c>
      <c r="T792" s="3" t="s">
        <v>95</v>
      </c>
      <c r="U792" s="4" t="b">
        <v>1</v>
      </c>
      <c r="V792" s="3" t="s">
        <v>31</v>
      </c>
      <c r="W792" s="1"/>
      <c r="Y792" s="3" t="s">
        <v>32</v>
      </c>
      <c r="Z792" s="3" t="s">
        <v>32</v>
      </c>
      <c r="AA792" s="3"/>
      <c r="AB792" s="3"/>
      <c r="AC792" s="4" t="s">
        <v>30</v>
      </c>
      <c r="AD792" s="3"/>
      <c r="AE792" s="3" t="s">
        <v>4609</v>
      </c>
      <c r="AF792" s="4" t="s">
        <v>30</v>
      </c>
      <c r="AH792" s="4">
        <v>0</v>
      </c>
      <c r="AI792" s="3" t="s">
        <v>4629</v>
      </c>
      <c r="AJ792" s="4" t="s">
        <v>4607</v>
      </c>
      <c r="AK792" s="4"/>
      <c r="AL792" s="3"/>
    </row>
    <row r="793" spans="1:38" x14ac:dyDescent="0.35">
      <c r="A793" s="3" t="s">
        <v>4630</v>
      </c>
      <c r="B793" s="4" t="s">
        <v>4635</v>
      </c>
      <c r="C793" s="4">
        <f>VLOOKUP(A793, [1]Planilha1!$A$3:$B$1015,2,FALSE)</f>
        <v>4634</v>
      </c>
      <c r="D793" s="4">
        <f t="shared" si="12"/>
        <v>1.2872222222222223</v>
      </c>
      <c r="E793" s="4" t="s">
        <v>1125</v>
      </c>
      <c r="F793" s="3" t="s">
        <v>4632</v>
      </c>
      <c r="G793" s="3" t="s">
        <v>74</v>
      </c>
      <c r="H793" s="3" t="s">
        <v>44</v>
      </c>
      <c r="I793" s="3" t="s">
        <v>33</v>
      </c>
      <c r="J793" s="3" t="s">
        <v>41</v>
      </c>
      <c r="L793" s="1">
        <v>46030.613287037035</v>
      </c>
      <c r="M793" s="1">
        <v>46030.693865740737</v>
      </c>
      <c r="N793" s="1">
        <v>46030.720682870371</v>
      </c>
      <c r="O793" s="3" t="s">
        <v>43</v>
      </c>
      <c r="P793" s="3" t="s">
        <v>4635</v>
      </c>
      <c r="Q793" s="3" t="s">
        <v>42</v>
      </c>
      <c r="R793" s="3" t="s">
        <v>4634</v>
      </c>
      <c r="S793" s="3" t="s">
        <v>80</v>
      </c>
      <c r="T793" s="3" t="s">
        <v>79</v>
      </c>
      <c r="U793" s="4" t="b">
        <v>1</v>
      </c>
      <c r="V793" s="3" t="s">
        <v>31</v>
      </c>
      <c r="W793" s="1"/>
      <c r="Y793" s="3" t="s">
        <v>32</v>
      </c>
      <c r="Z793" s="3" t="s">
        <v>32</v>
      </c>
      <c r="AA793" s="3"/>
      <c r="AB793" s="3"/>
      <c r="AC793" s="4" t="s">
        <v>30</v>
      </c>
      <c r="AD793" s="3"/>
      <c r="AE793" s="3" t="s">
        <v>4635</v>
      </c>
      <c r="AF793" s="4" t="s">
        <v>30</v>
      </c>
      <c r="AH793" s="4">
        <v>1</v>
      </c>
      <c r="AI793" s="3" t="s">
        <v>4631</v>
      </c>
      <c r="AJ793" s="4" t="s">
        <v>4633</v>
      </c>
      <c r="AK793" s="4"/>
      <c r="AL793" s="3"/>
    </row>
    <row r="794" spans="1:38" x14ac:dyDescent="0.35">
      <c r="A794" s="3" t="s">
        <v>4636</v>
      </c>
      <c r="B794" s="4" t="s">
        <v>4641</v>
      </c>
      <c r="C794" s="4">
        <f>VLOOKUP(A794, [1]Planilha1!$A$3:$B$1015,2,FALSE)</f>
        <v>7786</v>
      </c>
      <c r="D794" s="4">
        <f t="shared" si="12"/>
        <v>2.1627777777777779</v>
      </c>
      <c r="E794" s="4" t="s">
        <v>1125</v>
      </c>
      <c r="F794" s="3" t="s">
        <v>4639</v>
      </c>
      <c r="G794" s="3" t="s">
        <v>100</v>
      </c>
      <c r="H794" s="3" t="s">
        <v>44</v>
      </c>
      <c r="I794" s="3" t="s">
        <v>33</v>
      </c>
      <c r="J794" s="3" t="s">
        <v>41</v>
      </c>
      <c r="K794" s="3" t="s">
        <v>4638</v>
      </c>
      <c r="L794" s="1">
        <v>46030.612627314818</v>
      </c>
      <c r="M794" s="1">
        <v>46030.616180555553</v>
      </c>
      <c r="N794" s="1">
        <v>46030.661238425928</v>
      </c>
      <c r="O794" s="3" t="s">
        <v>43</v>
      </c>
      <c r="P794" s="3" t="s">
        <v>4641</v>
      </c>
      <c r="Q794" s="3" t="s">
        <v>42</v>
      </c>
      <c r="R794" s="3" t="s">
        <v>4640</v>
      </c>
      <c r="S794" s="3" t="s">
        <v>190</v>
      </c>
      <c r="T794" s="3" t="s">
        <v>189</v>
      </c>
      <c r="U794" s="4" t="b">
        <v>1</v>
      </c>
      <c r="V794" s="3" t="s">
        <v>31</v>
      </c>
      <c r="W794" s="1"/>
      <c r="Y794" s="3" t="s">
        <v>32</v>
      </c>
      <c r="Z794" s="3" t="s">
        <v>32</v>
      </c>
      <c r="AA794" s="3"/>
      <c r="AB794" s="3"/>
      <c r="AC794" s="4" t="s">
        <v>30</v>
      </c>
      <c r="AD794" s="3"/>
      <c r="AE794" s="3" t="s">
        <v>4641</v>
      </c>
      <c r="AF794" s="4" t="s">
        <v>30</v>
      </c>
      <c r="AH794" s="4">
        <v>1</v>
      </c>
      <c r="AI794" s="3" t="s">
        <v>4637</v>
      </c>
      <c r="AJ794" s="4"/>
      <c r="AK794" s="4"/>
      <c r="AL794" s="3"/>
    </row>
    <row r="795" spans="1:38" x14ac:dyDescent="0.35">
      <c r="A795" s="3" t="s">
        <v>4642</v>
      </c>
      <c r="B795" s="4" t="s">
        <v>4647</v>
      </c>
      <c r="C795" s="4">
        <f>VLOOKUP(A795, [1]Planilha1!$A$3:$B$1015,2,FALSE)</f>
        <v>7926</v>
      </c>
      <c r="D795" s="4">
        <f t="shared" si="12"/>
        <v>2.2016666666666667</v>
      </c>
      <c r="E795" s="4" t="s">
        <v>1125</v>
      </c>
      <c r="F795" s="3" t="s">
        <v>4644</v>
      </c>
      <c r="G795" s="3" t="s">
        <v>74</v>
      </c>
      <c r="H795" s="3" t="s">
        <v>44</v>
      </c>
      <c r="I795" s="3" t="s">
        <v>33</v>
      </c>
      <c r="J795" s="3" t="s">
        <v>41</v>
      </c>
      <c r="L795" s="1">
        <v>46030.611435185187</v>
      </c>
      <c r="M795" s="1">
        <v>46030.61341435185</v>
      </c>
      <c r="N795" s="1">
        <v>46030.659282407411</v>
      </c>
      <c r="O795" s="3" t="s">
        <v>43</v>
      </c>
      <c r="P795" s="3" t="s">
        <v>4647</v>
      </c>
      <c r="Q795" s="3" t="s">
        <v>42</v>
      </c>
      <c r="R795" s="3" t="s">
        <v>4646</v>
      </c>
      <c r="S795" s="3" t="s">
        <v>80</v>
      </c>
      <c r="T795" s="3" t="s">
        <v>79</v>
      </c>
      <c r="U795" s="4" t="b">
        <v>1</v>
      </c>
      <c r="V795" s="3" t="s">
        <v>31</v>
      </c>
      <c r="W795" s="1"/>
      <c r="Y795" s="3" t="s">
        <v>32</v>
      </c>
      <c r="Z795" s="3" t="s">
        <v>32</v>
      </c>
      <c r="AA795" s="3"/>
      <c r="AB795" s="3"/>
      <c r="AC795" s="4" t="s">
        <v>30</v>
      </c>
      <c r="AD795" s="3"/>
      <c r="AE795" s="3" t="s">
        <v>4647</v>
      </c>
      <c r="AF795" s="4" t="s">
        <v>30</v>
      </c>
      <c r="AH795" s="4">
        <v>1</v>
      </c>
      <c r="AI795" s="3" t="s">
        <v>4643</v>
      </c>
      <c r="AJ795" s="4" t="s">
        <v>4645</v>
      </c>
      <c r="AK795" s="4"/>
      <c r="AL795" s="3"/>
    </row>
    <row r="796" spans="1:38" x14ac:dyDescent="0.35">
      <c r="A796" s="3" t="s">
        <v>4648</v>
      </c>
      <c r="B796" s="4" t="s">
        <v>4654</v>
      </c>
      <c r="C796" s="4">
        <f>VLOOKUP(A796, [1]Planilha1!$A$3:$B$1015,2,FALSE)</f>
        <v>12390</v>
      </c>
      <c r="D796" s="4">
        <f t="shared" si="12"/>
        <v>3.4416666666666669</v>
      </c>
      <c r="E796" s="4" t="s">
        <v>1125</v>
      </c>
      <c r="F796" s="3" t="s">
        <v>4651</v>
      </c>
      <c r="G796" s="3" t="s">
        <v>4649</v>
      </c>
      <c r="H796" s="3" t="s">
        <v>44</v>
      </c>
      <c r="I796" s="3" t="s">
        <v>33</v>
      </c>
      <c r="J796" s="3" t="s">
        <v>41</v>
      </c>
      <c r="L796" s="1">
        <v>46030.608414351853</v>
      </c>
      <c r="M796" s="1">
        <v>46030.608414351853</v>
      </c>
      <c r="N796" s="1">
        <v>46030.656215277777</v>
      </c>
      <c r="O796" s="3" t="s">
        <v>43</v>
      </c>
      <c r="P796" s="3" t="s">
        <v>4654</v>
      </c>
      <c r="Q796" s="3" t="s">
        <v>42</v>
      </c>
      <c r="R796" s="3" t="s">
        <v>4653</v>
      </c>
      <c r="S796" s="3" t="s">
        <v>37</v>
      </c>
      <c r="T796" s="3" t="s">
        <v>36</v>
      </c>
      <c r="U796" s="4" t="b">
        <v>1</v>
      </c>
      <c r="V796" s="3" t="s">
        <v>28</v>
      </c>
      <c r="W796" s="1"/>
      <c r="Y796" s="3" t="s">
        <v>29</v>
      </c>
      <c r="Z796" s="3" t="s">
        <v>29</v>
      </c>
      <c r="AA796" s="3"/>
      <c r="AB796" s="3"/>
      <c r="AC796" s="4" t="s">
        <v>30</v>
      </c>
      <c r="AD796" s="3"/>
      <c r="AE796" s="3" t="s">
        <v>4654</v>
      </c>
      <c r="AF796" s="4" t="s">
        <v>30</v>
      </c>
      <c r="AH796" s="4">
        <v>0</v>
      </c>
      <c r="AI796" s="3" t="s">
        <v>4650</v>
      </c>
      <c r="AJ796" s="4" t="s">
        <v>4652</v>
      </c>
      <c r="AK796" s="4"/>
      <c r="AL796" s="3"/>
    </row>
    <row r="797" spans="1:38" x14ac:dyDescent="0.35">
      <c r="A797" s="3" t="s">
        <v>4655</v>
      </c>
      <c r="B797" s="4" t="s">
        <v>4647</v>
      </c>
      <c r="C797" s="4">
        <f>VLOOKUP(A797, [1]Planilha1!$A$3:$B$1015,2,FALSE)</f>
        <v>8726</v>
      </c>
      <c r="D797" s="4">
        <f t="shared" si="12"/>
        <v>2.423888888888889</v>
      </c>
      <c r="E797" s="4" t="s">
        <v>1125</v>
      </c>
      <c r="F797" s="3" t="s">
        <v>4644</v>
      </c>
      <c r="G797" s="3" t="s">
        <v>4656</v>
      </c>
      <c r="H797" s="3" t="s">
        <v>622</v>
      </c>
      <c r="I797" s="3" t="s">
        <v>33</v>
      </c>
      <c r="J797" s="3" t="s">
        <v>41</v>
      </c>
      <c r="L797" s="1">
        <v>46030.603912037041</v>
      </c>
      <c r="M797" s="1">
        <v>46030.603912037041</v>
      </c>
      <c r="N797" s="1">
        <v>46030.654409722221</v>
      </c>
      <c r="O797" s="3" t="s">
        <v>621</v>
      </c>
      <c r="P797" s="3" t="s">
        <v>4647</v>
      </c>
      <c r="Q797" s="3" t="s">
        <v>42</v>
      </c>
      <c r="R797" s="3" t="s">
        <v>4646</v>
      </c>
      <c r="S797" s="3" t="s">
        <v>37</v>
      </c>
      <c r="T797" s="3" t="s">
        <v>36</v>
      </c>
      <c r="U797" s="4" t="b">
        <v>1</v>
      </c>
      <c r="V797" s="3" t="s">
        <v>28</v>
      </c>
      <c r="W797" s="1"/>
      <c r="Y797" s="3" t="s">
        <v>29</v>
      </c>
      <c r="Z797" s="3" t="s">
        <v>29</v>
      </c>
      <c r="AA797" s="3"/>
      <c r="AB797" s="3"/>
      <c r="AC797" s="4" t="s">
        <v>30</v>
      </c>
      <c r="AD797" s="3"/>
      <c r="AE797" s="3" t="s">
        <v>4647</v>
      </c>
      <c r="AF797" s="4" t="s">
        <v>30</v>
      </c>
      <c r="AH797" s="4">
        <v>0</v>
      </c>
      <c r="AI797" s="3" t="s">
        <v>4657</v>
      </c>
      <c r="AJ797" s="4" t="s">
        <v>4645</v>
      </c>
      <c r="AK797" s="4"/>
      <c r="AL797" s="3"/>
    </row>
    <row r="798" spans="1:38" x14ac:dyDescent="0.35">
      <c r="A798" s="3" t="s">
        <v>4658</v>
      </c>
      <c r="B798" s="4" t="s">
        <v>4609</v>
      </c>
      <c r="C798" s="4">
        <f>VLOOKUP(A798, [1]Planilha1!$A$3:$B$1015,2,FALSE)</f>
        <v>0</v>
      </c>
      <c r="D798" s="4">
        <f t="shared" si="12"/>
        <v>0</v>
      </c>
      <c r="E798" s="4" t="s">
        <v>1125</v>
      </c>
      <c r="F798" s="3" t="s">
        <v>4606</v>
      </c>
      <c r="G798" s="3" t="s">
        <v>700</v>
      </c>
      <c r="H798" s="3" t="s">
        <v>44</v>
      </c>
      <c r="I798" s="3" t="s">
        <v>33</v>
      </c>
      <c r="J798" s="3" t="s">
        <v>60</v>
      </c>
      <c r="L798" s="1">
        <v>46030.602453703701</v>
      </c>
      <c r="M798" s="1">
        <v>46030.612546296295</v>
      </c>
      <c r="N798" s="1">
        <v>46033.625</v>
      </c>
      <c r="O798" s="3" t="s">
        <v>43</v>
      </c>
      <c r="P798" s="3" t="s">
        <v>4609</v>
      </c>
      <c r="Q798" s="3" t="s">
        <v>35</v>
      </c>
      <c r="R798" s="3" t="s">
        <v>4608</v>
      </c>
      <c r="S798" s="3" t="s">
        <v>190</v>
      </c>
      <c r="T798" s="3" t="s">
        <v>189</v>
      </c>
      <c r="U798" s="4" t="b">
        <v>1</v>
      </c>
      <c r="V798" s="3" t="s">
        <v>31</v>
      </c>
      <c r="W798" s="1"/>
      <c r="Y798" s="3" t="s">
        <v>32</v>
      </c>
      <c r="Z798" s="3" t="s">
        <v>32</v>
      </c>
      <c r="AA798" s="3"/>
      <c r="AB798" s="3"/>
      <c r="AC798" s="4" t="s">
        <v>30</v>
      </c>
      <c r="AD798" s="3"/>
      <c r="AE798" s="3" t="s">
        <v>4609</v>
      </c>
      <c r="AF798" s="4" t="s">
        <v>30</v>
      </c>
      <c r="AH798" s="4">
        <v>0</v>
      </c>
      <c r="AI798" s="3" t="s">
        <v>4659</v>
      </c>
      <c r="AJ798" s="4" t="s">
        <v>4607</v>
      </c>
      <c r="AK798" s="4"/>
      <c r="AL798" s="3"/>
    </row>
    <row r="799" spans="1:38" x14ac:dyDescent="0.35">
      <c r="A799" s="3" t="s">
        <v>4660</v>
      </c>
      <c r="B799" s="4" t="s">
        <v>4665</v>
      </c>
      <c r="C799" s="4">
        <f>VLOOKUP(A799, [1]Planilha1!$A$3:$B$1015,2,FALSE)</f>
        <v>0</v>
      </c>
      <c r="D799" s="4">
        <f t="shared" si="12"/>
        <v>0</v>
      </c>
      <c r="E799" s="4" t="s">
        <v>1125</v>
      </c>
      <c r="F799" s="3" t="s">
        <v>4663</v>
      </c>
      <c r="G799" s="3" t="s">
        <v>134</v>
      </c>
      <c r="H799" s="3" t="s">
        <v>138</v>
      </c>
      <c r="I799" s="3" t="s">
        <v>33</v>
      </c>
      <c r="J799" s="3" t="s">
        <v>60</v>
      </c>
      <c r="K799" s="3" t="s">
        <v>4662</v>
      </c>
      <c r="L799" s="1">
        <v>46030.597986111112</v>
      </c>
      <c r="M799" s="1">
        <v>46030.635694444441</v>
      </c>
      <c r="N799" s="1">
        <v>46033.666678240741</v>
      </c>
      <c r="O799" s="3" t="s">
        <v>137</v>
      </c>
      <c r="P799" s="3" t="s">
        <v>4665</v>
      </c>
      <c r="Q799" s="3" t="s">
        <v>35</v>
      </c>
      <c r="R799" s="3" t="s">
        <v>4664</v>
      </c>
      <c r="S799" s="3" t="s">
        <v>144</v>
      </c>
      <c r="T799" s="3" t="s">
        <v>143</v>
      </c>
      <c r="U799" s="4" t="b">
        <v>1</v>
      </c>
      <c r="V799" s="3" t="s">
        <v>31</v>
      </c>
      <c r="W799" s="1"/>
      <c r="Y799" s="3" t="s">
        <v>32</v>
      </c>
      <c r="Z799" s="3" t="s">
        <v>32</v>
      </c>
      <c r="AA799" s="3"/>
      <c r="AB799" s="3"/>
      <c r="AC799" s="4" t="s">
        <v>30</v>
      </c>
      <c r="AD799" s="3"/>
      <c r="AE799" s="3" t="s">
        <v>4665</v>
      </c>
      <c r="AF799" s="4" t="s">
        <v>30</v>
      </c>
      <c r="AH799" s="4">
        <v>0</v>
      </c>
      <c r="AI799" s="3" t="s">
        <v>4661</v>
      </c>
      <c r="AJ799" s="4" t="s">
        <v>5936</v>
      </c>
      <c r="AK799" s="4"/>
      <c r="AL799" s="3"/>
    </row>
    <row r="800" spans="1:38" x14ac:dyDescent="0.35">
      <c r="A800" s="3" t="s">
        <v>4666</v>
      </c>
      <c r="B800" s="4" t="s">
        <v>2898</v>
      </c>
      <c r="C800" s="4">
        <f>VLOOKUP(A800, [1]Planilha1!$A$3:$B$1015,2,FALSE)</f>
        <v>14778</v>
      </c>
      <c r="D800" s="4">
        <f t="shared" si="12"/>
        <v>4.1050000000000004</v>
      </c>
      <c r="E800" s="4" t="s">
        <v>1125</v>
      </c>
      <c r="F800" s="3" t="s">
        <v>2895</v>
      </c>
      <c r="G800" s="3" t="s">
        <v>4667</v>
      </c>
      <c r="H800" s="3" t="s">
        <v>622</v>
      </c>
      <c r="I800" s="3" t="s">
        <v>33</v>
      </c>
      <c r="J800" s="3" t="s">
        <v>41</v>
      </c>
      <c r="L800" s="1">
        <v>46030.596076388887</v>
      </c>
      <c r="M800" s="1">
        <v>46030.596076388887</v>
      </c>
      <c r="N800" s="1">
        <v>46030.653090277781</v>
      </c>
      <c r="O800" s="3" t="s">
        <v>621</v>
      </c>
      <c r="P800" s="3" t="s">
        <v>2898</v>
      </c>
      <c r="Q800" s="3" t="s">
        <v>42</v>
      </c>
      <c r="R800" s="3" t="s">
        <v>2897</v>
      </c>
      <c r="S800" s="3" t="s">
        <v>37</v>
      </c>
      <c r="T800" s="3" t="s">
        <v>36</v>
      </c>
      <c r="U800" s="4" t="b">
        <v>1</v>
      </c>
      <c r="V800" s="3" t="s">
        <v>28</v>
      </c>
      <c r="W800" s="1"/>
      <c r="Y800" s="3" t="s">
        <v>29</v>
      </c>
      <c r="Z800" s="3" t="s">
        <v>29</v>
      </c>
      <c r="AA800" s="3"/>
      <c r="AB800" s="3"/>
      <c r="AC800" s="4" t="s">
        <v>30</v>
      </c>
      <c r="AD800" s="3"/>
      <c r="AE800" s="3" t="s">
        <v>2898</v>
      </c>
      <c r="AF800" s="4" t="s">
        <v>30</v>
      </c>
      <c r="AH800" s="4">
        <v>0</v>
      </c>
      <c r="AI800" s="3" t="s">
        <v>4668</v>
      </c>
      <c r="AJ800" s="4" t="s">
        <v>2896</v>
      </c>
      <c r="AK800" s="4"/>
      <c r="AL800" s="3"/>
    </row>
    <row r="801" spans="1:38" x14ac:dyDescent="0.35">
      <c r="A801" s="3" t="s">
        <v>4669</v>
      </c>
      <c r="B801" s="4" t="s">
        <v>4674</v>
      </c>
      <c r="C801" s="4">
        <f>VLOOKUP(A801, [1]Planilha1!$A$3:$B$1015,2,FALSE)</f>
        <v>0</v>
      </c>
      <c r="D801" s="4">
        <f t="shared" si="12"/>
        <v>0</v>
      </c>
      <c r="E801" s="4" t="s">
        <v>1125</v>
      </c>
      <c r="F801" s="3" t="s">
        <v>4672</v>
      </c>
      <c r="G801" s="3" t="s">
        <v>134</v>
      </c>
      <c r="H801" s="3" t="s">
        <v>138</v>
      </c>
      <c r="I801" s="3" t="s">
        <v>33</v>
      </c>
      <c r="J801" s="3" t="s">
        <v>60</v>
      </c>
      <c r="K801" s="3" t="s">
        <v>4671</v>
      </c>
      <c r="L801" s="1">
        <v>46030.563078703701</v>
      </c>
      <c r="M801" s="1">
        <v>46030.570231481484</v>
      </c>
      <c r="N801" s="1">
        <v>46033.583344907405</v>
      </c>
      <c r="O801" s="3" t="s">
        <v>137</v>
      </c>
      <c r="P801" s="3" t="s">
        <v>4674</v>
      </c>
      <c r="Q801" s="3" t="s">
        <v>35</v>
      </c>
      <c r="R801" s="3" t="s">
        <v>4673</v>
      </c>
      <c r="S801" s="3" t="s">
        <v>144</v>
      </c>
      <c r="T801" s="3" t="s">
        <v>143</v>
      </c>
      <c r="U801" s="4" t="b">
        <v>1</v>
      </c>
      <c r="V801" s="3" t="s">
        <v>31</v>
      </c>
      <c r="W801" s="1"/>
      <c r="Y801" s="3" t="s">
        <v>32</v>
      </c>
      <c r="Z801" s="3" t="s">
        <v>32</v>
      </c>
      <c r="AA801" s="3"/>
      <c r="AB801" s="3"/>
      <c r="AC801" s="4" t="s">
        <v>30</v>
      </c>
      <c r="AD801" s="3"/>
      <c r="AE801" s="3" t="s">
        <v>4674</v>
      </c>
      <c r="AF801" s="4" t="s">
        <v>30</v>
      </c>
      <c r="AH801" s="4">
        <v>0</v>
      </c>
      <c r="AI801" s="3" t="s">
        <v>4670</v>
      </c>
      <c r="AJ801" s="4" t="s">
        <v>5937</v>
      </c>
      <c r="AK801" s="4"/>
      <c r="AL801" s="3"/>
    </row>
    <row r="802" spans="1:38" x14ac:dyDescent="0.35">
      <c r="A802" s="3" t="s">
        <v>4675</v>
      </c>
      <c r="B802" s="4" t="s">
        <v>4681</v>
      </c>
      <c r="C802" s="4">
        <f>VLOOKUP(A802, [1]Planilha1!$A$3:$B$1015,2,FALSE)</f>
        <v>14460</v>
      </c>
      <c r="D802" s="4">
        <f t="shared" si="12"/>
        <v>4.0166666666666666</v>
      </c>
      <c r="E802" s="4" t="s">
        <v>1125</v>
      </c>
      <c r="F802" s="3" t="s">
        <v>4678</v>
      </c>
      <c r="G802" s="3" t="s">
        <v>4676</v>
      </c>
      <c r="H802" s="3" t="s">
        <v>224</v>
      </c>
      <c r="I802" s="3" t="s">
        <v>33</v>
      </c>
      <c r="J802" s="3" t="s">
        <v>41</v>
      </c>
      <c r="L802" s="1">
        <v>46030.561226851853</v>
      </c>
      <c r="M802" s="1">
        <v>46030.561226851853</v>
      </c>
      <c r="N802" s="1">
        <v>46030.644907407404</v>
      </c>
      <c r="O802" s="3" t="s">
        <v>223</v>
      </c>
      <c r="P802" s="3" t="s">
        <v>4681</v>
      </c>
      <c r="Q802" s="3" t="s">
        <v>35</v>
      </c>
      <c r="R802" s="3" t="s">
        <v>4680</v>
      </c>
      <c r="S802" s="3" t="s">
        <v>37</v>
      </c>
      <c r="T802" s="3" t="s">
        <v>36</v>
      </c>
      <c r="U802" s="4" t="b">
        <v>1</v>
      </c>
      <c r="V802" s="3" t="s">
        <v>28</v>
      </c>
      <c r="W802" s="1"/>
      <c r="Y802" s="3" t="s">
        <v>29</v>
      </c>
      <c r="Z802" s="3" t="s">
        <v>29</v>
      </c>
      <c r="AA802" s="3"/>
      <c r="AB802" s="3"/>
      <c r="AC802" s="4" t="s">
        <v>30</v>
      </c>
      <c r="AD802" s="3"/>
      <c r="AE802" s="3" t="s">
        <v>4681</v>
      </c>
      <c r="AF802" s="4" t="s">
        <v>30</v>
      </c>
      <c r="AH802" s="4">
        <v>1</v>
      </c>
      <c r="AI802" s="3" t="s">
        <v>4677</v>
      </c>
      <c r="AJ802" s="4" t="s">
        <v>4679</v>
      </c>
      <c r="AK802" s="4"/>
      <c r="AL802" s="3"/>
    </row>
    <row r="803" spans="1:38" x14ac:dyDescent="0.35">
      <c r="A803" s="3" t="s">
        <v>4682</v>
      </c>
      <c r="B803" s="4" t="s">
        <v>94</v>
      </c>
      <c r="C803" s="4">
        <f>VLOOKUP(A803, [1]Planilha1!$A$3:$B$1015,2,FALSE)</f>
        <v>0</v>
      </c>
      <c r="D803" s="4">
        <f t="shared" si="12"/>
        <v>0</v>
      </c>
      <c r="E803" s="4" t="s">
        <v>1125</v>
      </c>
      <c r="F803" s="3" t="s">
        <v>92</v>
      </c>
      <c r="G803" s="3" t="s">
        <v>4683</v>
      </c>
      <c r="H803" s="3" t="s">
        <v>677</v>
      </c>
      <c r="I803" s="3" t="s">
        <v>33</v>
      </c>
      <c r="J803" s="3" t="s">
        <v>60</v>
      </c>
      <c r="K803" s="3" t="s">
        <v>4685</v>
      </c>
      <c r="L803" s="1">
        <v>46030.539768518516</v>
      </c>
      <c r="M803" s="1">
        <v>46030.560069444444</v>
      </c>
      <c r="N803" s="1">
        <v>46033.583344907405</v>
      </c>
      <c r="O803" s="3" t="s">
        <v>1097</v>
      </c>
      <c r="P803" s="3" t="s">
        <v>94</v>
      </c>
      <c r="Q803" s="3" t="s">
        <v>35</v>
      </c>
      <c r="R803" s="3" t="s">
        <v>93</v>
      </c>
      <c r="S803" s="3" t="s">
        <v>144</v>
      </c>
      <c r="T803" s="3" t="s">
        <v>143</v>
      </c>
      <c r="U803" s="4" t="b">
        <v>1</v>
      </c>
      <c r="V803" s="3" t="s">
        <v>31</v>
      </c>
      <c r="W803" s="1"/>
      <c r="Y803" s="3" t="s">
        <v>32</v>
      </c>
      <c r="Z803" s="3" t="s">
        <v>32</v>
      </c>
      <c r="AA803" s="3"/>
      <c r="AB803" s="3"/>
      <c r="AC803" s="4" t="s">
        <v>30</v>
      </c>
      <c r="AD803" s="3"/>
      <c r="AE803" s="3" t="s">
        <v>94</v>
      </c>
      <c r="AF803" s="4" t="s">
        <v>30</v>
      </c>
      <c r="AH803" s="4">
        <v>0</v>
      </c>
      <c r="AI803" s="3" t="s">
        <v>4684</v>
      </c>
      <c r="AJ803" s="4"/>
      <c r="AK803" s="4"/>
      <c r="AL803" s="3"/>
    </row>
    <row r="804" spans="1:38" x14ac:dyDescent="0.35">
      <c r="A804" s="3" t="s">
        <v>4686</v>
      </c>
      <c r="B804" s="4" t="s">
        <v>4691</v>
      </c>
      <c r="C804" s="4">
        <f>VLOOKUP(A804, [1]Planilha1!$A$3:$B$1015,2,FALSE)</f>
        <v>31874</v>
      </c>
      <c r="D804" s="4">
        <f t="shared" si="12"/>
        <v>8.8538888888888891</v>
      </c>
      <c r="E804" s="4" t="s">
        <v>1125</v>
      </c>
      <c r="F804" s="3" t="s">
        <v>4689</v>
      </c>
      <c r="G804" s="3" t="s">
        <v>4687</v>
      </c>
      <c r="H804" s="3" t="s">
        <v>44</v>
      </c>
      <c r="I804" s="3" t="s">
        <v>33</v>
      </c>
      <c r="J804" s="3" t="s">
        <v>41</v>
      </c>
      <c r="L804" s="1">
        <v>46030.531481481485</v>
      </c>
      <c r="M804" s="1">
        <v>46030.531481481485</v>
      </c>
      <c r="N804" s="1">
        <v>46030.661817129629</v>
      </c>
      <c r="O804" s="3" t="s">
        <v>43</v>
      </c>
      <c r="P804" s="3" t="s">
        <v>4691</v>
      </c>
      <c r="Q804" s="3" t="s">
        <v>42</v>
      </c>
      <c r="R804" s="3" t="s">
        <v>4690</v>
      </c>
      <c r="S804" s="3" t="s">
        <v>37</v>
      </c>
      <c r="T804" s="3" t="s">
        <v>36</v>
      </c>
      <c r="U804" s="4" t="b">
        <v>1</v>
      </c>
      <c r="V804" s="3" t="s">
        <v>28</v>
      </c>
      <c r="W804" s="1"/>
      <c r="Y804" s="3" t="s">
        <v>29</v>
      </c>
      <c r="Z804" s="3" t="s">
        <v>29</v>
      </c>
      <c r="AA804" s="3"/>
      <c r="AB804" s="3"/>
      <c r="AC804" s="4" t="s">
        <v>30</v>
      </c>
      <c r="AD804" s="3"/>
      <c r="AE804" s="3" t="s">
        <v>4691</v>
      </c>
      <c r="AF804" s="4" t="s">
        <v>30</v>
      </c>
      <c r="AH804" s="4">
        <v>2</v>
      </c>
      <c r="AI804" s="3" t="s">
        <v>4688</v>
      </c>
      <c r="AJ804" s="4" t="s">
        <v>5938</v>
      </c>
      <c r="AK804" s="4"/>
      <c r="AL804" s="3"/>
    </row>
    <row r="805" spans="1:38" x14ac:dyDescent="0.35">
      <c r="A805" s="3" t="s">
        <v>4692</v>
      </c>
      <c r="B805" s="4" t="s">
        <v>1199</v>
      </c>
      <c r="C805" s="4">
        <f>VLOOKUP(A805, [1]Planilha1!$A$3:$B$1015,2,FALSE)</f>
        <v>22600</v>
      </c>
      <c r="D805" s="4">
        <f t="shared" si="12"/>
        <v>6.2777777777777777</v>
      </c>
      <c r="E805" s="4" t="s">
        <v>1125</v>
      </c>
      <c r="F805" s="3" t="s">
        <v>1196</v>
      </c>
      <c r="G805" s="3" t="s">
        <v>4693</v>
      </c>
      <c r="H805" s="3" t="s">
        <v>163</v>
      </c>
      <c r="I805" s="3" t="s">
        <v>33</v>
      </c>
      <c r="J805" s="3" t="s">
        <v>41</v>
      </c>
      <c r="L805" s="1">
        <v>46030.512199074074</v>
      </c>
      <c r="M805" s="1">
        <v>46030.512199074074</v>
      </c>
      <c r="N805" s="1">
        <v>46030.64298611111</v>
      </c>
      <c r="O805" s="3" t="s">
        <v>162</v>
      </c>
      <c r="P805" s="3" t="s">
        <v>1199</v>
      </c>
      <c r="Q805" s="3" t="s">
        <v>35</v>
      </c>
      <c r="R805" s="3" t="s">
        <v>1198</v>
      </c>
      <c r="S805" s="3" t="s">
        <v>37</v>
      </c>
      <c r="T805" s="3" t="s">
        <v>36</v>
      </c>
      <c r="U805" s="4" t="b">
        <v>1</v>
      </c>
      <c r="V805" s="3" t="s">
        <v>28</v>
      </c>
      <c r="W805" s="1"/>
      <c r="Y805" s="3" t="s">
        <v>29</v>
      </c>
      <c r="Z805" s="3" t="s">
        <v>29</v>
      </c>
      <c r="AA805" s="3"/>
      <c r="AB805" s="3"/>
      <c r="AC805" s="4" t="s">
        <v>30</v>
      </c>
      <c r="AD805" s="3"/>
      <c r="AE805" s="3" t="s">
        <v>1199</v>
      </c>
      <c r="AF805" s="4" t="s">
        <v>30</v>
      </c>
      <c r="AH805" s="4">
        <v>1</v>
      </c>
      <c r="AI805" s="3" t="s">
        <v>4694</v>
      </c>
      <c r="AJ805" s="4" t="s">
        <v>1197</v>
      </c>
      <c r="AK805" s="4"/>
      <c r="AL805" s="3"/>
    </row>
    <row r="806" spans="1:38" x14ac:dyDescent="0.35">
      <c r="A806" s="3" t="s">
        <v>4695</v>
      </c>
      <c r="B806" s="4" t="s">
        <v>4701</v>
      </c>
      <c r="C806" s="4">
        <f>VLOOKUP(A806, [1]Planilha1!$A$3:$B$1015,2,FALSE)</f>
        <v>19870</v>
      </c>
      <c r="D806" s="4">
        <f t="shared" si="12"/>
        <v>5.5194444444444448</v>
      </c>
      <c r="E806" s="4" t="s">
        <v>1125</v>
      </c>
      <c r="F806" s="3" t="s">
        <v>4699</v>
      </c>
      <c r="G806" s="3" t="s">
        <v>4696</v>
      </c>
      <c r="H806" s="3" t="s">
        <v>224</v>
      </c>
      <c r="I806" s="3" t="s">
        <v>33</v>
      </c>
      <c r="J806" s="3" t="s">
        <v>41</v>
      </c>
      <c r="K806" s="3" t="s">
        <v>4698</v>
      </c>
      <c r="L806" s="1">
        <v>46030.504236111112</v>
      </c>
      <c r="M806" s="1">
        <v>46030.504236111112</v>
      </c>
      <c r="N806" s="1">
        <v>46030.61922453704</v>
      </c>
      <c r="O806" s="3" t="s">
        <v>223</v>
      </c>
      <c r="P806" s="3" t="s">
        <v>4701</v>
      </c>
      <c r="Q806" s="3" t="s">
        <v>35</v>
      </c>
      <c r="R806" s="3" t="s">
        <v>4700</v>
      </c>
      <c r="S806" s="3" t="s">
        <v>37</v>
      </c>
      <c r="T806" s="3" t="s">
        <v>36</v>
      </c>
      <c r="U806" s="4" t="b">
        <v>1</v>
      </c>
      <c r="V806" s="3" t="s">
        <v>28</v>
      </c>
      <c r="W806" s="1"/>
      <c r="Y806" s="3" t="s">
        <v>29</v>
      </c>
      <c r="Z806" s="3" t="s">
        <v>29</v>
      </c>
      <c r="AA806" s="3"/>
      <c r="AB806" s="3"/>
      <c r="AC806" s="4" t="s">
        <v>30</v>
      </c>
      <c r="AD806" s="3"/>
      <c r="AE806" s="3" t="s">
        <v>4701</v>
      </c>
      <c r="AF806" s="4" t="s">
        <v>30</v>
      </c>
      <c r="AH806" s="4">
        <v>1</v>
      </c>
      <c r="AI806" s="3" t="s">
        <v>4697</v>
      </c>
      <c r="AJ806" s="4" t="s">
        <v>5939</v>
      </c>
      <c r="AK806" s="4"/>
      <c r="AL806" s="3"/>
    </row>
    <row r="807" spans="1:38" x14ac:dyDescent="0.35">
      <c r="A807" s="3" t="s">
        <v>4707</v>
      </c>
      <c r="B807" s="4" t="s">
        <v>4712</v>
      </c>
      <c r="C807" s="4">
        <f>VLOOKUP(A807, [1]Planilha1!$A$3:$B$1015,2,FALSE)</f>
        <v>28146</v>
      </c>
      <c r="D807" s="4">
        <f t="shared" si="12"/>
        <v>7.8183333333333334</v>
      </c>
      <c r="E807" s="4" t="s">
        <v>1125</v>
      </c>
      <c r="F807" s="3" t="s">
        <v>4709</v>
      </c>
      <c r="G807" s="3" t="s">
        <v>800</v>
      </c>
      <c r="H807" s="3" t="s">
        <v>44</v>
      </c>
      <c r="I807" s="3" t="s">
        <v>33</v>
      </c>
      <c r="J807" s="3" t="s">
        <v>34</v>
      </c>
      <c r="L807" s="1">
        <v>46030.475300925929</v>
      </c>
      <c r="M807" s="1">
        <v>46030.48</v>
      </c>
      <c r="N807" s="1">
        <v>46033.666678240741</v>
      </c>
      <c r="O807" s="3" t="s">
        <v>43</v>
      </c>
      <c r="P807" s="3" t="s">
        <v>4712</v>
      </c>
      <c r="Q807" s="3" t="s">
        <v>35</v>
      </c>
      <c r="R807" s="3" t="s">
        <v>4711</v>
      </c>
      <c r="S807" s="3" t="s">
        <v>80</v>
      </c>
      <c r="T807" s="3" t="s">
        <v>79</v>
      </c>
      <c r="U807" s="4" t="b">
        <v>0</v>
      </c>
      <c r="V807" s="3" t="s">
        <v>31</v>
      </c>
      <c r="W807" s="1"/>
      <c r="Y807" s="3" t="s">
        <v>32</v>
      </c>
      <c r="Z807" s="3" t="s">
        <v>32</v>
      </c>
      <c r="AA807" s="3"/>
      <c r="AB807" s="3"/>
      <c r="AC807" s="4" t="s">
        <v>30</v>
      </c>
      <c r="AD807" s="3"/>
      <c r="AE807" s="3" t="s">
        <v>4712</v>
      </c>
      <c r="AF807" s="4" t="s">
        <v>30</v>
      </c>
      <c r="AH807" s="4">
        <v>1</v>
      </c>
      <c r="AI807" s="3" t="s">
        <v>4708</v>
      </c>
      <c r="AJ807" s="4" t="s">
        <v>4710</v>
      </c>
      <c r="AK807" s="4"/>
      <c r="AL807" s="3"/>
    </row>
    <row r="808" spans="1:38" x14ac:dyDescent="0.35">
      <c r="A808" s="3" t="s">
        <v>4713</v>
      </c>
      <c r="B808" s="4" t="s">
        <v>94</v>
      </c>
      <c r="C808" s="4">
        <f>VLOOKUP(A808, [1]Planilha1!$A$3:$B$1015,2,FALSE)</f>
        <v>37740</v>
      </c>
      <c r="D808" s="4">
        <f t="shared" si="12"/>
        <v>10.483333333333333</v>
      </c>
      <c r="E808" s="4" t="s">
        <v>1125</v>
      </c>
      <c r="F808" s="3" t="s">
        <v>92</v>
      </c>
      <c r="G808" s="3" t="s">
        <v>4714</v>
      </c>
      <c r="H808" s="3" t="s">
        <v>44</v>
      </c>
      <c r="I808" s="3" t="s">
        <v>33</v>
      </c>
      <c r="J808" s="3" t="s">
        <v>41</v>
      </c>
      <c r="L808" s="1">
        <v>46030.470995370371</v>
      </c>
      <c r="M808" s="1">
        <v>46030.470995370371</v>
      </c>
      <c r="N808" s="1">
        <v>46030.616597222222</v>
      </c>
      <c r="O808" s="3" t="s">
        <v>43</v>
      </c>
      <c r="P808" s="3" t="s">
        <v>94</v>
      </c>
      <c r="Q808" s="3" t="s">
        <v>35</v>
      </c>
      <c r="R808" s="3" t="s">
        <v>93</v>
      </c>
      <c r="S808" s="3" t="s">
        <v>37</v>
      </c>
      <c r="T808" s="3" t="s">
        <v>36</v>
      </c>
      <c r="U808" s="4" t="b">
        <v>1</v>
      </c>
      <c r="V808" s="3" t="s">
        <v>28</v>
      </c>
      <c r="W808" s="1"/>
      <c r="Y808" s="3" t="s">
        <v>29</v>
      </c>
      <c r="Z808" s="3" t="s">
        <v>29</v>
      </c>
      <c r="AA808" s="3"/>
      <c r="AB808" s="3"/>
      <c r="AC808" s="4" t="s">
        <v>30</v>
      </c>
      <c r="AD808" s="3"/>
      <c r="AE808" s="3" t="s">
        <v>94</v>
      </c>
      <c r="AF808" s="4" t="s">
        <v>30</v>
      </c>
      <c r="AH808" s="4">
        <v>0</v>
      </c>
      <c r="AI808" s="3" t="s">
        <v>4715</v>
      </c>
      <c r="AJ808" s="4"/>
      <c r="AK808" s="4"/>
      <c r="AL808" s="3"/>
    </row>
    <row r="809" spans="1:38" x14ac:dyDescent="0.35">
      <c r="A809" s="3" t="s">
        <v>4716</v>
      </c>
      <c r="B809" s="4" t="s">
        <v>4599</v>
      </c>
      <c r="C809" s="4">
        <f>VLOOKUP(A809, [1]Planilha1!$A$3:$B$1015,2,FALSE)</f>
        <v>21616</v>
      </c>
      <c r="D809" s="4">
        <f t="shared" si="12"/>
        <v>6.0044444444444443</v>
      </c>
      <c r="E809" s="4" t="s">
        <v>1125</v>
      </c>
      <c r="F809" s="3" t="s">
        <v>4596</v>
      </c>
      <c r="G809" s="3" t="s">
        <v>4717</v>
      </c>
      <c r="H809" s="3" t="s">
        <v>44</v>
      </c>
      <c r="I809" s="3" t="s">
        <v>33</v>
      </c>
      <c r="J809" s="3" t="s">
        <v>41</v>
      </c>
      <c r="L809" s="1">
        <v>46030.455659722225</v>
      </c>
      <c r="M809" s="1">
        <v>46030.467476851853</v>
      </c>
      <c r="N809" s="1">
        <v>46030.592569444445</v>
      </c>
      <c r="O809" s="3" t="s">
        <v>43</v>
      </c>
      <c r="P809" s="3" t="s">
        <v>4599</v>
      </c>
      <c r="Q809" s="3" t="s">
        <v>42</v>
      </c>
      <c r="R809" s="3" t="s">
        <v>4598</v>
      </c>
      <c r="S809" s="3" t="s">
        <v>98</v>
      </c>
      <c r="T809" s="3" t="s">
        <v>97</v>
      </c>
      <c r="U809" s="4" t="b">
        <v>1</v>
      </c>
      <c r="V809" s="3" t="s">
        <v>31</v>
      </c>
      <c r="W809" s="1"/>
      <c r="Y809" s="3" t="s">
        <v>32</v>
      </c>
      <c r="Z809" s="3" t="s">
        <v>32</v>
      </c>
      <c r="AA809" s="3"/>
      <c r="AB809" s="3"/>
      <c r="AC809" s="4" t="s">
        <v>30</v>
      </c>
      <c r="AD809" s="3"/>
      <c r="AE809" s="3" t="s">
        <v>4599</v>
      </c>
      <c r="AF809" s="4" t="s">
        <v>30</v>
      </c>
      <c r="AH809" s="4">
        <v>1</v>
      </c>
      <c r="AI809" s="3" t="s">
        <v>4718</v>
      </c>
      <c r="AJ809" s="4" t="s">
        <v>4597</v>
      </c>
      <c r="AK809" s="4"/>
      <c r="AL809" s="3"/>
    </row>
    <row r="810" spans="1:38" x14ac:dyDescent="0.35">
      <c r="A810" s="3" t="s">
        <v>4719</v>
      </c>
      <c r="B810" s="4" t="s">
        <v>4609</v>
      </c>
      <c r="C810" s="4">
        <f>VLOOKUP(A810, [1]Planilha1!$A$3:$B$1015,2,FALSE)</f>
        <v>10154</v>
      </c>
      <c r="D810" s="4">
        <f t="shared" si="12"/>
        <v>2.8205555555555555</v>
      </c>
      <c r="E810" s="4" t="s">
        <v>1125</v>
      </c>
      <c r="F810" s="3" t="s">
        <v>4606</v>
      </c>
      <c r="G810" s="3" t="s">
        <v>44</v>
      </c>
      <c r="H810" s="3" t="s">
        <v>44</v>
      </c>
      <c r="I810" s="3" t="s">
        <v>33</v>
      </c>
      <c r="J810" s="3" t="s">
        <v>41</v>
      </c>
      <c r="L810" s="1">
        <v>46030.45140046296</v>
      </c>
      <c r="M810" s="1">
        <v>46030.601238425923</v>
      </c>
      <c r="N810" s="1">
        <v>46030.66</v>
      </c>
      <c r="O810" s="3" t="s">
        <v>43</v>
      </c>
      <c r="P810" s="3" t="s">
        <v>4609</v>
      </c>
      <c r="Q810" s="3" t="s">
        <v>42</v>
      </c>
      <c r="R810" s="3" t="s">
        <v>4608</v>
      </c>
      <c r="S810" s="3" t="s">
        <v>96</v>
      </c>
      <c r="T810" s="3" t="s">
        <v>95</v>
      </c>
      <c r="U810" s="4" t="b">
        <v>1</v>
      </c>
      <c r="V810" s="3" t="s">
        <v>31</v>
      </c>
      <c r="W810" s="1"/>
      <c r="Y810" s="3" t="s">
        <v>32</v>
      </c>
      <c r="Z810" s="3" t="s">
        <v>32</v>
      </c>
      <c r="AA810" s="3"/>
      <c r="AB810" s="3"/>
      <c r="AC810" s="4" t="s">
        <v>30</v>
      </c>
      <c r="AD810" s="3"/>
      <c r="AE810" s="3" t="s">
        <v>4609</v>
      </c>
      <c r="AF810" s="4" t="s">
        <v>30</v>
      </c>
      <c r="AH810" s="4">
        <v>1</v>
      </c>
      <c r="AI810" s="3" t="s">
        <v>4720</v>
      </c>
      <c r="AJ810" s="4" t="s">
        <v>4607</v>
      </c>
      <c r="AK810" s="4"/>
      <c r="AL810" s="3"/>
    </row>
    <row r="811" spans="1:38" x14ac:dyDescent="0.35">
      <c r="A811" s="3" t="s">
        <v>4721</v>
      </c>
      <c r="B811" s="4" t="s">
        <v>483</v>
      </c>
      <c r="C811" s="4">
        <f>VLOOKUP(A811, [1]Planilha1!$A$3:$B$1015,2,FALSE)</f>
        <v>0</v>
      </c>
      <c r="D811" s="4">
        <f t="shared" si="12"/>
        <v>0</v>
      </c>
      <c r="E811" s="4" t="s">
        <v>1125</v>
      </c>
      <c r="F811" s="3" t="s">
        <v>484</v>
      </c>
      <c r="G811" s="3" t="s">
        <v>134</v>
      </c>
      <c r="H811" s="3" t="s">
        <v>138</v>
      </c>
      <c r="I811" s="3" t="s">
        <v>33</v>
      </c>
      <c r="J811" s="3" t="s">
        <v>60</v>
      </c>
      <c r="K811" s="3" t="s">
        <v>4723</v>
      </c>
      <c r="L811" s="1">
        <v>46030.442511574074</v>
      </c>
      <c r="M811" s="1">
        <v>46030.450162037036</v>
      </c>
      <c r="N811" s="1">
        <v>46033.458344907405</v>
      </c>
      <c r="O811" s="3" t="s">
        <v>137</v>
      </c>
      <c r="P811" s="3" t="s">
        <v>483</v>
      </c>
      <c r="Q811" s="3" t="s">
        <v>35</v>
      </c>
      <c r="R811" s="3" t="s">
        <v>482</v>
      </c>
      <c r="S811" s="3" t="s">
        <v>144</v>
      </c>
      <c r="T811" s="3" t="s">
        <v>143</v>
      </c>
      <c r="U811" s="4" t="b">
        <v>1</v>
      </c>
      <c r="V811" s="3" t="s">
        <v>31</v>
      </c>
      <c r="W811" s="1"/>
      <c r="Y811" s="3" t="s">
        <v>32</v>
      </c>
      <c r="Z811" s="3" t="s">
        <v>32</v>
      </c>
      <c r="AA811" s="3"/>
      <c r="AB811" s="3"/>
      <c r="AC811" s="4" t="s">
        <v>30</v>
      </c>
      <c r="AD811" s="3"/>
      <c r="AE811" s="3" t="s">
        <v>483</v>
      </c>
      <c r="AF811" s="4" t="s">
        <v>30</v>
      </c>
      <c r="AH811" s="4">
        <v>0</v>
      </c>
      <c r="AI811" s="3" t="s">
        <v>4722</v>
      </c>
      <c r="AJ811" s="4" t="s">
        <v>485</v>
      </c>
      <c r="AK811" s="4"/>
      <c r="AL811" s="3"/>
    </row>
    <row r="812" spans="1:38" x14ac:dyDescent="0.35">
      <c r="A812" s="3" t="s">
        <v>4724</v>
      </c>
      <c r="B812" s="4" t="s">
        <v>4588</v>
      </c>
      <c r="C812" s="4">
        <f>VLOOKUP(A812, [1]Planilha1!$A$3:$B$1015,2,FALSE)</f>
        <v>31158</v>
      </c>
      <c r="D812" s="4">
        <f t="shared" si="12"/>
        <v>8.6549999999999994</v>
      </c>
      <c r="E812" s="4" t="s">
        <v>1125</v>
      </c>
      <c r="F812" s="3" t="s">
        <v>4585</v>
      </c>
      <c r="G812" s="3" t="s">
        <v>4725</v>
      </c>
      <c r="H812" s="3" t="s">
        <v>224</v>
      </c>
      <c r="I812" s="3" t="s">
        <v>33</v>
      </c>
      <c r="J812" s="3" t="s">
        <v>41</v>
      </c>
      <c r="L812" s="1">
        <v>46030.434895833336</v>
      </c>
      <c r="M812" s="1">
        <v>46030.434895833336</v>
      </c>
      <c r="N812" s="1">
        <v>46030.615208333336</v>
      </c>
      <c r="O812" s="3" t="s">
        <v>223</v>
      </c>
      <c r="P812" s="3" t="s">
        <v>4588</v>
      </c>
      <c r="Q812" s="3" t="s">
        <v>35</v>
      </c>
      <c r="R812" s="3" t="s">
        <v>4587</v>
      </c>
      <c r="S812" s="3" t="s">
        <v>37</v>
      </c>
      <c r="T812" s="3" t="s">
        <v>36</v>
      </c>
      <c r="U812" s="4" t="b">
        <v>1</v>
      </c>
      <c r="V812" s="3" t="s">
        <v>28</v>
      </c>
      <c r="W812" s="1"/>
      <c r="Y812" s="3" t="s">
        <v>29</v>
      </c>
      <c r="Z812" s="3" t="s">
        <v>29</v>
      </c>
      <c r="AA812" s="3"/>
      <c r="AB812" s="3"/>
      <c r="AC812" s="4" t="s">
        <v>30</v>
      </c>
      <c r="AD812" s="3"/>
      <c r="AE812" s="3" t="s">
        <v>4588</v>
      </c>
      <c r="AF812" s="4" t="s">
        <v>30</v>
      </c>
      <c r="AH812" s="4">
        <v>1</v>
      </c>
      <c r="AI812" s="3" t="s">
        <v>4726</v>
      </c>
      <c r="AJ812" s="4" t="s">
        <v>4586</v>
      </c>
      <c r="AK812" s="4"/>
      <c r="AL812" s="3"/>
    </row>
    <row r="813" spans="1:38" x14ac:dyDescent="0.35">
      <c r="A813" s="3" t="s">
        <v>4727</v>
      </c>
      <c r="B813" s="4" t="s">
        <v>4732</v>
      </c>
      <c r="C813" s="4">
        <f>VLOOKUP(A813, [1]Planilha1!$A$3:$B$1015,2,FALSE)</f>
        <v>28730</v>
      </c>
      <c r="D813" s="4">
        <f t="shared" si="12"/>
        <v>7.9805555555555552</v>
      </c>
      <c r="E813" s="4" t="s">
        <v>1125</v>
      </c>
      <c r="F813" s="3" t="s">
        <v>4729</v>
      </c>
      <c r="G813" s="3" t="s">
        <v>74</v>
      </c>
      <c r="H813" s="3" t="s">
        <v>44</v>
      </c>
      <c r="I813" s="3" t="s">
        <v>33</v>
      </c>
      <c r="J813" s="3" t="s">
        <v>41</v>
      </c>
      <c r="L813" s="1">
        <v>46030.423807870371</v>
      </c>
      <c r="M813" s="1">
        <v>46030.426863425928</v>
      </c>
      <c r="N813" s="1">
        <v>46030.593124999999</v>
      </c>
      <c r="O813" s="3" t="s">
        <v>43</v>
      </c>
      <c r="P813" s="3" t="s">
        <v>4732</v>
      </c>
      <c r="Q813" s="3" t="s">
        <v>42</v>
      </c>
      <c r="R813" s="3" t="s">
        <v>4731</v>
      </c>
      <c r="S813" s="3" t="s">
        <v>80</v>
      </c>
      <c r="T813" s="3" t="s">
        <v>79</v>
      </c>
      <c r="U813" s="4" t="b">
        <v>1</v>
      </c>
      <c r="V813" s="3" t="s">
        <v>31</v>
      </c>
      <c r="W813" s="1"/>
      <c r="Y813" s="3" t="s">
        <v>32</v>
      </c>
      <c r="Z813" s="3" t="s">
        <v>32</v>
      </c>
      <c r="AA813" s="3"/>
      <c r="AB813" s="3"/>
      <c r="AC813" s="4" t="s">
        <v>30</v>
      </c>
      <c r="AD813" s="3"/>
      <c r="AE813" s="3" t="s">
        <v>4732</v>
      </c>
      <c r="AF813" s="4" t="s">
        <v>30</v>
      </c>
      <c r="AH813" s="4">
        <v>1</v>
      </c>
      <c r="AI813" s="3" t="s">
        <v>4728</v>
      </c>
      <c r="AJ813" s="4" t="s">
        <v>4730</v>
      </c>
      <c r="AK813" s="4"/>
      <c r="AL813" s="3"/>
    </row>
    <row r="814" spans="1:38" x14ac:dyDescent="0.35">
      <c r="A814" s="3" t="s">
        <v>4733</v>
      </c>
      <c r="B814" s="4" t="s">
        <v>4739</v>
      </c>
      <c r="C814" s="4">
        <f>VLOOKUP(A814, [1]Planilha1!$A$3:$B$1015,2,FALSE)</f>
        <v>27298</v>
      </c>
      <c r="D814" s="4">
        <f t="shared" si="12"/>
        <v>7.5827777777777774</v>
      </c>
      <c r="E814" s="4" t="s">
        <v>1125</v>
      </c>
      <c r="F814" s="3" t="s">
        <v>4736</v>
      </c>
      <c r="G814" s="3" t="s">
        <v>214</v>
      </c>
      <c r="H814" s="3" t="s">
        <v>44</v>
      </c>
      <c r="I814" s="3" t="s">
        <v>33</v>
      </c>
      <c r="J814" s="3" t="s">
        <v>41</v>
      </c>
      <c r="K814" s="3" t="s">
        <v>4735</v>
      </c>
      <c r="L814" s="1">
        <v>46030.414317129631</v>
      </c>
      <c r="M814" s="1">
        <v>46030.433125000003</v>
      </c>
      <c r="N814" s="1">
        <v>46030.591099537036</v>
      </c>
      <c r="O814" s="3" t="s">
        <v>43</v>
      </c>
      <c r="P814" s="3" t="s">
        <v>4739</v>
      </c>
      <c r="Q814" s="3" t="s">
        <v>42</v>
      </c>
      <c r="R814" s="3" t="s">
        <v>4738</v>
      </c>
      <c r="S814" s="3" t="s">
        <v>144</v>
      </c>
      <c r="T814" s="3" t="s">
        <v>143</v>
      </c>
      <c r="U814" s="4" t="b">
        <v>1</v>
      </c>
      <c r="V814" s="3" t="s">
        <v>31</v>
      </c>
      <c r="W814" s="1"/>
      <c r="Y814" s="3" t="s">
        <v>32</v>
      </c>
      <c r="Z814" s="3" t="s">
        <v>32</v>
      </c>
      <c r="AA814" s="3"/>
      <c r="AB814" s="3"/>
      <c r="AC814" s="4" t="s">
        <v>30</v>
      </c>
      <c r="AD814" s="3"/>
      <c r="AE814" s="3" t="s">
        <v>4739</v>
      </c>
      <c r="AF814" s="4" t="s">
        <v>30</v>
      </c>
      <c r="AH814" s="4">
        <v>1</v>
      </c>
      <c r="AI814" s="3" t="s">
        <v>4734</v>
      </c>
      <c r="AJ814" s="4" t="s">
        <v>4737</v>
      </c>
      <c r="AK814" s="4"/>
      <c r="AL814" s="3"/>
    </row>
    <row r="815" spans="1:38" x14ac:dyDescent="0.35">
      <c r="A815" s="3" t="s">
        <v>4740</v>
      </c>
      <c r="B815" s="4" t="s">
        <v>4745</v>
      </c>
      <c r="C815" s="4">
        <f>VLOOKUP(A815, [1]Planilha1!$A$3:$B$1015,2,FALSE)</f>
        <v>20994</v>
      </c>
      <c r="D815" s="4">
        <f t="shared" si="12"/>
        <v>5.831666666666667</v>
      </c>
      <c r="E815" s="4" t="s">
        <v>1125</v>
      </c>
      <c r="F815" s="3" t="s">
        <v>4743</v>
      </c>
      <c r="G815" s="3" t="s">
        <v>100</v>
      </c>
      <c r="H815" s="3" t="s">
        <v>44</v>
      </c>
      <c r="I815" s="3" t="s">
        <v>33</v>
      </c>
      <c r="J815" s="3" t="s">
        <v>41</v>
      </c>
      <c r="K815" s="3" t="s">
        <v>4742</v>
      </c>
      <c r="L815" s="1">
        <v>46030.402650462966</v>
      </c>
      <c r="M815" s="1">
        <v>46030.468865740739</v>
      </c>
      <c r="N815" s="1">
        <v>46030.590358796297</v>
      </c>
      <c r="O815" s="3" t="s">
        <v>43</v>
      </c>
      <c r="P815" s="3" t="s">
        <v>4745</v>
      </c>
      <c r="Q815" s="3" t="s">
        <v>42</v>
      </c>
      <c r="R815" s="3" t="s">
        <v>4571</v>
      </c>
      <c r="S815" s="3" t="s">
        <v>190</v>
      </c>
      <c r="T815" s="3" t="s">
        <v>189</v>
      </c>
      <c r="U815" s="4" t="b">
        <v>1</v>
      </c>
      <c r="V815" s="3" t="s">
        <v>31</v>
      </c>
      <c r="W815" s="1"/>
      <c r="Y815" s="3" t="s">
        <v>32</v>
      </c>
      <c r="Z815" s="3" t="s">
        <v>32</v>
      </c>
      <c r="AA815" s="3"/>
      <c r="AB815" s="3"/>
      <c r="AC815" s="4" t="s">
        <v>30</v>
      </c>
      <c r="AD815" s="3"/>
      <c r="AE815" s="3" t="s">
        <v>4745</v>
      </c>
      <c r="AF815" s="4" t="s">
        <v>30</v>
      </c>
      <c r="AH815" s="4">
        <v>1</v>
      </c>
      <c r="AI815" s="3" t="s">
        <v>4741</v>
      </c>
      <c r="AJ815" s="4" t="s">
        <v>4744</v>
      </c>
      <c r="AK815" s="4"/>
      <c r="AL815" s="3"/>
    </row>
    <row r="816" spans="1:38" x14ac:dyDescent="0.35">
      <c r="A816" s="3" t="s">
        <v>4750</v>
      </c>
      <c r="B816" s="4" t="s">
        <v>94</v>
      </c>
      <c r="C816" s="4">
        <f>VLOOKUP(A816, [1]Planilha1!$A$3:$B$1015,2,FALSE)</f>
        <v>0</v>
      </c>
      <c r="D816" s="4">
        <f t="shared" si="12"/>
        <v>0</v>
      </c>
      <c r="E816" s="4" t="s">
        <v>1125</v>
      </c>
      <c r="F816" s="3" t="s">
        <v>92</v>
      </c>
      <c r="G816" s="3" t="s">
        <v>44</v>
      </c>
      <c r="H816" s="3" t="s">
        <v>44</v>
      </c>
      <c r="I816" s="3" t="s">
        <v>33</v>
      </c>
      <c r="J816" s="3" t="s">
        <v>60</v>
      </c>
      <c r="L816" s="1">
        <v>46030.391516203701</v>
      </c>
      <c r="M816" s="1">
        <v>46030.395624999997</v>
      </c>
      <c r="N816" s="1">
        <v>46033.416666666664</v>
      </c>
      <c r="O816" s="3" t="s">
        <v>43</v>
      </c>
      <c r="P816" s="3" t="s">
        <v>94</v>
      </c>
      <c r="Q816" s="3" t="s">
        <v>35</v>
      </c>
      <c r="R816" s="3" t="s">
        <v>93</v>
      </c>
      <c r="S816" s="3" t="s">
        <v>96</v>
      </c>
      <c r="T816" s="3" t="s">
        <v>95</v>
      </c>
      <c r="U816" s="4" t="b">
        <v>1</v>
      </c>
      <c r="V816" s="3" t="s">
        <v>31</v>
      </c>
      <c r="W816" s="1"/>
      <c r="Y816" s="3" t="s">
        <v>32</v>
      </c>
      <c r="Z816" s="3" t="s">
        <v>32</v>
      </c>
      <c r="AA816" s="3"/>
      <c r="AB816" s="3"/>
      <c r="AC816" s="4" t="s">
        <v>30</v>
      </c>
      <c r="AD816" s="3"/>
      <c r="AE816" s="3" t="s">
        <v>94</v>
      </c>
      <c r="AF816" s="4" t="s">
        <v>30</v>
      </c>
      <c r="AH816" s="4">
        <v>0</v>
      </c>
      <c r="AI816" s="3" t="s">
        <v>4751</v>
      </c>
      <c r="AJ816" s="4"/>
      <c r="AK816" s="4"/>
      <c r="AL816" s="3"/>
    </row>
    <row r="817" spans="1:38" x14ac:dyDescent="0.35">
      <c r="A817" s="3" t="s">
        <v>4753</v>
      </c>
      <c r="B817" s="4" t="s">
        <v>4758</v>
      </c>
      <c r="C817" s="4">
        <f>VLOOKUP(A817, [1]Planilha1!$A$3:$B$1015,2,FALSE)</f>
        <v>3639</v>
      </c>
      <c r="D817" s="4">
        <f t="shared" si="12"/>
        <v>1.0108333333333333</v>
      </c>
      <c r="E817" s="4" t="s">
        <v>1125</v>
      </c>
      <c r="F817" s="3" t="s">
        <v>4755</v>
      </c>
      <c r="G817" s="3" t="s">
        <v>2255</v>
      </c>
      <c r="H817" s="3" t="s">
        <v>44</v>
      </c>
      <c r="I817" s="3" t="s">
        <v>33</v>
      </c>
      <c r="J817" s="3" t="s">
        <v>41</v>
      </c>
      <c r="L817" s="1">
        <v>46030.382997685185</v>
      </c>
      <c r="M817" s="1">
        <v>46030.382997685185</v>
      </c>
      <c r="N817" s="1">
        <v>46030.397037037037</v>
      </c>
      <c r="O817" s="3" t="s">
        <v>43</v>
      </c>
      <c r="P817" s="3" t="s">
        <v>4758</v>
      </c>
      <c r="Q817" s="3" t="s">
        <v>42</v>
      </c>
      <c r="R817" s="3" t="s">
        <v>4757</v>
      </c>
      <c r="S817" s="3" t="s">
        <v>37</v>
      </c>
      <c r="T817" s="3" t="s">
        <v>36</v>
      </c>
      <c r="U817" s="4" t="b">
        <v>1</v>
      </c>
      <c r="V817" s="3" t="s">
        <v>28</v>
      </c>
      <c r="W817" s="1"/>
      <c r="Y817" s="3" t="s">
        <v>29</v>
      </c>
      <c r="Z817" s="3" t="s">
        <v>29</v>
      </c>
      <c r="AA817" s="3"/>
      <c r="AB817" s="3"/>
      <c r="AC817" s="4" t="s">
        <v>30</v>
      </c>
      <c r="AD817" s="3"/>
      <c r="AE817" s="3" t="s">
        <v>4758</v>
      </c>
      <c r="AF817" s="4" t="s">
        <v>30</v>
      </c>
      <c r="AH817" s="4">
        <v>0</v>
      </c>
      <c r="AI817" s="3" t="s">
        <v>4754</v>
      </c>
      <c r="AJ817" s="4" t="s">
        <v>4756</v>
      </c>
      <c r="AK817" s="4"/>
      <c r="AL817" s="3"/>
    </row>
    <row r="818" spans="1:38" x14ac:dyDescent="0.35">
      <c r="A818" s="3" t="s">
        <v>4759</v>
      </c>
      <c r="B818" s="4" t="s">
        <v>1266</v>
      </c>
      <c r="C818" s="4">
        <f>VLOOKUP(A818, [1]Planilha1!$A$3:$B$1015,2,FALSE)</f>
        <v>7930</v>
      </c>
      <c r="D818" s="4">
        <f t="shared" si="12"/>
        <v>2.2027777777777779</v>
      </c>
      <c r="E818" s="4" t="s">
        <v>1125</v>
      </c>
      <c r="F818" s="3" t="s">
        <v>4762</v>
      </c>
      <c r="G818" s="3" t="s">
        <v>214</v>
      </c>
      <c r="H818" s="3" t="s">
        <v>44</v>
      </c>
      <c r="I818" s="3" t="s">
        <v>33</v>
      </c>
      <c r="J818" s="3" t="s">
        <v>41</v>
      </c>
      <c r="K818" s="3" t="s">
        <v>4761</v>
      </c>
      <c r="L818" s="1">
        <v>46030.377627314818</v>
      </c>
      <c r="M818" s="1">
        <v>46030.386006944442</v>
      </c>
      <c r="N818" s="1">
        <v>46030.431898148148</v>
      </c>
      <c r="O818" s="3" t="s">
        <v>43</v>
      </c>
      <c r="P818" s="3" t="s">
        <v>1266</v>
      </c>
      <c r="Q818" s="3" t="s">
        <v>42</v>
      </c>
      <c r="R818" s="3" t="s">
        <v>4764</v>
      </c>
      <c r="S818" s="3" t="s">
        <v>144</v>
      </c>
      <c r="T818" s="3" t="s">
        <v>143</v>
      </c>
      <c r="U818" s="4" t="b">
        <v>1</v>
      </c>
      <c r="V818" s="3" t="s">
        <v>31</v>
      </c>
      <c r="W818" s="1"/>
      <c r="Y818" s="3" t="s">
        <v>32</v>
      </c>
      <c r="Z818" s="3" t="s">
        <v>32</v>
      </c>
      <c r="AA818" s="3"/>
      <c r="AB818" s="3"/>
      <c r="AC818" s="4" t="s">
        <v>30</v>
      </c>
      <c r="AD818" s="3"/>
      <c r="AE818" s="3" t="s">
        <v>1266</v>
      </c>
      <c r="AF818" s="4" t="s">
        <v>30</v>
      </c>
      <c r="AH818" s="4">
        <v>1</v>
      </c>
      <c r="AI818" s="3" t="s">
        <v>4760</v>
      </c>
      <c r="AJ818" s="4" t="s">
        <v>4763</v>
      </c>
      <c r="AK818" s="4"/>
      <c r="AL818" s="3"/>
    </row>
    <row r="819" spans="1:38" x14ac:dyDescent="0.35">
      <c r="A819" s="3" t="s">
        <v>4765</v>
      </c>
      <c r="B819" s="4" t="s">
        <v>4489</v>
      </c>
      <c r="C819" s="4">
        <f>VLOOKUP(A819, [1]Planilha1!$A$3:$B$1015,2,FALSE)</f>
        <v>5784</v>
      </c>
      <c r="D819" s="4">
        <f t="shared" si="12"/>
        <v>1.6066666666666667</v>
      </c>
      <c r="E819" s="4" t="s">
        <v>1125</v>
      </c>
      <c r="F819" s="3" t="s">
        <v>4767</v>
      </c>
      <c r="G819" s="3" t="s">
        <v>44</v>
      </c>
      <c r="H819" s="3" t="s">
        <v>44</v>
      </c>
      <c r="I819" s="3" t="s">
        <v>33</v>
      </c>
      <c r="J819" s="3" t="s">
        <v>41</v>
      </c>
      <c r="L819" s="1">
        <v>46030.376342592594</v>
      </c>
      <c r="M819" s="1">
        <v>46030.378831018519</v>
      </c>
      <c r="N819" s="1">
        <v>46030.412303240744</v>
      </c>
      <c r="O819" s="3" t="s">
        <v>43</v>
      </c>
      <c r="P819" s="3" t="s">
        <v>4489</v>
      </c>
      <c r="Q819" s="3" t="s">
        <v>42</v>
      </c>
      <c r="R819" s="3" t="s">
        <v>4488</v>
      </c>
      <c r="S819" s="3" t="s">
        <v>96</v>
      </c>
      <c r="T819" s="3" t="s">
        <v>95</v>
      </c>
      <c r="U819" s="4" t="b">
        <v>1</v>
      </c>
      <c r="V819" s="3" t="s">
        <v>31</v>
      </c>
      <c r="W819" s="1"/>
      <c r="Y819" s="3" t="s">
        <v>32</v>
      </c>
      <c r="Z819" s="3" t="s">
        <v>32</v>
      </c>
      <c r="AA819" s="3"/>
      <c r="AB819" s="3"/>
      <c r="AC819" s="4" t="s">
        <v>30</v>
      </c>
      <c r="AD819" s="3"/>
      <c r="AE819" s="3" t="s">
        <v>4489</v>
      </c>
      <c r="AF819" s="4" t="s">
        <v>30</v>
      </c>
      <c r="AH819" s="4">
        <v>1</v>
      </c>
      <c r="AI819" s="3" t="s">
        <v>4766</v>
      </c>
      <c r="AJ819" s="4" t="s">
        <v>5940</v>
      </c>
      <c r="AK819" s="4"/>
      <c r="AL819" s="3"/>
    </row>
    <row r="820" spans="1:38" x14ac:dyDescent="0.35">
      <c r="A820" s="3" t="s">
        <v>4768</v>
      </c>
      <c r="B820" s="4" t="s">
        <v>4773</v>
      </c>
      <c r="C820" s="4">
        <f>VLOOKUP(A820, [1]Planilha1!$A$3:$B$1015,2,FALSE)</f>
        <v>4648</v>
      </c>
      <c r="D820" s="4">
        <f t="shared" si="12"/>
        <v>1.2911111111111111</v>
      </c>
      <c r="E820" s="4" t="s">
        <v>1125</v>
      </c>
      <c r="F820" s="3" t="s">
        <v>4771</v>
      </c>
      <c r="G820" s="3" t="s">
        <v>4769</v>
      </c>
      <c r="H820" s="3" t="s">
        <v>428</v>
      </c>
      <c r="I820" s="3" t="s">
        <v>33</v>
      </c>
      <c r="J820" s="3" t="s">
        <v>41</v>
      </c>
      <c r="L820" s="1">
        <v>46030.370127314818</v>
      </c>
      <c r="M820" s="1">
        <v>46030.370127314818</v>
      </c>
      <c r="N820" s="1">
        <v>46030.39130787037</v>
      </c>
      <c r="O820" s="3" t="s">
        <v>427</v>
      </c>
      <c r="P820" s="3" t="s">
        <v>4773</v>
      </c>
      <c r="Q820" s="3" t="s">
        <v>42</v>
      </c>
      <c r="R820" s="3" t="s">
        <v>4772</v>
      </c>
      <c r="S820" s="3" t="s">
        <v>37</v>
      </c>
      <c r="T820" s="3" t="s">
        <v>36</v>
      </c>
      <c r="U820" s="4" t="b">
        <v>1</v>
      </c>
      <c r="V820" s="3" t="s">
        <v>28</v>
      </c>
      <c r="W820" s="1"/>
      <c r="Y820" s="3" t="s">
        <v>29</v>
      </c>
      <c r="Z820" s="3" t="s">
        <v>29</v>
      </c>
      <c r="AA820" s="3"/>
      <c r="AB820" s="3"/>
      <c r="AC820" s="4" t="s">
        <v>30</v>
      </c>
      <c r="AD820" s="3"/>
      <c r="AE820" s="3" t="s">
        <v>4773</v>
      </c>
      <c r="AF820" s="4" t="s">
        <v>30</v>
      </c>
      <c r="AH820" s="4">
        <v>0</v>
      </c>
      <c r="AI820" s="3" t="s">
        <v>4770</v>
      </c>
      <c r="AJ820" s="4" t="s">
        <v>5941</v>
      </c>
      <c r="AK820" s="4"/>
      <c r="AL820" s="3"/>
    </row>
    <row r="821" spans="1:38" x14ac:dyDescent="0.35">
      <c r="A821" s="3" t="s">
        <v>4774</v>
      </c>
      <c r="B821" s="4" t="s">
        <v>2300</v>
      </c>
      <c r="C821" s="4">
        <f>VLOOKUP(A821, [1]Planilha1!$A$3:$B$1015,2,FALSE)</f>
        <v>11639</v>
      </c>
      <c r="D821" s="4">
        <f t="shared" si="12"/>
        <v>3.2330555555555556</v>
      </c>
      <c r="E821" s="4" t="s">
        <v>1125</v>
      </c>
      <c r="F821" s="3" t="s">
        <v>2297</v>
      </c>
      <c r="G821" s="3" t="s">
        <v>4775</v>
      </c>
      <c r="H821" s="3" t="s">
        <v>44</v>
      </c>
      <c r="I821" s="3" t="s">
        <v>33</v>
      </c>
      <c r="J821" s="3" t="s">
        <v>41</v>
      </c>
      <c r="L821" s="1">
        <v>46030.364317129628</v>
      </c>
      <c r="M821" s="1">
        <v>46030.364317129628</v>
      </c>
      <c r="N821" s="1">
        <v>46030.430995370371</v>
      </c>
      <c r="O821" s="3" t="s">
        <v>43</v>
      </c>
      <c r="P821" s="3" t="s">
        <v>2300</v>
      </c>
      <c r="Q821" s="3" t="s">
        <v>42</v>
      </c>
      <c r="R821" s="3" t="s">
        <v>2299</v>
      </c>
      <c r="S821" s="3" t="s">
        <v>37</v>
      </c>
      <c r="T821" s="3" t="s">
        <v>36</v>
      </c>
      <c r="U821" s="4" t="b">
        <v>1</v>
      </c>
      <c r="V821" s="3" t="s">
        <v>28</v>
      </c>
      <c r="W821" s="1"/>
      <c r="Y821" s="3" t="s">
        <v>29</v>
      </c>
      <c r="Z821" s="3" t="s">
        <v>29</v>
      </c>
      <c r="AA821" s="3"/>
      <c r="AB821" s="3"/>
      <c r="AC821" s="4" t="s">
        <v>30</v>
      </c>
      <c r="AD821" s="3"/>
      <c r="AE821" s="3" t="s">
        <v>2300</v>
      </c>
      <c r="AF821" s="4" t="s">
        <v>30</v>
      </c>
      <c r="AH821" s="4">
        <v>2</v>
      </c>
      <c r="AI821" s="3" t="s">
        <v>4776</v>
      </c>
      <c r="AJ821" s="4" t="s">
        <v>2298</v>
      </c>
      <c r="AK821" s="4"/>
      <c r="AL821" s="3"/>
    </row>
    <row r="822" spans="1:38" x14ac:dyDescent="0.35">
      <c r="A822" s="3" t="s">
        <v>4777</v>
      </c>
      <c r="B822" s="4" t="s">
        <v>4781</v>
      </c>
      <c r="C822" s="4">
        <f>VLOOKUP(A822, [1]Planilha1!$A$3:$B$1015,2,FALSE)</f>
        <v>5353</v>
      </c>
      <c r="D822" s="4">
        <f t="shared" si="12"/>
        <v>1.4869444444444444</v>
      </c>
      <c r="E822" s="4" t="s">
        <v>1125</v>
      </c>
      <c r="F822" s="3" t="s">
        <v>1254</v>
      </c>
      <c r="G822" s="3" t="s">
        <v>4778</v>
      </c>
      <c r="H822" s="3" t="s">
        <v>138</v>
      </c>
      <c r="I822" s="3" t="s">
        <v>33</v>
      </c>
      <c r="J822" s="3" t="s">
        <v>41</v>
      </c>
      <c r="L822" s="1">
        <v>46030.34516203704</v>
      </c>
      <c r="M822" s="1">
        <v>46030.34516203704</v>
      </c>
      <c r="N822" s="1">
        <v>46030.385706018518</v>
      </c>
      <c r="O822" s="3" t="s">
        <v>137</v>
      </c>
      <c r="P822" s="3" t="s">
        <v>4781</v>
      </c>
      <c r="Q822" s="3" t="s">
        <v>42</v>
      </c>
      <c r="R822" s="3" t="s">
        <v>1256</v>
      </c>
      <c r="S822" s="3" t="s">
        <v>37</v>
      </c>
      <c r="T822" s="3" t="s">
        <v>36</v>
      </c>
      <c r="U822" s="4" t="b">
        <v>1</v>
      </c>
      <c r="V822" s="3" t="s">
        <v>28</v>
      </c>
      <c r="W822" s="1"/>
      <c r="Y822" s="3" t="s">
        <v>29</v>
      </c>
      <c r="Z822" s="3" t="s">
        <v>29</v>
      </c>
      <c r="AA822" s="3"/>
      <c r="AB822" s="3"/>
      <c r="AC822" s="4" t="s">
        <v>30</v>
      </c>
      <c r="AD822" s="3"/>
      <c r="AE822" s="3" t="s">
        <v>4781</v>
      </c>
      <c r="AF822" s="4" t="s">
        <v>30</v>
      </c>
      <c r="AH822" s="4">
        <v>0</v>
      </c>
      <c r="AI822" s="3" t="s">
        <v>4779</v>
      </c>
      <c r="AJ822" s="4" t="s">
        <v>4780</v>
      </c>
      <c r="AK822" s="4"/>
      <c r="AL822" s="3"/>
    </row>
    <row r="823" spans="1:38" x14ac:dyDescent="0.35">
      <c r="A823" s="3" t="s">
        <v>4782</v>
      </c>
      <c r="B823" s="4" t="s">
        <v>4788</v>
      </c>
      <c r="C823" s="4">
        <f>VLOOKUP(A823, [1]Planilha1!$A$3:$B$1015,2,FALSE)</f>
        <v>9027</v>
      </c>
      <c r="D823" s="4">
        <f t="shared" si="12"/>
        <v>2.5074999999999998</v>
      </c>
      <c r="E823" s="4" t="s">
        <v>1125</v>
      </c>
      <c r="F823" s="3" t="s">
        <v>4785</v>
      </c>
      <c r="G823" s="3" t="s">
        <v>4783</v>
      </c>
      <c r="H823" s="3" t="s">
        <v>428</v>
      </c>
      <c r="I823" s="3" t="s">
        <v>33</v>
      </c>
      <c r="J823" s="3" t="s">
        <v>41</v>
      </c>
      <c r="L823" s="1">
        <v>46030.242060185185</v>
      </c>
      <c r="M823" s="1">
        <v>46030.242060185185</v>
      </c>
      <c r="N823" s="1">
        <v>46030.382048611114</v>
      </c>
      <c r="O823" s="3" t="s">
        <v>427</v>
      </c>
      <c r="P823" s="3" t="s">
        <v>4788</v>
      </c>
      <c r="Q823" s="3" t="s">
        <v>42</v>
      </c>
      <c r="R823" s="3" t="s">
        <v>4787</v>
      </c>
      <c r="S823" s="3" t="s">
        <v>37</v>
      </c>
      <c r="T823" s="3" t="s">
        <v>36</v>
      </c>
      <c r="U823" s="4" t="b">
        <v>1</v>
      </c>
      <c r="V823" s="3" t="s">
        <v>28</v>
      </c>
      <c r="W823" s="1"/>
      <c r="Y823" s="3" t="s">
        <v>29</v>
      </c>
      <c r="Z823" s="3" t="s">
        <v>29</v>
      </c>
      <c r="AA823" s="3"/>
      <c r="AB823" s="3"/>
      <c r="AC823" s="4" t="s">
        <v>30</v>
      </c>
      <c r="AD823" s="3"/>
      <c r="AE823" s="3" t="s">
        <v>4788</v>
      </c>
      <c r="AF823" s="4" t="s">
        <v>30</v>
      </c>
      <c r="AH823" s="4">
        <v>0</v>
      </c>
      <c r="AI823" s="3" t="s">
        <v>4784</v>
      </c>
      <c r="AJ823" s="4" t="s">
        <v>4786</v>
      </c>
      <c r="AK823" s="4"/>
      <c r="AL823" s="3"/>
    </row>
    <row r="824" spans="1:38" x14ac:dyDescent="0.35">
      <c r="A824" s="3" t="s">
        <v>4789</v>
      </c>
      <c r="B824" s="4" t="s">
        <v>3066</v>
      </c>
      <c r="C824" s="4">
        <f>VLOOKUP(A824, [1]Planilha1!$A$3:$B$1015,2,FALSE)</f>
        <v>17659</v>
      </c>
      <c r="D824" s="4">
        <f t="shared" si="12"/>
        <v>4.9052777777777781</v>
      </c>
      <c r="E824" s="4" t="s">
        <v>1125</v>
      </c>
      <c r="F824" s="3" t="s">
        <v>3063</v>
      </c>
      <c r="G824" s="3" t="s">
        <v>4790</v>
      </c>
      <c r="H824" s="3" t="s">
        <v>171</v>
      </c>
      <c r="I824" s="3" t="s">
        <v>33</v>
      </c>
      <c r="J824" s="3" t="s">
        <v>41</v>
      </c>
      <c r="K824" s="3" t="s">
        <v>4792</v>
      </c>
      <c r="L824" s="1">
        <v>46029.789953703701</v>
      </c>
      <c r="M824" s="1">
        <v>46029.789953703701</v>
      </c>
      <c r="N824" s="1">
        <v>46030.414780092593</v>
      </c>
      <c r="O824" s="3" t="s">
        <v>170</v>
      </c>
      <c r="P824" s="3" t="s">
        <v>3066</v>
      </c>
      <c r="Q824" s="3" t="s">
        <v>42</v>
      </c>
      <c r="R824" s="3" t="s">
        <v>3065</v>
      </c>
      <c r="S824" s="3" t="s">
        <v>37</v>
      </c>
      <c r="T824" s="3" t="s">
        <v>36</v>
      </c>
      <c r="U824" s="4" t="b">
        <v>1</v>
      </c>
      <c r="V824" s="3" t="s">
        <v>28</v>
      </c>
      <c r="W824" s="1"/>
      <c r="Y824" s="3" t="s">
        <v>29</v>
      </c>
      <c r="Z824" s="3" t="s">
        <v>29</v>
      </c>
      <c r="AA824" s="3"/>
      <c r="AB824" s="3"/>
      <c r="AC824" s="4" t="s">
        <v>30</v>
      </c>
      <c r="AD824" s="3"/>
      <c r="AE824" s="3" t="s">
        <v>3066</v>
      </c>
      <c r="AF824" s="4" t="s">
        <v>30</v>
      </c>
      <c r="AH824" s="4">
        <v>1</v>
      </c>
      <c r="AI824" s="3" t="s">
        <v>4791</v>
      </c>
      <c r="AJ824" s="4" t="s">
        <v>3064</v>
      </c>
      <c r="AK824" s="4"/>
      <c r="AL824" s="3"/>
    </row>
    <row r="825" spans="1:38" x14ac:dyDescent="0.35">
      <c r="A825" s="3" t="s">
        <v>4793</v>
      </c>
      <c r="B825" s="4" t="s">
        <v>4796</v>
      </c>
      <c r="C825" s="4">
        <f>VLOOKUP(A825, [1]Planilha1!$A$3:$B$1015,2,FALSE)</f>
        <v>9568</v>
      </c>
      <c r="D825" s="4">
        <f t="shared" si="12"/>
        <v>2.6577777777777776</v>
      </c>
      <c r="E825" s="4" t="s">
        <v>1125</v>
      </c>
      <c r="F825" s="3" t="s">
        <v>3833</v>
      </c>
      <c r="G825" s="3" t="s">
        <v>4794</v>
      </c>
      <c r="H825" s="3" t="s">
        <v>44</v>
      </c>
      <c r="I825" s="3" t="s">
        <v>33</v>
      </c>
      <c r="J825" s="3" t="s">
        <v>41</v>
      </c>
      <c r="L825" s="1">
        <v>46029.74013888889</v>
      </c>
      <c r="M825" s="1">
        <v>46029.749791666669</v>
      </c>
      <c r="N825" s="1">
        <v>46030.430162037039</v>
      </c>
      <c r="O825" s="3" t="s">
        <v>43</v>
      </c>
      <c r="P825" s="3" t="s">
        <v>4796</v>
      </c>
      <c r="Q825" s="3" t="s">
        <v>42</v>
      </c>
      <c r="R825" s="3" t="s">
        <v>3834</v>
      </c>
      <c r="S825" s="3" t="s">
        <v>62</v>
      </c>
      <c r="T825" s="3" t="s">
        <v>61</v>
      </c>
      <c r="U825" s="4" t="b">
        <v>1</v>
      </c>
      <c r="V825" s="3" t="s">
        <v>31</v>
      </c>
      <c r="W825" s="1"/>
      <c r="Y825" s="3" t="s">
        <v>32</v>
      </c>
      <c r="Z825" s="3" t="s">
        <v>32</v>
      </c>
      <c r="AA825" s="3"/>
      <c r="AB825" s="3"/>
      <c r="AC825" s="4" t="s">
        <v>30</v>
      </c>
      <c r="AD825" s="3"/>
      <c r="AE825" s="3" t="s">
        <v>4796</v>
      </c>
      <c r="AF825" s="4" t="s">
        <v>30</v>
      </c>
      <c r="AH825" s="4">
        <v>1</v>
      </c>
      <c r="AI825" s="3" t="s">
        <v>4795</v>
      </c>
      <c r="AJ825" s="4"/>
      <c r="AK825" s="4"/>
      <c r="AL825" s="3"/>
    </row>
    <row r="826" spans="1:38" x14ac:dyDescent="0.35">
      <c r="A826" s="3" t="s">
        <v>4797</v>
      </c>
      <c r="B826" s="4" t="s">
        <v>58</v>
      </c>
      <c r="C826" s="4">
        <f>VLOOKUP(A826, [1]Planilha1!$A$3:$B$1015,2,FALSE)</f>
        <v>6626</v>
      </c>
      <c r="D826" s="4">
        <f t="shared" si="12"/>
        <v>1.8405555555555555</v>
      </c>
      <c r="E826" s="4" t="s">
        <v>1125</v>
      </c>
      <c r="F826" s="3" t="s">
        <v>54</v>
      </c>
      <c r="G826" s="3" t="s">
        <v>4798</v>
      </c>
      <c r="H826" s="3" t="s">
        <v>154</v>
      </c>
      <c r="I826" s="3" t="s">
        <v>33</v>
      </c>
      <c r="J826" s="3" t="s">
        <v>152</v>
      </c>
      <c r="L826" s="1">
        <v>46029.70925925926</v>
      </c>
      <c r="M826" s="1">
        <v>46029.711655092593</v>
      </c>
      <c r="N826" s="1">
        <v>46034.468773148146</v>
      </c>
      <c r="O826" s="3" t="s">
        <v>153</v>
      </c>
      <c r="P826" s="3" t="s">
        <v>57</v>
      </c>
      <c r="Q826" s="3" t="s">
        <v>52</v>
      </c>
      <c r="R826" s="3" t="s">
        <v>56</v>
      </c>
      <c r="S826" s="3" t="s">
        <v>64</v>
      </c>
      <c r="T826" s="3" t="s">
        <v>63</v>
      </c>
      <c r="U826" s="4" t="b">
        <v>0</v>
      </c>
      <c r="V826" s="3" t="s">
        <v>28</v>
      </c>
      <c r="W826" s="1"/>
      <c r="Y826" s="3" t="s">
        <v>29</v>
      </c>
      <c r="Z826" s="3" t="s">
        <v>29</v>
      </c>
      <c r="AA826" s="3" t="s">
        <v>3154</v>
      </c>
      <c r="AB826" s="3" t="s">
        <v>58</v>
      </c>
      <c r="AC826" s="4" t="s">
        <v>30</v>
      </c>
      <c r="AD826" s="3" t="s">
        <v>59</v>
      </c>
      <c r="AE826" s="3" t="s">
        <v>57</v>
      </c>
      <c r="AF826" s="4" t="s">
        <v>30</v>
      </c>
      <c r="AH826" s="4">
        <v>2</v>
      </c>
      <c r="AI826" s="3" t="s">
        <v>4799</v>
      </c>
      <c r="AJ826" s="4" t="s">
        <v>55</v>
      </c>
      <c r="AK826" s="4" t="s">
        <v>3155</v>
      </c>
      <c r="AL826" s="3"/>
    </row>
    <row r="827" spans="1:38" x14ac:dyDescent="0.35">
      <c r="A827" s="3" t="s">
        <v>4800</v>
      </c>
      <c r="B827" s="4" t="s">
        <v>4804</v>
      </c>
      <c r="C827" s="4">
        <f>VLOOKUP(A827, [1]Planilha1!$A$3:$B$1015,2,FALSE)</f>
        <v>8134</v>
      </c>
      <c r="D827" s="4">
        <f t="shared" si="12"/>
        <v>2.2594444444444446</v>
      </c>
      <c r="E827" s="4" t="s">
        <v>1125</v>
      </c>
      <c r="F827" s="3" t="s">
        <v>4802</v>
      </c>
      <c r="G827" s="3" t="s">
        <v>74</v>
      </c>
      <c r="H827" s="3" t="s">
        <v>44</v>
      </c>
      <c r="I827" s="3" t="s">
        <v>33</v>
      </c>
      <c r="J827" s="3" t="s">
        <v>41</v>
      </c>
      <c r="L827" s="1">
        <v>46029.701469907406</v>
      </c>
      <c r="M827" s="1">
        <v>46029.702928240738</v>
      </c>
      <c r="N827" s="1">
        <v>46030.363842592589</v>
      </c>
      <c r="O827" s="3" t="s">
        <v>43</v>
      </c>
      <c r="P827" s="3" t="s">
        <v>4804</v>
      </c>
      <c r="Q827" s="3" t="s">
        <v>42</v>
      </c>
      <c r="R827" s="3" t="s">
        <v>4803</v>
      </c>
      <c r="S827" s="3" t="s">
        <v>80</v>
      </c>
      <c r="T827" s="3" t="s">
        <v>79</v>
      </c>
      <c r="U827" s="4" t="b">
        <v>1</v>
      </c>
      <c r="V827" s="3" t="s">
        <v>31</v>
      </c>
      <c r="W827" s="1"/>
      <c r="Y827" s="3" t="s">
        <v>32</v>
      </c>
      <c r="Z827" s="3" t="s">
        <v>32</v>
      </c>
      <c r="AA827" s="3"/>
      <c r="AB827" s="3"/>
      <c r="AC827" s="4" t="s">
        <v>30</v>
      </c>
      <c r="AD827" s="3"/>
      <c r="AE827" s="3" t="s">
        <v>4804</v>
      </c>
      <c r="AF827" s="4" t="s">
        <v>30</v>
      </c>
      <c r="AH827" s="4">
        <v>1</v>
      </c>
      <c r="AI827" s="3" t="s">
        <v>4801</v>
      </c>
      <c r="AJ827" s="4"/>
      <c r="AK827" s="4"/>
      <c r="AL827" s="3"/>
    </row>
    <row r="828" spans="1:38" x14ac:dyDescent="0.35">
      <c r="A828" s="3" t="s">
        <v>4805</v>
      </c>
      <c r="B828" s="4" t="s">
        <v>4813</v>
      </c>
      <c r="C828" s="4">
        <f>VLOOKUP(A828, [1]Planilha1!$A$3:$B$1015,2,FALSE)</f>
        <v>13957</v>
      </c>
      <c r="D828" s="4">
        <f t="shared" si="12"/>
        <v>3.8769444444444443</v>
      </c>
      <c r="E828" s="4" t="s">
        <v>1125</v>
      </c>
      <c r="F828" s="3" t="s">
        <v>4810</v>
      </c>
      <c r="G828" s="3" t="s">
        <v>4806</v>
      </c>
      <c r="H828" s="3" t="s">
        <v>225</v>
      </c>
      <c r="I828" s="3" t="s">
        <v>33</v>
      </c>
      <c r="J828" s="3" t="s">
        <v>41</v>
      </c>
      <c r="K828" s="3" t="s">
        <v>4808</v>
      </c>
      <c r="L828" s="1">
        <v>46029.693136574075</v>
      </c>
      <c r="M828" s="1">
        <v>46029.697152777779</v>
      </c>
      <c r="N828" s="1">
        <v>46030.366296296299</v>
      </c>
      <c r="O828" s="3" t="s">
        <v>4809</v>
      </c>
      <c r="P828" s="3" t="s">
        <v>4813</v>
      </c>
      <c r="Q828" s="3" t="s">
        <v>42</v>
      </c>
      <c r="R828" s="3" t="s">
        <v>4812</v>
      </c>
      <c r="S828" s="3" t="s">
        <v>339</v>
      </c>
      <c r="T828" s="3" t="s">
        <v>338</v>
      </c>
      <c r="U828" s="4" t="b">
        <v>1</v>
      </c>
      <c r="V828" s="3" t="s">
        <v>31</v>
      </c>
      <c r="W828" s="1"/>
      <c r="Y828" s="3" t="s">
        <v>32</v>
      </c>
      <c r="Z828" s="3" t="s">
        <v>32</v>
      </c>
      <c r="AA828" s="3"/>
      <c r="AB828" s="3"/>
      <c r="AC828" s="4" t="s">
        <v>30</v>
      </c>
      <c r="AD828" s="3"/>
      <c r="AE828" s="3" t="s">
        <v>4813</v>
      </c>
      <c r="AF828" s="4" t="s">
        <v>30</v>
      </c>
      <c r="AH828" s="4">
        <v>1</v>
      </c>
      <c r="AI828" s="3" t="s">
        <v>4807</v>
      </c>
      <c r="AJ828" s="4" t="s">
        <v>4811</v>
      </c>
      <c r="AK828" s="4"/>
      <c r="AL828" s="3"/>
    </row>
    <row r="829" spans="1:38" x14ac:dyDescent="0.35">
      <c r="A829" s="3" t="s">
        <v>4814</v>
      </c>
      <c r="B829" s="4" t="s">
        <v>4818</v>
      </c>
      <c r="C829" s="4">
        <f>VLOOKUP(A829, [1]Planilha1!$A$3:$B$1015,2,FALSE)</f>
        <v>7536</v>
      </c>
      <c r="D829" s="4">
        <f t="shared" si="12"/>
        <v>2.0933333333333333</v>
      </c>
      <c r="E829" s="4" t="s">
        <v>1125</v>
      </c>
      <c r="F829" s="3" t="s">
        <v>4816</v>
      </c>
      <c r="G829" s="3" t="s">
        <v>74</v>
      </c>
      <c r="H829" s="3" t="s">
        <v>44</v>
      </c>
      <c r="I829" s="3" t="s">
        <v>33</v>
      </c>
      <c r="J829" s="3" t="s">
        <v>41</v>
      </c>
      <c r="L829" s="1">
        <v>46029.691377314812</v>
      </c>
      <c r="M829" s="1">
        <v>46029.692789351851</v>
      </c>
      <c r="N829" s="1">
        <v>46032.75</v>
      </c>
      <c r="O829" s="3" t="s">
        <v>43</v>
      </c>
      <c r="P829" s="3" t="s">
        <v>4818</v>
      </c>
      <c r="Q829" s="3" t="s">
        <v>35</v>
      </c>
      <c r="R829" s="3" t="s">
        <v>4817</v>
      </c>
      <c r="S829" s="3" t="s">
        <v>80</v>
      </c>
      <c r="T829" s="3" t="s">
        <v>79</v>
      </c>
      <c r="U829" s="4" t="b">
        <v>1</v>
      </c>
      <c r="V829" s="3" t="s">
        <v>31</v>
      </c>
      <c r="W829" s="1"/>
      <c r="Y829" s="3" t="s">
        <v>32</v>
      </c>
      <c r="Z829" s="3" t="s">
        <v>32</v>
      </c>
      <c r="AA829" s="3"/>
      <c r="AB829" s="3"/>
      <c r="AC829" s="4" t="s">
        <v>30</v>
      </c>
      <c r="AD829" s="3"/>
      <c r="AE829" s="3" t="s">
        <v>4818</v>
      </c>
      <c r="AF829" s="4" t="s">
        <v>30</v>
      </c>
      <c r="AH829" s="4">
        <v>1</v>
      </c>
      <c r="AI829" s="3" t="s">
        <v>4815</v>
      </c>
      <c r="AJ829" s="4"/>
      <c r="AK829" s="4"/>
      <c r="AL829" s="3"/>
    </row>
    <row r="830" spans="1:38" x14ac:dyDescent="0.35">
      <c r="A830" s="3" t="s">
        <v>4819</v>
      </c>
      <c r="B830" s="4" t="s">
        <v>4823</v>
      </c>
      <c r="C830" s="4">
        <f>VLOOKUP(A830, [1]Planilha1!$A$3:$B$1015,2,FALSE)</f>
        <v>2664</v>
      </c>
      <c r="D830" s="4">
        <f t="shared" si="12"/>
        <v>0.74</v>
      </c>
      <c r="E830" s="4" t="s">
        <v>1125</v>
      </c>
      <c r="F830" s="3" t="s">
        <v>4821</v>
      </c>
      <c r="G830" s="3" t="s">
        <v>1231</v>
      </c>
      <c r="H830" s="3" t="s">
        <v>44</v>
      </c>
      <c r="I830" s="3" t="s">
        <v>33</v>
      </c>
      <c r="J830" s="3" t="s">
        <v>41</v>
      </c>
      <c r="L830" s="1">
        <v>46029.687662037039</v>
      </c>
      <c r="M830" s="1">
        <v>46029.688564814816</v>
      </c>
      <c r="N830" s="1">
        <v>46029.703981481478</v>
      </c>
      <c r="O830" s="3" t="s">
        <v>43</v>
      </c>
      <c r="P830" s="3" t="s">
        <v>4823</v>
      </c>
      <c r="Q830" s="3" t="s">
        <v>42</v>
      </c>
      <c r="R830" s="3" t="s">
        <v>4822</v>
      </c>
      <c r="S830" s="3" t="s">
        <v>1234</v>
      </c>
      <c r="T830" s="3" t="s">
        <v>1233</v>
      </c>
      <c r="U830" s="4" t="b">
        <v>1</v>
      </c>
      <c r="V830" s="3" t="s">
        <v>31</v>
      </c>
      <c r="W830" s="1"/>
      <c r="Y830" s="3" t="s">
        <v>32</v>
      </c>
      <c r="Z830" s="3" t="s">
        <v>32</v>
      </c>
      <c r="AA830" s="3"/>
      <c r="AB830" s="3"/>
      <c r="AC830" s="4" t="s">
        <v>30</v>
      </c>
      <c r="AD830" s="3"/>
      <c r="AE830" s="3" t="s">
        <v>4823</v>
      </c>
      <c r="AF830" s="4" t="s">
        <v>30</v>
      </c>
      <c r="AH830" s="4">
        <v>1</v>
      </c>
      <c r="AI830" s="3" t="s">
        <v>4820</v>
      </c>
      <c r="AJ830" s="4"/>
      <c r="AK830" s="4"/>
      <c r="AL830" s="3"/>
    </row>
    <row r="831" spans="1:38" x14ac:dyDescent="0.35">
      <c r="A831" s="3" t="s">
        <v>4824</v>
      </c>
      <c r="B831" s="4" t="s">
        <v>4828</v>
      </c>
      <c r="C831" s="4">
        <f>VLOOKUP(A831, [1]Planilha1!$A$3:$B$1015,2,FALSE)</f>
        <v>2536</v>
      </c>
      <c r="D831" s="4">
        <f t="shared" si="12"/>
        <v>0.70444444444444443</v>
      </c>
      <c r="E831" s="4" t="s">
        <v>1125</v>
      </c>
      <c r="F831" s="3" t="s">
        <v>4826</v>
      </c>
      <c r="G831" s="3" t="s">
        <v>74</v>
      </c>
      <c r="H831" s="3" t="s">
        <v>44</v>
      </c>
      <c r="I831" s="3" t="s">
        <v>33</v>
      </c>
      <c r="J831" s="3" t="s">
        <v>41</v>
      </c>
      <c r="L831" s="1">
        <v>46029.658449074072</v>
      </c>
      <c r="M831" s="1">
        <v>46029.660104166665</v>
      </c>
      <c r="N831" s="1">
        <v>46029.674780092595</v>
      </c>
      <c r="O831" s="3" t="s">
        <v>43</v>
      </c>
      <c r="P831" s="3" t="s">
        <v>4828</v>
      </c>
      <c r="Q831" s="3" t="s">
        <v>42</v>
      </c>
      <c r="R831" s="3" t="s">
        <v>4827</v>
      </c>
      <c r="S831" s="3" t="s">
        <v>80</v>
      </c>
      <c r="T831" s="3" t="s">
        <v>79</v>
      </c>
      <c r="U831" s="4" t="b">
        <v>1</v>
      </c>
      <c r="V831" s="3" t="s">
        <v>31</v>
      </c>
      <c r="W831" s="1"/>
      <c r="Y831" s="3" t="s">
        <v>32</v>
      </c>
      <c r="Z831" s="3" t="s">
        <v>32</v>
      </c>
      <c r="AA831" s="3"/>
      <c r="AB831" s="3"/>
      <c r="AC831" s="4" t="s">
        <v>30</v>
      </c>
      <c r="AD831" s="3"/>
      <c r="AE831" s="3" t="s">
        <v>4828</v>
      </c>
      <c r="AF831" s="4" t="s">
        <v>30</v>
      </c>
      <c r="AH831" s="4">
        <v>1</v>
      </c>
      <c r="AI831" s="3" t="s">
        <v>4825</v>
      </c>
      <c r="AJ831" s="4"/>
      <c r="AK831" s="4"/>
      <c r="AL831" s="3"/>
    </row>
    <row r="832" spans="1:38" x14ac:dyDescent="0.35">
      <c r="A832" s="3" t="s">
        <v>4829</v>
      </c>
      <c r="B832" s="4"/>
      <c r="C832" s="4">
        <f>VLOOKUP(A832, [1]Planilha1!$A$3:$B$1015,2,FALSE)</f>
        <v>68180</v>
      </c>
      <c r="D832" s="4">
        <f t="shared" si="12"/>
        <v>18.93888888888889</v>
      </c>
      <c r="E832" s="4" t="s">
        <v>1125</v>
      </c>
      <c r="F832" s="3" t="s">
        <v>4832</v>
      </c>
      <c r="G832" s="3" t="s">
        <v>4830</v>
      </c>
      <c r="H832" s="3" t="s">
        <v>428</v>
      </c>
      <c r="I832" s="3" t="s">
        <v>33</v>
      </c>
      <c r="J832" s="3" t="s">
        <v>41</v>
      </c>
      <c r="L832" s="1">
        <v>46029.656458333331</v>
      </c>
      <c r="M832" s="1">
        <v>46029.656458333331</v>
      </c>
      <c r="N832" s="1">
        <v>46030.613518518519</v>
      </c>
      <c r="O832" s="3" t="s">
        <v>427</v>
      </c>
      <c r="Q832" s="3" t="s">
        <v>35</v>
      </c>
      <c r="R832" s="3" t="s">
        <v>4834</v>
      </c>
      <c r="S832" s="3" t="s">
        <v>37</v>
      </c>
      <c r="T832" s="3" t="s">
        <v>36</v>
      </c>
      <c r="U832" s="4" t="b">
        <v>1</v>
      </c>
      <c r="V832" s="3" t="s">
        <v>28</v>
      </c>
      <c r="W832" s="1"/>
      <c r="Y832" s="3" t="s">
        <v>29</v>
      </c>
      <c r="Z832" s="3" t="s">
        <v>29</v>
      </c>
      <c r="AA832" s="3"/>
      <c r="AB832" s="3"/>
      <c r="AC832" s="4" t="s">
        <v>30</v>
      </c>
      <c r="AD832" s="3"/>
      <c r="AE832" s="3"/>
      <c r="AF832" s="4" t="s">
        <v>30</v>
      </c>
      <c r="AH832" s="4">
        <v>1</v>
      </c>
      <c r="AI832" s="3" t="s">
        <v>4831</v>
      </c>
      <c r="AJ832" s="4" t="s">
        <v>4833</v>
      </c>
      <c r="AK832" s="4"/>
      <c r="AL832" s="3"/>
    </row>
    <row r="833" spans="1:38" x14ac:dyDescent="0.35">
      <c r="A833" s="3" t="s">
        <v>4835</v>
      </c>
      <c r="B833" s="4" t="s">
        <v>4841</v>
      </c>
      <c r="C833" s="4">
        <f>VLOOKUP(A833, [1]Planilha1!$A$3:$B$1015,2,FALSE)</f>
        <v>0</v>
      </c>
      <c r="D833" s="4">
        <f t="shared" si="12"/>
        <v>0</v>
      </c>
      <c r="E833" s="4" t="s">
        <v>1125</v>
      </c>
      <c r="F833" s="3" t="s">
        <v>4838</v>
      </c>
      <c r="G833" s="3" t="s">
        <v>214</v>
      </c>
      <c r="H833" s="3" t="s">
        <v>44</v>
      </c>
      <c r="I833" s="3" t="s">
        <v>33</v>
      </c>
      <c r="J833" s="3" t="s">
        <v>60</v>
      </c>
      <c r="K833" s="3" t="s">
        <v>4837</v>
      </c>
      <c r="L833" s="1">
        <v>46029.656400462962</v>
      </c>
      <c r="M833" s="1">
        <v>46029.673414351855</v>
      </c>
      <c r="N833" s="1">
        <v>46032.708333333336</v>
      </c>
      <c r="O833" s="3" t="s">
        <v>43</v>
      </c>
      <c r="P833" s="3" t="s">
        <v>4841</v>
      </c>
      <c r="Q833" s="3" t="s">
        <v>35</v>
      </c>
      <c r="R833" s="3" t="s">
        <v>4840</v>
      </c>
      <c r="S833" s="3" t="s">
        <v>144</v>
      </c>
      <c r="T833" s="3" t="s">
        <v>143</v>
      </c>
      <c r="U833" s="4" t="b">
        <v>1</v>
      </c>
      <c r="V833" s="3" t="s">
        <v>31</v>
      </c>
      <c r="W833" s="1"/>
      <c r="Y833" s="3" t="s">
        <v>32</v>
      </c>
      <c r="Z833" s="3" t="s">
        <v>32</v>
      </c>
      <c r="AA833" s="3"/>
      <c r="AB833" s="3"/>
      <c r="AC833" s="4" t="s">
        <v>30</v>
      </c>
      <c r="AD833" s="3"/>
      <c r="AE833" s="3" t="s">
        <v>4841</v>
      </c>
      <c r="AF833" s="4" t="s">
        <v>30</v>
      </c>
      <c r="AH833" s="4">
        <v>0</v>
      </c>
      <c r="AI833" s="3" t="s">
        <v>4836</v>
      </c>
      <c r="AJ833" s="4" t="s">
        <v>4839</v>
      </c>
      <c r="AK833" s="4"/>
      <c r="AL833" s="3"/>
    </row>
    <row r="834" spans="1:38" x14ac:dyDescent="0.35">
      <c r="A834" s="3" t="s">
        <v>4842</v>
      </c>
      <c r="B834" s="4" t="s">
        <v>4619</v>
      </c>
      <c r="C834" s="4">
        <f>VLOOKUP(A834, [1]Planilha1!$A$3:$B$1015,2,FALSE)</f>
        <v>0</v>
      </c>
      <c r="D834" s="4">
        <f t="shared" si="12"/>
        <v>0</v>
      </c>
      <c r="E834" s="4" t="s">
        <v>1125</v>
      </c>
      <c r="F834" s="3" t="s">
        <v>4616</v>
      </c>
      <c r="G834" s="3" t="s">
        <v>214</v>
      </c>
      <c r="H834" s="3" t="s">
        <v>44</v>
      </c>
      <c r="I834" s="3" t="s">
        <v>33</v>
      </c>
      <c r="J834" s="3" t="s">
        <v>60</v>
      </c>
      <c r="K834" s="3" t="s">
        <v>4844</v>
      </c>
      <c r="L834" s="1">
        <v>46029.64539351852</v>
      </c>
      <c r="M834" s="1">
        <v>46029.668090277781</v>
      </c>
      <c r="N834" s="1">
        <v>46032.708333333336</v>
      </c>
      <c r="O834" s="3" t="s">
        <v>43</v>
      </c>
      <c r="P834" s="3" t="s">
        <v>4619</v>
      </c>
      <c r="Q834" s="3" t="s">
        <v>35</v>
      </c>
      <c r="R834" s="3" t="s">
        <v>4618</v>
      </c>
      <c r="S834" s="3" t="s">
        <v>144</v>
      </c>
      <c r="T834" s="3" t="s">
        <v>143</v>
      </c>
      <c r="U834" s="4" t="b">
        <v>1</v>
      </c>
      <c r="V834" s="3" t="s">
        <v>31</v>
      </c>
      <c r="W834" s="1"/>
      <c r="Y834" s="3" t="s">
        <v>32</v>
      </c>
      <c r="Z834" s="3" t="s">
        <v>32</v>
      </c>
      <c r="AA834" s="3"/>
      <c r="AB834" s="3"/>
      <c r="AC834" s="4" t="s">
        <v>30</v>
      </c>
      <c r="AD834" s="3"/>
      <c r="AE834" s="3" t="s">
        <v>4619</v>
      </c>
      <c r="AF834" s="4" t="s">
        <v>30</v>
      </c>
      <c r="AH834" s="4">
        <v>0</v>
      </c>
      <c r="AI834" s="3" t="s">
        <v>4843</v>
      </c>
      <c r="AJ834" s="4" t="s">
        <v>4617</v>
      </c>
      <c r="AK834" s="4"/>
      <c r="AL834" s="3"/>
    </row>
    <row r="835" spans="1:38" x14ac:dyDescent="0.35">
      <c r="A835" s="3" t="s">
        <v>4849</v>
      </c>
      <c r="B835" s="4" t="s">
        <v>4855</v>
      </c>
      <c r="C835" s="4">
        <f>VLOOKUP(A835, [1]Planilha1!$A$3:$B$1015,2,FALSE)</f>
        <v>70808</v>
      </c>
      <c r="D835" s="4">
        <f t="shared" ref="D835:D898" si="13">C835/3600</f>
        <v>19.66888888888889</v>
      </c>
      <c r="E835" s="4" t="s">
        <v>1125</v>
      </c>
      <c r="F835" s="3" t="s">
        <v>4852</v>
      </c>
      <c r="G835" s="3" t="s">
        <v>4850</v>
      </c>
      <c r="H835" s="3" t="s">
        <v>224</v>
      </c>
      <c r="I835" s="3" t="s">
        <v>33</v>
      </c>
      <c r="J835" s="3" t="s">
        <v>41</v>
      </c>
      <c r="L835" s="1">
        <v>46029.638483796298</v>
      </c>
      <c r="M835" s="1">
        <v>46029.638483796298</v>
      </c>
      <c r="N835" s="1">
        <v>46030.610752314817</v>
      </c>
      <c r="O835" s="3" t="s">
        <v>223</v>
      </c>
      <c r="P835" s="3" t="s">
        <v>4855</v>
      </c>
      <c r="Q835" s="3" t="s">
        <v>35</v>
      </c>
      <c r="R835" s="3" t="s">
        <v>4854</v>
      </c>
      <c r="S835" s="3" t="s">
        <v>37</v>
      </c>
      <c r="T835" s="3" t="s">
        <v>36</v>
      </c>
      <c r="U835" s="4" t="b">
        <v>1</v>
      </c>
      <c r="V835" s="3" t="s">
        <v>28</v>
      </c>
      <c r="W835" s="1"/>
      <c r="Y835" s="3" t="s">
        <v>29</v>
      </c>
      <c r="Z835" s="3" t="s">
        <v>29</v>
      </c>
      <c r="AA835" s="3"/>
      <c r="AB835" s="3"/>
      <c r="AC835" s="4" t="s">
        <v>30</v>
      </c>
      <c r="AD835" s="3"/>
      <c r="AE835" s="3" t="s">
        <v>4855</v>
      </c>
      <c r="AF835" s="4" t="s">
        <v>30</v>
      </c>
      <c r="AH835" s="4">
        <v>1</v>
      </c>
      <c r="AI835" s="3" t="s">
        <v>4851</v>
      </c>
      <c r="AJ835" s="4" t="s">
        <v>4853</v>
      </c>
      <c r="AK835" s="4"/>
      <c r="AL835" s="3"/>
    </row>
    <row r="836" spans="1:38" x14ac:dyDescent="0.35">
      <c r="A836" s="3" t="s">
        <v>4856</v>
      </c>
      <c r="B836" s="4" t="s">
        <v>4862</v>
      </c>
      <c r="C836" s="4">
        <f>VLOOKUP(A836, [1]Planilha1!$A$3:$B$1015,2,FALSE)</f>
        <v>3260</v>
      </c>
      <c r="D836" s="4">
        <f t="shared" si="13"/>
        <v>0.90555555555555556</v>
      </c>
      <c r="E836" s="4" t="s">
        <v>1125</v>
      </c>
      <c r="F836" s="3" t="s">
        <v>4859</v>
      </c>
      <c r="G836" s="3" t="s">
        <v>100</v>
      </c>
      <c r="H836" s="3" t="s">
        <v>44</v>
      </c>
      <c r="I836" s="3" t="s">
        <v>33</v>
      </c>
      <c r="J836" s="3" t="s">
        <v>41</v>
      </c>
      <c r="K836" s="3" t="s">
        <v>4858</v>
      </c>
      <c r="L836" s="1">
        <v>46029.630856481483</v>
      </c>
      <c r="M836" s="1">
        <v>46029.649131944447</v>
      </c>
      <c r="N836" s="1">
        <v>46029.667997685188</v>
      </c>
      <c r="O836" s="3" t="s">
        <v>43</v>
      </c>
      <c r="P836" s="3" t="s">
        <v>4862</v>
      </c>
      <c r="Q836" s="3" t="s">
        <v>42</v>
      </c>
      <c r="R836" s="3" t="s">
        <v>4861</v>
      </c>
      <c r="S836" s="3" t="s">
        <v>190</v>
      </c>
      <c r="T836" s="3" t="s">
        <v>189</v>
      </c>
      <c r="U836" s="4" t="b">
        <v>1</v>
      </c>
      <c r="V836" s="3" t="s">
        <v>31</v>
      </c>
      <c r="W836" s="1"/>
      <c r="Y836" s="3" t="s">
        <v>32</v>
      </c>
      <c r="Z836" s="3" t="s">
        <v>32</v>
      </c>
      <c r="AA836" s="3"/>
      <c r="AB836" s="3"/>
      <c r="AC836" s="4" t="s">
        <v>30</v>
      </c>
      <c r="AD836" s="3"/>
      <c r="AE836" s="3" t="s">
        <v>4862</v>
      </c>
      <c r="AF836" s="4" t="s">
        <v>30</v>
      </c>
      <c r="AH836" s="4">
        <v>1</v>
      </c>
      <c r="AI836" s="3" t="s">
        <v>4857</v>
      </c>
      <c r="AJ836" s="4" t="s">
        <v>4860</v>
      </c>
      <c r="AK836" s="4"/>
      <c r="AL836" s="3"/>
    </row>
    <row r="837" spans="1:38" x14ac:dyDescent="0.35">
      <c r="A837" s="3" t="s">
        <v>4863</v>
      </c>
      <c r="B837" s="4" t="s">
        <v>4847</v>
      </c>
      <c r="C837" s="4">
        <f>VLOOKUP(A837, [1]Planilha1!$A$3:$B$1015,2,FALSE)</f>
        <v>0</v>
      </c>
      <c r="D837" s="4">
        <f t="shared" si="13"/>
        <v>0</v>
      </c>
      <c r="E837" s="4" t="s">
        <v>1125</v>
      </c>
      <c r="F837" s="3" t="s">
        <v>4845</v>
      </c>
      <c r="G837" s="3" t="s">
        <v>677</v>
      </c>
      <c r="H837" s="3" t="s">
        <v>677</v>
      </c>
      <c r="I837" s="3" t="s">
        <v>33</v>
      </c>
      <c r="J837" s="3" t="s">
        <v>60</v>
      </c>
      <c r="K837" s="3" t="s">
        <v>4865</v>
      </c>
      <c r="L837" s="1">
        <v>46029.629594907405</v>
      </c>
      <c r="M837" s="1">
        <v>46029.636921296296</v>
      </c>
      <c r="N837" s="1">
        <v>46032.666666666664</v>
      </c>
      <c r="O837" s="3" t="s">
        <v>1097</v>
      </c>
      <c r="P837" s="3" t="s">
        <v>4847</v>
      </c>
      <c r="Q837" s="3" t="s">
        <v>42</v>
      </c>
      <c r="R837" s="3" t="s">
        <v>4846</v>
      </c>
      <c r="S837" s="3" t="s">
        <v>120</v>
      </c>
      <c r="T837" s="3" t="s">
        <v>119</v>
      </c>
      <c r="U837" s="4" t="b">
        <v>1</v>
      </c>
      <c r="V837" s="3" t="s">
        <v>31</v>
      </c>
      <c r="W837" s="1"/>
      <c r="Y837" s="3" t="s">
        <v>32</v>
      </c>
      <c r="Z837" s="3" t="s">
        <v>32</v>
      </c>
      <c r="AA837" s="3"/>
      <c r="AB837" s="3"/>
      <c r="AC837" s="4" t="s">
        <v>30</v>
      </c>
      <c r="AD837" s="3"/>
      <c r="AE837" s="3" t="s">
        <v>4847</v>
      </c>
      <c r="AF837" s="4" t="s">
        <v>30</v>
      </c>
      <c r="AH837" s="4">
        <v>0</v>
      </c>
      <c r="AI837" s="3" t="s">
        <v>4864</v>
      </c>
      <c r="AJ837" s="4" t="s">
        <v>5942</v>
      </c>
      <c r="AK837" s="4"/>
      <c r="AL837" s="3"/>
    </row>
    <row r="838" spans="1:38" x14ac:dyDescent="0.35">
      <c r="A838" s="3" t="s">
        <v>4866</v>
      </c>
      <c r="B838" s="4" t="s">
        <v>4870</v>
      </c>
      <c r="C838" s="4">
        <f>VLOOKUP(A838, [1]Planilha1!$A$3:$B$1015,2,FALSE)</f>
        <v>1832</v>
      </c>
      <c r="D838" s="4">
        <f t="shared" si="13"/>
        <v>0.50888888888888884</v>
      </c>
      <c r="E838" s="4" t="s">
        <v>1125</v>
      </c>
      <c r="F838" s="3" t="s">
        <v>4868</v>
      </c>
      <c r="G838" s="3" t="s">
        <v>3166</v>
      </c>
      <c r="H838" s="3" t="s">
        <v>44</v>
      </c>
      <c r="I838" s="3" t="s">
        <v>33</v>
      </c>
      <c r="J838" s="3" t="s">
        <v>41</v>
      </c>
      <c r="L838" s="1">
        <v>46029.617754629631</v>
      </c>
      <c r="M838" s="1">
        <v>46029.620127314818</v>
      </c>
      <c r="N838" s="1">
        <v>46029.630729166667</v>
      </c>
      <c r="O838" s="3" t="s">
        <v>43</v>
      </c>
      <c r="P838" s="3" t="s">
        <v>4870</v>
      </c>
      <c r="Q838" s="3" t="s">
        <v>42</v>
      </c>
      <c r="R838" s="3" t="s">
        <v>4869</v>
      </c>
      <c r="S838" s="3" t="s">
        <v>62</v>
      </c>
      <c r="T838" s="3" t="s">
        <v>61</v>
      </c>
      <c r="U838" s="4" t="b">
        <v>1</v>
      </c>
      <c r="V838" s="3" t="s">
        <v>31</v>
      </c>
      <c r="W838" s="1"/>
      <c r="Y838" s="3" t="s">
        <v>32</v>
      </c>
      <c r="Z838" s="3" t="s">
        <v>32</v>
      </c>
      <c r="AA838" s="3"/>
      <c r="AB838" s="3"/>
      <c r="AC838" s="4" t="s">
        <v>30</v>
      </c>
      <c r="AD838" s="3"/>
      <c r="AE838" s="3" t="s">
        <v>4870</v>
      </c>
      <c r="AF838" s="4" t="s">
        <v>30</v>
      </c>
      <c r="AH838" s="4">
        <v>1</v>
      </c>
      <c r="AI838" s="3" t="s">
        <v>4867</v>
      </c>
      <c r="AJ838" s="4"/>
      <c r="AK838" s="4"/>
      <c r="AL838" s="3"/>
    </row>
    <row r="839" spans="1:38" x14ac:dyDescent="0.35">
      <c r="A839" s="3" t="s">
        <v>4871</v>
      </c>
      <c r="B839" s="4" t="s">
        <v>3500</v>
      </c>
      <c r="C839" s="4">
        <f>VLOOKUP(A839, [1]Planilha1!$A$3:$B$1015,2,FALSE)</f>
        <v>4606</v>
      </c>
      <c r="D839" s="4">
        <f t="shared" si="13"/>
        <v>1.2794444444444444</v>
      </c>
      <c r="E839" s="4" t="s">
        <v>1125</v>
      </c>
      <c r="F839" s="3" t="s">
        <v>3498</v>
      </c>
      <c r="G839" s="3" t="s">
        <v>100</v>
      </c>
      <c r="H839" s="3" t="s">
        <v>44</v>
      </c>
      <c r="I839" s="3" t="s">
        <v>33</v>
      </c>
      <c r="J839" s="3" t="s">
        <v>41</v>
      </c>
      <c r="K839" s="3" t="s">
        <v>4873</v>
      </c>
      <c r="L839" s="1">
        <v>46029.616550925923</v>
      </c>
      <c r="M839" s="1">
        <v>46029.630798611113</v>
      </c>
      <c r="N839" s="1">
        <v>46029.657453703701</v>
      </c>
      <c r="O839" s="3" t="s">
        <v>43</v>
      </c>
      <c r="P839" s="3" t="s">
        <v>3500</v>
      </c>
      <c r="Q839" s="3" t="s">
        <v>42</v>
      </c>
      <c r="R839" s="3" t="s">
        <v>3499</v>
      </c>
      <c r="S839" s="3" t="s">
        <v>190</v>
      </c>
      <c r="T839" s="3" t="s">
        <v>189</v>
      </c>
      <c r="U839" s="4" t="b">
        <v>1</v>
      </c>
      <c r="V839" s="3" t="s">
        <v>31</v>
      </c>
      <c r="W839" s="1"/>
      <c r="Y839" s="3" t="s">
        <v>32</v>
      </c>
      <c r="Z839" s="3" t="s">
        <v>32</v>
      </c>
      <c r="AA839" s="3"/>
      <c r="AB839" s="3"/>
      <c r="AC839" s="4" t="s">
        <v>30</v>
      </c>
      <c r="AD839" s="3"/>
      <c r="AE839" s="3" t="s">
        <v>3500</v>
      </c>
      <c r="AF839" s="4" t="s">
        <v>30</v>
      </c>
      <c r="AH839" s="4">
        <v>1</v>
      </c>
      <c r="AI839" s="3" t="s">
        <v>4872</v>
      </c>
      <c r="AJ839" s="4"/>
      <c r="AK839" s="4"/>
      <c r="AL839" s="3"/>
    </row>
    <row r="840" spans="1:38" x14ac:dyDescent="0.35">
      <c r="A840" s="3" t="s">
        <v>4874</v>
      </c>
      <c r="B840" s="4" t="s">
        <v>4880</v>
      </c>
      <c r="C840" s="4">
        <f>VLOOKUP(A840, [1]Planilha1!$A$3:$B$1015,2,FALSE)</f>
        <v>0</v>
      </c>
      <c r="D840" s="4">
        <f t="shared" si="13"/>
        <v>0</v>
      </c>
      <c r="E840" s="4" t="s">
        <v>1125</v>
      </c>
      <c r="F840" s="3" t="s">
        <v>4877</v>
      </c>
      <c r="G840" s="3" t="s">
        <v>134</v>
      </c>
      <c r="H840" s="3" t="s">
        <v>138</v>
      </c>
      <c r="I840" s="3" t="s">
        <v>33</v>
      </c>
      <c r="J840" s="3" t="s">
        <v>60</v>
      </c>
      <c r="K840" s="3" t="s">
        <v>4876</v>
      </c>
      <c r="L840" s="1">
        <v>46029.613900462966</v>
      </c>
      <c r="M840" s="1">
        <v>46029.644699074073</v>
      </c>
      <c r="N840" s="1">
        <v>46032.666666666664</v>
      </c>
      <c r="O840" s="3" t="s">
        <v>137</v>
      </c>
      <c r="P840" s="3" t="s">
        <v>4880</v>
      </c>
      <c r="Q840" s="3" t="s">
        <v>35</v>
      </c>
      <c r="R840" s="3" t="s">
        <v>4879</v>
      </c>
      <c r="S840" s="3" t="s">
        <v>144</v>
      </c>
      <c r="T840" s="3" t="s">
        <v>143</v>
      </c>
      <c r="U840" s="4" t="b">
        <v>1</v>
      </c>
      <c r="V840" s="3" t="s">
        <v>31</v>
      </c>
      <c r="W840" s="1"/>
      <c r="Y840" s="3" t="s">
        <v>32</v>
      </c>
      <c r="Z840" s="3" t="s">
        <v>32</v>
      </c>
      <c r="AA840" s="3"/>
      <c r="AB840" s="3"/>
      <c r="AC840" s="4" t="s">
        <v>30</v>
      </c>
      <c r="AD840" s="3"/>
      <c r="AE840" s="3" t="s">
        <v>4880</v>
      </c>
      <c r="AF840" s="4" t="s">
        <v>30</v>
      </c>
      <c r="AH840" s="4">
        <v>0</v>
      </c>
      <c r="AI840" s="3" t="s">
        <v>4875</v>
      </c>
      <c r="AJ840" s="4" t="s">
        <v>4878</v>
      </c>
      <c r="AK840" s="4"/>
      <c r="AL840" s="3"/>
    </row>
    <row r="841" spans="1:38" x14ac:dyDescent="0.35">
      <c r="A841" s="3" t="s">
        <v>4881</v>
      </c>
      <c r="B841" s="4" t="s">
        <v>2957</v>
      </c>
      <c r="C841" s="4">
        <f>VLOOKUP(A841, [1]Planilha1!$A$3:$B$1015,2,FALSE)</f>
        <v>3424</v>
      </c>
      <c r="D841" s="4">
        <f t="shared" si="13"/>
        <v>0.95111111111111113</v>
      </c>
      <c r="E841" s="4" t="s">
        <v>1125</v>
      </c>
      <c r="F841" s="3" t="s">
        <v>4884</v>
      </c>
      <c r="G841" s="3" t="s">
        <v>100</v>
      </c>
      <c r="H841" s="3" t="s">
        <v>44</v>
      </c>
      <c r="I841" s="3" t="s">
        <v>33</v>
      </c>
      <c r="J841" s="3" t="s">
        <v>41</v>
      </c>
      <c r="K841" s="3" t="s">
        <v>4883</v>
      </c>
      <c r="L841" s="1">
        <v>46029.613032407404</v>
      </c>
      <c r="M841" s="1">
        <v>46029.615879629629</v>
      </c>
      <c r="N841" s="1">
        <v>46029.635694444441</v>
      </c>
      <c r="O841" s="3" t="s">
        <v>43</v>
      </c>
      <c r="P841" s="3" t="s">
        <v>2957</v>
      </c>
      <c r="Q841" s="3" t="s">
        <v>42</v>
      </c>
      <c r="R841" s="3" t="s">
        <v>4886</v>
      </c>
      <c r="S841" s="3" t="s">
        <v>190</v>
      </c>
      <c r="T841" s="3" t="s">
        <v>189</v>
      </c>
      <c r="U841" s="4" t="b">
        <v>1</v>
      </c>
      <c r="V841" s="3" t="s">
        <v>31</v>
      </c>
      <c r="W841" s="1"/>
      <c r="Y841" s="3" t="s">
        <v>32</v>
      </c>
      <c r="Z841" s="3" t="s">
        <v>32</v>
      </c>
      <c r="AA841" s="3"/>
      <c r="AB841" s="3"/>
      <c r="AC841" s="4" t="s">
        <v>30</v>
      </c>
      <c r="AD841" s="3"/>
      <c r="AE841" s="3" t="s">
        <v>2957</v>
      </c>
      <c r="AF841" s="4" t="s">
        <v>30</v>
      </c>
      <c r="AH841" s="4">
        <v>1</v>
      </c>
      <c r="AI841" s="3" t="s">
        <v>4882</v>
      </c>
      <c r="AJ841" s="4" t="s">
        <v>4885</v>
      </c>
      <c r="AK841" s="4"/>
      <c r="AL841" s="3"/>
    </row>
    <row r="842" spans="1:38" x14ac:dyDescent="0.35">
      <c r="A842" s="3" t="s">
        <v>4887</v>
      </c>
      <c r="B842" s="4" t="s">
        <v>4893</v>
      </c>
      <c r="C842" s="4">
        <f>VLOOKUP(A842, [1]Planilha1!$A$3:$B$1015,2,FALSE)</f>
        <v>0</v>
      </c>
      <c r="D842" s="4">
        <f t="shared" si="13"/>
        <v>0</v>
      </c>
      <c r="E842" s="4" t="s">
        <v>1125</v>
      </c>
      <c r="F842" s="3" t="s">
        <v>4890</v>
      </c>
      <c r="G842" s="3" t="s">
        <v>972</v>
      </c>
      <c r="H842" s="3" t="s">
        <v>171</v>
      </c>
      <c r="I842" s="3" t="s">
        <v>33</v>
      </c>
      <c r="J842" s="3" t="s">
        <v>60</v>
      </c>
      <c r="K842" s="3" t="s">
        <v>4889</v>
      </c>
      <c r="L842" s="1">
        <v>46029.590729166666</v>
      </c>
      <c r="M842" s="1">
        <v>46029.612847222219</v>
      </c>
      <c r="N842" s="1">
        <v>46032.625011574077</v>
      </c>
      <c r="O842" s="3" t="s">
        <v>170</v>
      </c>
      <c r="P842" s="3" t="s">
        <v>4893</v>
      </c>
      <c r="Q842" s="3" t="s">
        <v>35</v>
      </c>
      <c r="R842" s="3" t="s">
        <v>4892</v>
      </c>
      <c r="S842" s="3" t="s">
        <v>144</v>
      </c>
      <c r="T842" s="3" t="s">
        <v>143</v>
      </c>
      <c r="U842" s="4" t="b">
        <v>1</v>
      </c>
      <c r="V842" s="3" t="s">
        <v>31</v>
      </c>
      <c r="W842" s="1"/>
      <c r="Y842" s="3" t="s">
        <v>32</v>
      </c>
      <c r="Z842" s="3" t="s">
        <v>32</v>
      </c>
      <c r="AA842" s="3"/>
      <c r="AB842" s="3"/>
      <c r="AC842" s="4" t="s">
        <v>30</v>
      </c>
      <c r="AD842" s="3"/>
      <c r="AE842" s="3" t="s">
        <v>4893</v>
      </c>
      <c r="AF842" s="4" t="s">
        <v>30</v>
      </c>
      <c r="AH842" s="4">
        <v>0</v>
      </c>
      <c r="AI842" s="3" t="s">
        <v>4888</v>
      </c>
      <c r="AJ842" s="4" t="s">
        <v>4891</v>
      </c>
      <c r="AK842" s="4"/>
      <c r="AL842" s="3"/>
    </row>
    <row r="843" spans="1:38" x14ac:dyDescent="0.35">
      <c r="A843" s="3" t="s">
        <v>4897</v>
      </c>
      <c r="B843" s="4" t="s">
        <v>4902</v>
      </c>
      <c r="C843" s="4">
        <f>VLOOKUP(A843, [1]Planilha1!$A$3:$B$1015,2,FALSE)</f>
        <v>80090</v>
      </c>
      <c r="D843" s="4">
        <f t="shared" si="13"/>
        <v>22.247222222222224</v>
      </c>
      <c r="E843" s="4" t="s">
        <v>1125</v>
      </c>
      <c r="F843" s="3" t="s">
        <v>4900</v>
      </c>
      <c r="G843" s="3" t="s">
        <v>4898</v>
      </c>
      <c r="H843" s="3" t="s">
        <v>855</v>
      </c>
      <c r="I843" s="3" t="s">
        <v>33</v>
      </c>
      <c r="J843" s="3" t="s">
        <v>41</v>
      </c>
      <c r="L843" s="1">
        <v>46029.582743055558</v>
      </c>
      <c r="M843" s="1">
        <v>46029.582743055558</v>
      </c>
      <c r="N843" s="1">
        <v>46030.608726851853</v>
      </c>
      <c r="O843" s="3" t="s">
        <v>854</v>
      </c>
      <c r="P843" s="3" t="s">
        <v>4902</v>
      </c>
      <c r="Q843" s="3" t="s">
        <v>35</v>
      </c>
      <c r="R843" s="3" t="s">
        <v>4901</v>
      </c>
      <c r="S843" s="3" t="s">
        <v>37</v>
      </c>
      <c r="T843" s="3" t="s">
        <v>36</v>
      </c>
      <c r="U843" s="4" t="b">
        <v>1</v>
      </c>
      <c r="V843" s="3" t="s">
        <v>28</v>
      </c>
      <c r="W843" s="1"/>
      <c r="Y843" s="3" t="s">
        <v>29</v>
      </c>
      <c r="Z843" s="3" t="s">
        <v>29</v>
      </c>
      <c r="AA843" s="3"/>
      <c r="AB843" s="3"/>
      <c r="AC843" s="4" t="s">
        <v>30</v>
      </c>
      <c r="AD843" s="3"/>
      <c r="AE843" s="3" t="s">
        <v>4902</v>
      </c>
      <c r="AF843" s="4" t="s">
        <v>30</v>
      </c>
      <c r="AH843" s="4">
        <v>1</v>
      </c>
      <c r="AI843" s="3" t="s">
        <v>4899</v>
      </c>
      <c r="AJ843" s="4" t="s">
        <v>5943</v>
      </c>
      <c r="AK843" s="4"/>
      <c r="AL843" s="3"/>
    </row>
    <row r="844" spans="1:38" x14ac:dyDescent="0.35">
      <c r="A844" s="3" t="s">
        <v>4903</v>
      </c>
      <c r="B844" s="4" t="s">
        <v>1924</v>
      </c>
      <c r="C844" s="4">
        <f>VLOOKUP(A844, [1]Planilha1!$A$3:$B$1015,2,FALSE)</f>
        <v>0</v>
      </c>
      <c r="D844" s="4">
        <f t="shared" si="13"/>
        <v>0</v>
      </c>
      <c r="E844" s="4" t="s">
        <v>1125</v>
      </c>
      <c r="F844" s="3" t="s">
        <v>4906</v>
      </c>
      <c r="G844" s="3" t="s">
        <v>214</v>
      </c>
      <c r="H844" s="3" t="s">
        <v>44</v>
      </c>
      <c r="I844" s="3" t="s">
        <v>33</v>
      </c>
      <c r="J844" s="3" t="s">
        <v>60</v>
      </c>
      <c r="K844" s="3" t="s">
        <v>4905</v>
      </c>
      <c r="L844" s="1">
        <v>46029.568391203706</v>
      </c>
      <c r="M844" s="1">
        <v>46029.594571759262</v>
      </c>
      <c r="N844" s="1">
        <v>46032.625011574077</v>
      </c>
      <c r="O844" s="3" t="s">
        <v>43</v>
      </c>
      <c r="P844" s="3" t="s">
        <v>1924</v>
      </c>
      <c r="Q844" s="3" t="s">
        <v>35</v>
      </c>
      <c r="R844" s="3" t="s">
        <v>4907</v>
      </c>
      <c r="S844" s="3" t="s">
        <v>144</v>
      </c>
      <c r="T844" s="3" t="s">
        <v>143</v>
      </c>
      <c r="U844" s="4" t="b">
        <v>1</v>
      </c>
      <c r="V844" s="3" t="s">
        <v>31</v>
      </c>
      <c r="W844" s="1"/>
      <c r="Y844" s="3" t="s">
        <v>32</v>
      </c>
      <c r="Z844" s="3" t="s">
        <v>32</v>
      </c>
      <c r="AA844" s="3"/>
      <c r="AB844" s="3"/>
      <c r="AC844" s="4" t="s">
        <v>30</v>
      </c>
      <c r="AD844" s="3"/>
      <c r="AE844" s="3" t="s">
        <v>1924</v>
      </c>
      <c r="AF844" s="4" t="s">
        <v>30</v>
      </c>
      <c r="AH844" s="4">
        <v>0</v>
      </c>
      <c r="AI844" s="3" t="s">
        <v>4904</v>
      </c>
      <c r="AJ844" s="4" t="s">
        <v>5944</v>
      </c>
      <c r="AK844" s="4"/>
      <c r="AL844" s="3"/>
    </row>
    <row r="845" spans="1:38" x14ac:dyDescent="0.35">
      <c r="A845" s="3" t="s">
        <v>4908</v>
      </c>
      <c r="B845" s="4" t="s">
        <v>4913</v>
      </c>
      <c r="C845" s="4">
        <f>VLOOKUP(A845, [1]Planilha1!$A$3:$B$1015,2,FALSE)</f>
        <v>103398</v>
      </c>
      <c r="D845" s="4">
        <f t="shared" si="13"/>
        <v>28.721666666666668</v>
      </c>
      <c r="E845" s="4" t="s">
        <v>1125</v>
      </c>
      <c r="F845" s="3" t="s">
        <v>4911</v>
      </c>
      <c r="G845" s="3" t="s">
        <v>4909</v>
      </c>
      <c r="H845" s="3" t="s">
        <v>224</v>
      </c>
      <c r="I845" s="3" t="s">
        <v>33</v>
      </c>
      <c r="J845" s="3" t="s">
        <v>41</v>
      </c>
      <c r="L845" s="1">
        <v>46029.567407407405</v>
      </c>
      <c r="M845" s="1">
        <v>46029.567407407405</v>
      </c>
      <c r="N845" s="1">
        <v>46030.728275462963</v>
      </c>
      <c r="O845" s="3" t="s">
        <v>223</v>
      </c>
      <c r="P845" s="3" t="s">
        <v>4913</v>
      </c>
      <c r="Q845" s="3" t="s">
        <v>35</v>
      </c>
      <c r="R845" s="3" t="s">
        <v>4912</v>
      </c>
      <c r="S845" s="3" t="s">
        <v>37</v>
      </c>
      <c r="T845" s="3" t="s">
        <v>36</v>
      </c>
      <c r="U845" s="4" t="b">
        <v>1</v>
      </c>
      <c r="V845" s="3" t="s">
        <v>28</v>
      </c>
      <c r="W845" s="1"/>
      <c r="Y845" s="3" t="s">
        <v>29</v>
      </c>
      <c r="Z845" s="3" t="s">
        <v>29</v>
      </c>
      <c r="AA845" s="3"/>
      <c r="AB845" s="3"/>
      <c r="AC845" s="4" t="s">
        <v>30</v>
      </c>
      <c r="AD845" s="3"/>
      <c r="AE845" s="3" t="s">
        <v>4913</v>
      </c>
      <c r="AF845" s="4" t="s">
        <v>30</v>
      </c>
      <c r="AH845" s="4">
        <v>1</v>
      </c>
      <c r="AI845" s="3" t="s">
        <v>4910</v>
      </c>
      <c r="AJ845" s="4" t="s">
        <v>4912</v>
      </c>
      <c r="AK845" s="4"/>
      <c r="AL845" s="3"/>
    </row>
    <row r="846" spans="1:38" x14ac:dyDescent="0.35">
      <c r="A846" s="3" t="s">
        <v>4917</v>
      </c>
      <c r="B846" s="4" t="s">
        <v>4923</v>
      </c>
      <c r="C846" s="4">
        <f>VLOOKUP(A846, [1]Planilha1!$A$3:$B$1015,2,FALSE)</f>
        <v>0</v>
      </c>
      <c r="D846" s="4">
        <f t="shared" si="13"/>
        <v>0</v>
      </c>
      <c r="E846" s="4" t="s">
        <v>1125</v>
      </c>
      <c r="F846" s="3" t="s">
        <v>4920</v>
      </c>
      <c r="G846" s="3" t="s">
        <v>134</v>
      </c>
      <c r="H846" s="3" t="s">
        <v>138</v>
      </c>
      <c r="I846" s="3" t="s">
        <v>33</v>
      </c>
      <c r="J846" s="3" t="s">
        <v>60</v>
      </c>
      <c r="K846" s="3" t="s">
        <v>4919</v>
      </c>
      <c r="L846" s="1">
        <v>46029.555312500001</v>
      </c>
      <c r="M846" s="1">
        <v>46029.587743055556</v>
      </c>
      <c r="N846" s="1">
        <v>46032.625011574077</v>
      </c>
      <c r="O846" s="3" t="s">
        <v>137</v>
      </c>
      <c r="P846" s="3" t="s">
        <v>4923</v>
      </c>
      <c r="Q846" s="3" t="s">
        <v>35</v>
      </c>
      <c r="R846" s="3" t="s">
        <v>4922</v>
      </c>
      <c r="S846" s="3" t="s">
        <v>144</v>
      </c>
      <c r="T846" s="3" t="s">
        <v>143</v>
      </c>
      <c r="U846" s="4" t="b">
        <v>1</v>
      </c>
      <c r="V846" s="3" t="s">
        <v>31</v>
      </c>
      <c r="W846" s="1"/>
      <c r="Y846" s="3" t="s">
        <v>32</v>
      </c>
      <c r="Z846" s="3" t="s">
        <v>32</v>
      </c>
      <c r="AA846" s="3"/>
      <c r="AB846" s="3"/>
      <c r="AC846" s="4" t="s">
        <v>30</v>
      </c>
      <c r="AD846" s="3"/>
      <c r="AE846" s="3" t="s">
        <v>4923</v>
      </c>
      <c r="AF846" s="4" t="s">
        <v>30</v>
      </c>
      <c r="AH846" s="4">
        <v>0</v>
      </c>
      <c r="AI846" s="3" t="s">
        <v>4918</v>
      </c>
      <c r="AJ846" s="4" t="s">
        <v>4921</v>
      </c>
      <c r="AK846" s="4"/>
      <c r="AL846" s="3"/>
    </row>
    <row r="847" spans="1:38" x14ac:dyDescent="0.35">
      <c r="A847" s="3" t="s">
        <v>4927</v>
      </c>
      <c r="B847" s="4" t="s">
        <v>4933</v>
      </c>
      <c r="C847" s="4">
        <f>VLOOKUP(A847, [1]Planilha1!$A$3:$B$1015,2,FALSE)</f>
        <v>0</v>
      </c>
      <c r="D847" s="4">
        <f t="shared" si="13"/>
        <v>0</v>
      </c>
      <c r="E847" s="4" t="s">
        <v>1125</v>
      </c>
      <c r="F847" s="3" t="s">
        <v>4930</v>
      </c>
      <c r="G847" s="3" t="s">
        <v>1208</v>
      </c>
      <c r="H847" s="3" t="s">
        <v>428</v>
      </c>
      <c r="I847" s="3" t="s">
        <v>33</v>
      </c>
      <c r="J847" s="3" t="s">
        <v>60</v>
      </c>
      <c r="K847" s="3" t="s">
        <v>4929</v>
      </c>
      <c r="L847" s="1">
        <v>46029.548321759263</v>
      </c>
      <c r="M847" s="1">
        <v>46029.583148148151</v>
      </c>
      <c r="N847" s="1">
        <v>46032.583333333336</v>
      </c>
      <c r="O847" s="3" t="s">
        <v>427</v>
      </c>
      <c r="P847" s="3" t="s">
        <v>4933</v>
      </c>
      <c r="Q847" s="3" t="s">
        <v>35</v>
      </c>
      <c r="R847" s="3" t="s">
        <v>4932</v>
      </c>
      <c r="S847" s="3" t="s">
        <v>144</v>
      </c>
      <c r="T847" s="3" t="s">
        <v>143</v>
      </c>
      <c r="U847" s="4" t="b">
        <v>1</v>
      </c>
      <c r="V847" s="3" t="s">
        <v>31</v>
      </c>
      <c r="W847" s="1"/>
      <c r="Y847" s="3" t="s">
        <v>32</v>
      </c>
      <c r="Z847" s="3" t="s">
        <v>32</v>
      </c>
      <c r="AA847" s="3"/>
      <c r="AB847" s="3"/>
      <c r="AC847" s="4" t="s">
        <v>30</v>
      </c>
      <c r="AD847" s="3"/>
      <c r="AE847" s="3" t="s">
        <v>4933</v>
      </c>
      <c r="AF847" s="4" t="s">
        <v>30</v>
      </c>
      <c r="AH847" s="4">
        <v>0</v>
      </c>
      <c r="AI847" s="3" t="s">
        <v>4928</v>
      </c>
      <c r="AJ847" s="4" t="s">
        <v>4931</v>
      </c>
      <c r="AK847" s="4"/>
      <c r="AL847" s="3"/>
    </row>
    <row r="848" spans="1:38" x14ac:dyDescent="0.35">
      <c r="A848" s="3" t="s">
        <v>4934</v>
      </c>
      <c r="B848" s="4" t="s">
        <v>4896</v>
      </c>
      <c r="C848" s="4">
        <f>VLOOKUP(A848, [1]Planilha1!$A$3:$B$1015,2,FALSE)</f>
        <v>0</v>
      </c>
      <c r="D848" s="4">
        <f t="shared" si="13"/>
        <v>0</v>
      </c>
      <c r="E848" s="4" t="s">
        <v>1125</v>
      </c>
      <c r="F848" s="3" t="s">
        <v>4894</v>
      </c>
      <c r="G848" s="3" t="s">
        <v>3674</v>
      </c>
      <c r="H848" s="3" t="s">
        <v>112</v>
      </c>
      <c r="I848" s="3" t="s">
        <v>33</v>
      </c>
      <c r="J848" s="3" t="s">
        <v>60</v>
      </c>
      <c r="K848" s="3" t="s">
        <v>4936</v>
      </c>
      <c r="L848" s="1">
        <v>46029.520983796298</v>
      </c>
      <c r="M848" s="1">
        <v>46029.547037037039</v>
      </c>
      <c r="N848" s="1">
        <v>46032.583333333336</v>
      </c>
      <c r="O848" s="3" t="s">
        <v>111</v>
      </c>
      <c r="P848" s="3" t="s">
        <v>4896</v>
      </c>
      <c r="Q848" s="3" t="s">
        <v>35</v>
      </c>
      <c r="R848" s="3" t="s">
        <v>4895</v>
      </c>
      <c r="S848" s="3" t="s">
        <v>144</v>
      </c>
      <c r="T848" s="3" t="s">
        <v>143</v>
      </c>
      <c r="U848" s="4" t="b">
        <v>1</v>
      </c>
      <c r="V848" s="3" t="s">
        <v>31</v>
      </c>
      <c r="W848" s="1"/>
      <c r="Y848" s="3" t="s">
        <v>32</v>
      </c>
      <c r="Z848" s="3" t="s">
        <v>32</v>
      </c>
      <c r="AA848" s="3"/>
      <c r="AB848" s="3"/>
      <c r="AC848" s="4" t="s">
        <v>30</v>
      </c>
      <c r="AD848" s="3"/>
      <c r="AE848" s="3" t="s">
        <v>4896</v>
      </c>
      <c r="AF848" s="4" t="s">
        <v>30</v>
      </c>
      <c r="AH848" s="4">
        <v>0</v>
      </c>
      <c r="AI848" s="3" t="s">
        <v>4935</v>
      </c>
      <c r="AJ848" s="4" t="s">
        <v>5945</v>
      </c>
      <c r="AK848" s="4"/>
      <c r="AL848" s="3"/>
    </row>
    <row r="849" spans="1:38" x14ac:dyDescent="0.35">
      <c r="A849" s="3" t="s">
        <v>4937</v>
      </c>
      <c r="B849" s="4" t="s">
        <v>4926</v>
      </c>
      <c r="C849" s="4">
        <f>VLOOKUP(A849, [1]Planilha1!$A$3:$B$1015,2,FALSE)</f>
        <v>27494</v>
      </c>
      <c r="D849" s="4">
        <f t="shared" si="13"/>
        <v>7.6372222222222224</v>
      </c>
      <c r="E849" s="4" t="s">
        <v>1125</v>
      </c>
      <c r="F849" s="3" t="s">
        <v>4924</v>
      </c>
      <c r="G849" s="3" t="s">
        <v>4938</v>
      </c>
      <c r="H849" s="3" t="s">
        <v>171</v>
      </c>
      <c r="I849" s="3" t="s">
        <v>33</v>
      </c>
      <c r="J849" s="3" t="s">
        <v>41</v>
      </c>
      <c r="K849" s="3" t="s">
        <v>4940</v>
      </c>
      <c r="L849" s="1">
        <v>46029.504432870373</v>
      </c>
      <c r="M849" s="1">
        <v>46029.504432870373</v>
      </c>
      <c r="N849" s="1">
        <v>46029.663541666669</v>
      </c>
      <c r="O849" s="3" t="s">
        <v>170</v>
      </c>
      <c r="P849" s="3" t="s">
        <v>4926</v>
      </c>
      <c r="Q849" s="3" t="s">
        <v>42</v>
      </c>
      <c r="R849" s="3" t="s">
        <v>4925</v>
      </c>
      <c r="S849" s="3" t="s">
        <v>37</v>
      </c>
      <c r="T849" s="3" t="s">
        <v>36</v>
      </c>
      <c r="U849" s="4" t="b">
        <v>1</v>
      </c>
      <c r="V849" s="3" t="s">
        <v>28</v>
      </c>
      <c r="W849" s="1"/>
      <c r="Y849" s="3" t="s">
        <v>29</v>
      </c>
      <c r="Z849" s="3" t="s">
        <v>29</v>
      </c>
      <c r="AA849" s="3"/>
      <c r="AB849" s="3"/>
      <c r="AC849" s="4" t="s">
        <v>30</v>
      </c>
      <c r="AD849" s="3"/>
      <c r="AE849" s="3" t="s">
        <v>4926</v>
      </c>
      <c r="AF849" s="4" t="s">
        <v>30</v>
      </c>
      <c r="AH849" s="4">
        <v>1</v>
      </c>
      <c r="AI849" s="3" t="s">
        <v>4939</v>
      </c>
      <c r="AJ849" s="4" t="s">
        <v>5946</v>
      </c>
      <c r="AK849" s="4"/>
      <c r="AL849" s="3"/>
    </row>
    <row r="850" spans="1:38" x14ac:dyDescent="0.35">
      <c r="A850" s="3" t="s">
        <v>4941</v>
      </c>
      <c r="B850" s="4" t="s">
        <v>4880</v>
      </c>
      <c r="C850" s="4">
        <f>VLOOKUP(A850, [1]Planilha1!$A$3:$B$1015,2,FALSE)</f>
        <v>5722</v>
      </c>
      <c r="D850" s="4">
        <f t="shared" si="13"/>
        <v>1.5894444444444444</v>
      </c>
      <c r="E850" s="4" t="s">
        <v>1125</v>
      </c>
      <c r="F850" s="3" t="s">
        <v>4877</v>
      </c>
      <c r="G850" s="3" t="s">
        <v>74</v>
      </c>
      <c r="H850" s="3" t="s">
        <v>44</v>
      </c>
      <c r="I850" s="3" t="s">
        <v>33</v>
      </c>
      <c r="J850" s="3" t="s">
        <v>41</v>
      </c>
      <c r="L850" s="1">
        <v>46029.491238425922</v>
      </c>
      <c r="M850" s="1">
        <v>46029.492719907408</v>
      </c>
      <c r="N850" s="1">
        <v>46029.525833333333</v>
      </c>
      <c r="O850" s="3" t="s">
        <v>43</v>
      </c>
      <c r="P850" s="3" t="s">
        <v>4880</v>
      </c>
      <c r="Q850" s="3" t="s">
        <v>42</v>
      </c>
      <c r="R850" s="3" t="s">
        <v>4879</v>
      </c>
      <c r="S850" s="3" t="s">
        <v>80</v>
      </c>
      <c r="T850" s="3" t="s">
        <v>79</v>
      </c>
      <c r="U850" s="4" t="b">
        <v>1</v>
      </c>
      <c r="V850" s="3" t="s">
        <v>31</v>
      </c>
      <c r="W850" s="1"/>
      <c r="Y850" s="3" t="s">
        <v>32</v>
      </c>
      <c r="Z850" s="3" t="s">
        <v>32</v>
      </c>
      <c r="AA850" s="3"/>
      <c r="AB850" s="3"/>
      <c r="AC850" s="4" t="s">
        <v>30</v>
      </c>
      <c r="AD850" s="3"/>
      <c r="AE850" s="3" t="s">
        <v>4880</v>
      </c>
      <c r="AF850" s="4" t="s">
        <v>30</v>
      </c>
      <c r="AH850" s="4">
        <v>1</v>
      </c>
      <c r="AI850" s="3" t="s">
        <v>4942</v>
      </c>
      <c r="AJ850" s="4" t="s">
        <v>4878</v>
      </c>
      <c r="AK850" s="4"/>
      <c r="AL850" s="3"/>
    </row>
    <row r="851" spans="1:38" x14ac:dyDescent="0.35">
      <c r="A851" s="3" t="s">
        <v>4943</v>
      </c>
      <c r="B851" s="4" t="s">
        <v>4949</v>
      </c>
      <c r="C851" s="4">
        <f>VLOOKUP(A851, [1]Planilha1!$A$3:$B$1015,2,FALSE)</f>
        <v>30806</v>
      </c>
      <c r="D851" s="4">
        <f t="shared" si="13"/>
        <v>8.5572222222222223</v>
      </c>
      <c r="E851" s="4" t="s">
        <v>1125</v>
      </c>
      <c r="F851" s="3" t="s">
        <v>4946</v>
      </c>
      <c r="G851" s="3" t="s">
        <v>4944</v>
      </c>
      <c r="H851" s="3" t="s">
        <v>622</v>
      </c>
      <c r="I851" s="3" t="s">
        <v>33</v>
      </c>
      <c r="J851" s="3" t="s">
        <v>41</v>
      </c>
      <c r="L851" s="1">
        <v>46029.477905092594</v>
      </c>
      <c r="M851" s="1">
        <v>46029.477905092594</v>
      </c>
      <c r="N851" s="1">
        <v>46029.656180555554</v>
      </c>
      <c r="O851" s="3" t="s">
        <v>621</v>
      </c>
      <c r="P851" s="3" t="s">
        <v>4949</v>
      </c>
      <c r="Q851" s="3" t="s">
        <v>42</v>
      </c>
      <c r="R851" s="3" t="s">
        <v>4948</v>
      </c>
      <c r="S851" s="3" t="s">
        <v>37</v>
      </c>
      <c r="T851" s="3" t="s">
        <v>36</v>
      </c>
      <c r="U851" s="4" t="b">
        <v>1</v>
      </c>
      <c r="V851" s="3" t="s">
        <v>28</v>
      </c>
      <c r="W851" s="1"/>
      <c r="Y851" s="3" t="s">
        <v>29</v>
      </c>
      <c r="Z851" s="3" t="s">
        <v>29</v>
      </c>
      <c r="AA851" s="3"/>
      <c r="AB851" s="3"/>
      <c r="AC851" s="4" t="s">
        <v>30</v>
      </c>
      <c r="AD851" s="3"/>
      <c r="AE851" s="3" t="s">
        <v>4949</v>
      </c>
      <c r="AF851" s="4" t="s">
        <v>30</v>
      </c>
      <c r="AH851" s="4">
        <v>1</v>
      </c>
      <c r="AI851" s="3" t="s">
        <v>4945</v>
      </c>
      <c r="AJ851" s="4" t="s">
        <v>4947</v>
      </c>
      <c r="AK851" s="4"/>
      <c r="AL851" s="3"/>
    </row>
    <row r="852" spans="1:38" x14ac:dyDescent="0.35">
      <c r="A852" s="3" t="s">
        <v>4950</v>
      </c>
      <c r="B852" s="4" t="s">
        <v>4956</v>
      </c>
      <c r="C852" s="4">
        <f>VLOOKUP(A852, [1]Planilha1!$A$3:$B$1015,2,FALSE)</f>
        <v>22424</v>
      </c>
      <c r="D852" s="4">
        <f t="shared" si="13"/>
        <v>6.2288888888888891</v>
      </c>
      <c r="E852" s="4" t="s">
        <v>1125</v>
      </c>
      <c r="F852" s="3" t="s">
        <v>4953</v>
      </c>
      <c r="G852" s="3" t="s">
        <v>4951</v>
      </c>
      <c r="H852" s="3" t="s">
        <v>44</v>
      </c>
      <c r="I852" s="3" t="s">
        <v>33</v>
      </c>
      <c r="J852" s="3" t="s">
        <v>41</v>
      </c>
      <c r="L852" s="1">
        <v>46029.467569444445</v>
      </c>
      <c r="M852" s="1">
        <v>46029.47388888889</v>
      </c>
      <c r="N852" s="1">
        <v>46029.636273148149</v>
      </c>
      <c r="O852" s="3" t="s">
        <v>43</v>
      </c>
      <c r="P852" s="3" t="s">
        <v>4956</v>
      </c>
      <c r="Q852" s="3" t="s">
        <v>42</v>
      </c>
      <c r="R852" s="3" t="s">
        <v>4955</v>
      </c>
      <c r="S852" s="3" t="s">
        <v>708</v>
      </c>
      <c r="T852" s="3" t="s">
        <v>707</v>
      </c>
      <c r="U852" s="4" t="b">
        <v>1</v>
      </c>
      <c r="V852" s="3" t="s">
        <v>31</v>
      </c>
      <c r="W852" s="1"/>
      <c r="Y852" s="3" t="s">
        <v>32</v>
      </c>
      <c r="Z852" s="3" t="s">
        <v>32</v>
      </c>
      <c r="AA852" s="3"/>
      <c r="AB852" s="3"/>
      <c r="AC852" s="4" t="s">
        <v>30</v>
      </c>
      <c r="AD852" s="3"/>
      <c r="AE852" s="3" t="s">
        <v>4956</v>
      </c>
      <c r="AF852" s="4" t="s">
        <v>30</v>
      </c>
      <c r="AH852" s="4">
        <v>3</v>
      </c>
      <c r="AI852" s="3" t="s">
        <v>4952</v>
      </c>
      <c r="AJ852" s="4" t="s">
        <v>4954</v>
      </c>
      <c r="AK852" s="4"/>
      <c r="AL852" s="3"/>
    </row>
    <row r="853" spans="1:38" x14ac:dyDescent="0.35">
      <c r="A853" s="3" t="s">
        <v>4957</v>
      </c>
      <c r="B853" s="4" t="s">
        <v>4963</v>
      </c>
      <c r="C853" s="4">
        <f>VLOOKUP(A853, [1]Planilha1!$A$3:$B$1015,2,FALSE)</f>
        <v>20409</v>
      </c>
      <c r="D853" s="4">
        <f t="shared" si="13"/>
        <v>5.6691666666666665</v>
      </c>
      <c r="E853" s="4" t="s">
        <v>1125</v>
      </c>
      <c r="F853" s="3" t="s">
        <v>4960</v>
      </c>
      <c r="G853" s="3" t="s">
        <v>4958</v>
      </c>
      <c r="H853" s="3" t="s">
        <v>428</v>
      </c>
      <c r="I853" s="3" t="s">
        <v>33</v>
      </c>
      <c r="J853" s="3" t="s">
        <v>41</v>
      </c>
      <c r="L853" s="1">
        <v>46029.457488425927</v>
      </c>
      <c r="M853" s="1">
        <v>46029.457488425927</v>
      </c>
      <c r="N853" s="1">
        <v>46030.70113425926</v>
      </c>
      <c r="O853" s="3" t="s">
        <v>427</v>
      </c>
      <c r="P853" s="3" t="s">
        <v>4963</v>
      </c>
      <c r="Q853" s="3" t="s">
        <v>35</v>
      </c>
      <c r="R853" s="3" t="s">
        <v>4962</v>
      </c>
      <c r="S853" s="3" t="s">
        <v>37</v>
      </c>
      <c r="T853" s="3" t="s">
        <v>36</v>
      </c>
      <c r="U853" s="4" t="b">
        <v>1</v>
      </c>
      <c r="V853" s="3" t="s">
        <v>28</v>
      </c>
      <c r="W853" s="1"/>
      <c r="Y853" s="3" t="s">
        <v>29</v>
      </c>
      <c r="Z853" s="3" t="s">
        <v>29</v>
      </c>
      <c r="AA853" s="3"/>
      <c r="AB853" s="3"/>
      <c r="AC853" s="4" t="s">
        <v>30</v>
      </c>
      <c r="AD853" s="3"/>
      <c r="AE853" s="3" t="s">
        <v>4963</v>
      </c>
      <c r="AF853" s="4" t="s">
        <v>30</v>
      </c>
      <c r="AH853" s="4">
        <v>0</v>
      </c>
      <c r="AI853" s="3" t="s">
        <v>4959</v>
      </c>
      <c r="AJ853" s="4" t="s">
        <v>4961</v>
      </c>
      <c r="AK853" s="4"/>
      <c r="AL853" s="3"/>
    </row>
    <row r="854" spans="1:38" x14ac:dyDescent="0.35">
      <c r="A854" s="3" t="s">
        <v>4964</v>
      </c>
      <c r="B854" s="4" t="s">
        <v>4969</v>
      </c>
      <c r="C854" s="4">
        <f>VLOOKUP(A854, [1]Planilha1!$A$3:$B$1015,2,FALSE)</f>
        <v>6538</v>
      </c>
      <c r="D854" s="4">
        <f t="shared" si="13"/>
        <v>1.816111111111111</v>
      </c>
      <c r="E854" s="4" t="s">
        <v>1125</v>
      </c>
      <c r="F854" s="3" t="s">
        <v>4966</v>
      </c>
      <c r="G854" s="3" t="s">
        <v>74</v>
      </c>
      <c r="H854" s="3" t="s">
        <v>44</v>
      </c>
      <c r="I854" s="3" t="s">
        <v>33</v>
      </c>
      <c r="J854" s="3" t="s">
        <v>41</v>
      </c>
      <c r="L854" s="1">
        <v>46029.452256944445</v>
      </c>
      <c r="M854" s="1">
        <v>46029.487245370372</v>
      </c>
      <c r="N854" s="1">
        <v>46029.525081018517</v>
      </c>
      <c r="O854" s="3" t="s">
        <v>43</v>
      </c>
      <c r="P854" s="3" t="s">
        <v>4969</v>
      </c>
      <c r="Q854" s="3" t="s">
        <v>42</v>
      </c>
      <c r="R854" s="3" t="s">
        <v>4968</v>
      </c>
      <c r="S854" s="3" t="s">
        <v>80</v>
      </c>
      <c r="T854" s="3" t="s">
        <v>79</v>
      </c>
      <c r="U854" s="4" t="b">
        <v>1</v>
      </c>
      <c r="V854" s="3" t="s">
        <v>31</v>
      </c>
      <c r="W854" s="1"/>
      <c r="Y854" s="3" t="s">
        <v>32</v>
      </c>
      <c r="Z854" s="3" t="s">
        <v>32</v>
      </c>
      <c r="AA854" s="3"/>
      <c r="AB854" s="3"/>
      <c r="AC854" s="4" t="s">
        <v>30</v>
      </c>
      <c r="AD854" s="3"/>
      <c r="AE854" s="3" t="s">
        <v>4969</v>
      </c>
      <c r="AF854" s="4" t="s">
        <v>30</v>
      </c>
      <c r="AH854" s="4">
        <v>1</v>
      </c>
      <c r="AI854" s="3" t="s">
        <v>4965</v>
      </c>
      <c r="AJ854" s="4" t="s">
        <v>4967</v>
      </c>
      <c r="AK854" s="4"/>
      <c r="AL854" s="3"/>
    </row>
    <row r="855" spans="1:38" x14ac:dyDescent="0.35">
      <c r="A855" s="3" t="s">
        <v>4970</v>
      </c>
      <c r="B855" s="4" t="s">
        <v>4916</v>
      </c>
      <c r="C855" s="4">
        <f>VLOOKUP(A855, [1]Planilha1!$A$3:$B$1015,2,FALSE)</f>
        <v>4460</v>
      </c>
      <c r="D855" s="4">
        <f t="shared" si="13"/>
        <v>1.2388888888888889</v>
      </c>
      <c r="E855" s="4" t="s">
        <v>1125</v>
      </c>
      <c r="F855" s="3" t="s">
        <v>4914</v>
      </c>
      <c r="G855" s="3" t="s">
        <v>74</v>
      </c>
      <c r="H855" s="3" t="s">
        <v>44</v>
      </c>
      <c r="I855" s="3" t="s">
        <v>33</v>
      </c>
      <c r="J855" s="3" t="s">
        <v>41</v>
      </c>
      <c r="L855" s="1">
        <v>46029.450312499997</v>
      </c>
      <c r="M855" s="1">
        <v>46029.452546296299</v>
      </c>
      <c r="N855" s="1">
        <v>46029.478356481479</v>
      </c>
      <c r="O855" s="3" t="s">
        <v>43</v>
      </c>
      <c r="P855" s="3" t="s">
        <v>4916</v>
      </c>
      <c r="Q855" s="3" t="s">
        <v>42</v>
      </c>
      <c r="R855" s="3" t="s">
        <v>4915</v>
      </c>
      <c r="S855" s="3" t="s">
        <v>80</v>
      </c>
      <c r="T855" s="3" t="s">
        <v>79</v>
      </c>
      <c r="U855" s="4" t="b">
        <v>1</v>
      </c>
      <c r="V855" s="3" t="s">
        <v>31</v>
      </c>
      <c r="W855" s="1"/>
      <c r="Y855" s="3" t="s">
        <v>32</v>
      </c>
      <c r="Z855" s="3" t="s">
        <v>32</v>
      </c>
      <c r="AA855" s="3"/>
      <c r="AB855" s="3"/>
      <c r="AC855" s="4" t="s">
        <v>30</v>
      </c>
      <c r="AD855" s="3"/>
      <c r="AE855" s="3" t="s">
        <v>4916</v>
      </c>
      <c r="AF855" s="4" t="s">
        <v>30</v>
      </c>
      <c r="AH855" s="4">
        <v>1</v>
      </c>
      <c r="AI855" s="3" t="s">
        <v>4971</v>
      </c>
      <c r="AJ855" s="4" t="s">
        <v>5947</v>
      </c>
      <c r="AK855" s="4"/>
      <c r="AL855" s="3"/>
    </row>
    <row r="856" spans="1:38" x14ac:dyDescent="0.35">
      <c r="A856" s="3" t="s">
        <v>4973</v>
      </c>
      <c r="B856" s="4" t="s">
        <v>116</v>
      </c>
      <c r="C856" s="4">
        <f>VLOOKUP(A856, [1]Planilha1!$A$3:$B$1015,2,FALSE)</f>
        <v>20577</v>
      </c>
      <c r="D856" s="4">
        <f t="shared" si="13"/>
        <v>5.7158333333333333</v>
      </c>
      <c r="E856" s="4" t="s">
        <v>1125</v>
      </c>
      <c r="F856" s="3" t="s">
        <v>113</v>
      </c>
      <c r="G856" s="3" t="s">
        <v>4974</v>
      </c>
      <c r="H856" s="3" t="s">
        <v>112</v>
      </c>
      <c r="I856" s="3" t="s">
        <v>33</v>
      </c>
      <c r="J856" s="3" t="s">
        <v>41</v>
      </c>
      <c r="K856" s="3" t="s">
        <v>4976</v>
      </c>
      <c r="L856" s="1">
        <v>46029.445</v>
      </c>
      <c r="M856" s="1">
        <v>46029.445</v>
      </c>
      <c r="N856" s="1">
        <v>46029.524386574078</v>
      </c>
      <c r="O856" s="3" t="s">
        <v>111</v>
      </c>
      <c r="P856" s="3" t="s">
        <v>116</v>
      </c>
      <c r="Q856" s="3" t="s">
        <v>42</v>
      </c>
      <c r="R856" s="3" t="s">
        <v>115</v>
      </c>
      <c r="S856" s="3" t="s">
        <v>37</v>
      </c>
      <c r="T856" s="3" t="s">
        <v>36</v>
      </c>
      <c r="U856" s="4" t="b">
        <v>1</v>
      </c>
      <c r="V856" s="3" t="s">
        <v>28</v>
      </c>
      <c r="W856" s="1"/>
      <c r="Y856" s="3" t="s">
        <v>29</v>
      </c>
      <c r="Z856" s="3" t="s">
        <v>29</v>
      </c>
      <c r="AA856" s="3"/>
      <c r="AB856" s="3"/>
      <c r="AC856" s="4" t="s">
        <v>30</v>
      </c>
      <c r="AD856" s="3"/>
      <c r="AE856" s="3" t="s">
        <v>116</v>
      </c>
      <c r="AF856" s="4" t="s">
        <v>30</v>
      </c>
      <c r="AH856" s="4">
        <v>0</v>
      </c>
      <c r="AI856" s="3" t="s">
        <v>4975</v>
      </c>
      <c r="AJ856" s="4" t="s">
        <v>114</v>
      </c>
      <c r="AK856" s="4"/>
      <c r="AL856" s="3"/>
    </row>
    <row r="857" spans="1:38" x14ac:dyDescent="0.35">
      <c r="A857" s="3" t="s">
        <v>4981</v>
      </c>
      <c r="B857" s="4" t="s">
        <v>4987</v>
      </c>
      <c r="C857" s="4">
        <f>VLOOKUP(A857, [1]Planilha1!$A$3:$B$1015,2,FALSE)</f>
        <v>0</v>
      </c>
      <c r="D857" s="4">
        <f t="shared" si="13"/>
        <v>0</v>
      </c>
      <c r="E857" s="4" t="s">
        <v>1125</v>
      </c>
      <c r="F857" s="3" t="s">
        <v>4984</v>
      </c>
      <c r="G857" s="3" t="s">
        <v>1208</v>
      </c>
      <c r="H857" s="3" t="s">
        <v>428</v>
      </c>
      <c r="I857" s="3" t="s">
        <v>33</v>
      </c>
      <c r="J857" s="3" t="s">
        <v>60</v>
      </c>
      <c r="K857" s="3" t="s">
        <v>4983</v>
      </c>
      <c r="L857" s="1">
        <v>46029.424502314818</v>
      </c>
      <c r="M857" s="1">
        <v>46029.44462962963</v>
      </c>
      <c r="N857" s="1">
        <v>46032.458344907405</v>
      </c>
      <c r="O857" s="3" t="s">
        <v>427</v>
      </c>
      <c r="P857" s="3" t="s">
        <v>4987</v>
      </c>
      <c r="Q857" s="3" t="s">
        <v>35</v>
      </c>
      <c r="R857" s="3" t="s">
        <v>4986</v>
      </c>
      <c r="S857" s="3" t="s">
        <v>144</v>
      </c>
      <c r="T857" s="3" t="s">
        <v>143</v>
      </c>
      <c r="U857" s="4" t="b">
        <v>1</v>
      </c>
      <c r="V857" s="3" t="s">
        <v>31</v>
      </c>
      <c r="W857" s="1"/>
      <c r="Y857" s="3" t="s">
        <v>32</v>
      </c>
      <c r="Z857" s="3" t="s">
        <v>32</v>
      </c>
      <c r="AA857" s="3"/>
      <c r="AB857" s="3"/>
      <c r="AC857" s="4" t="s">
        <v>30</v>
      </c>
      <c r="AD857" s="3"/>
      <c r="AE857" s="3" t="s">
        <v>4987</v>
      </c>
      <c r="AF857" s="4" t="s">
        <v>30</v>
      </c>
      <c r="AH857" s="4">
        <v>0</v>
      </c>
      <c r="AI857" s="3" t="s">
        <v>4982</v>
      </c>
      <c r="AJ857" s="4" t="s">
        <v>4985</v>
      </c>
      <c r="AK857" s="4"/>
      <c r="AL857" s="3"/>
    </row>
    <row r="858" spans="1:38" x14ac:dyDescent="0.35">
      <c r="A858" s="3" t="s">
        <v>4988</v>
      </c>
      <c r="B858" s="4" t="s">
        <v>4994</v>
      </c>
      <c r="C858" s="4">
        <f>VLOOKUP(A858, [1]Planilha1!$A$3:$B$1015,2,FALSE)</f>
        <v>22808</v>
      </c>
      <c r="D858" s="4">
        <f t="shared" si="13"/>
        <v>6.3355555555555556</v>
      </c>
      <c r="E858" s="4" t="s">
        <v>1125</v>
      </c>
      <c r="F858" s="3" t="s">
        <v>4991</v>
      </c>
      <c r="G858" s="3" t="s">
        <v>4989</v>
      </c>
      <c r="H858" s="3" t="s">
        <v>44</v>
      </c>
      <c r="I858" s="3" t="s">
        <v>33</v>
      </c>
      <c r="J858" s="3" t="s">
        <v>41</v>
      </c>
      <c r="L858" s="1">
        <v>46029.422268518516</v>
      </c>
      <c r="M858" s="1">
        <v>46029.422268518516</v>
      </c>
      <c r="N858" s="1">
        <v>46029.526585648149</v>
      </c>
      <c r="O858" s="3" t="s">
        <v>43</v>
      </c>
      <c r="P858" s="3" t="s">
        <v>4994</v>
      </c>
      <c r="Q858" s="3" t="s">
        <v>42</v>
      </c>
      <c r="R858" s="3" t="s">
        <v>4993</v>
      </c>
      <c r="S858" s="3" t="s">
        <v>37</v>
      </c>
      <c r="T858" s="3" t="s">
        <v>36</v>
      </c>
      <c r="U858" s="4" t="b">
        <v>1</v>
      </c>
      <c r="V858" s="3" t="s">
        <v>28</v>
      </c>
      <c r="W858" s="1"/>
      <c r="Y858" s="3" t="s">
        <v>29</v>
      </c>
      <c r="Z858" s="3" t="s">
        <v>29</v>
      </c>
      <c r="AA858" s="3"/>
      <c r="AB858" s="3"/>
      <c r="AC858" s="4" t="s">
        <v>30</v>
      </c>
      <c r="AD858" s="3"/>
      <c r="AE858" s="3" t="s">
        <v>4994</v>
      </c>
      <c r="AF858" s="4" t="s">
        <v>30</v>
      </c>
      <c r="AH858" s="4">
        <v>2</v>
      </c>
      <c r="AI858" s="3" t="s">
        <v>4990</v>
      </c>
      <c r="AJ858" s="4" t="s">
        <v>4992</v>
      </c>
      <c r="AK858" s="4"/>
      <c r="AL858" s="3"/>
    </row>
    <row r="859" spans="1:38" x14ac:dyDescent="0.35">
      <c r="A859" s="3" t="s">
        <v>4995</v>
      </c>
      <c r="B859" s="4" t="s">
        <v>4999</v>
      </c>
      <c r="C859" s="4">
        <f>VLOOKUP(A859, [1]Planilha1!$A$3:$B$1015,2,FALSE)</f>
        <v>9168</v>
      </c>
      <c r="D859" s="4">
        <f t="shared" si="13"/>
        <v>2.5466666666666669</v>
      </c>
      <c r="E859" s="4" t="s">
        <v>1125</v>
      </c>
      <c r="F859" s="3" t="s">
        <v>786</v>
      </c>
      <c r="G859" s="3" t="s">
        <v>4996</v>
      </c>
      <c r="H859" s="3" t="s">
        <v>224</v>
      </c>
      <c r="I859" s="3" t="s">
        <v>33</v>
      </c>
      <c r="J859" s="3" t="s">
        <v>41</v>
      </c>
      <c r="L859" s="1">
        <v>46029.421736111108</v>
      </c>
      <c r="M859" s="1">
        <v>46029.421736111108</v>
      </c>
      <c r="N859" s="1">
        <v>46029.474791666667</v>
      </c>
      <c r="O859" s="3" t="s">
        <v>223</v>
      </c>
      <c r="P859" s="3" t="s">
        <v>4999</v>
      </c>
      <c r="Q859" s="3" t="s">
        <v>42</v>
      </c>
      <c r="R859" s="3" t="s">
        <v>4998</v>
      </c>
      <c r="S859" s="3" t="s">
        <v>37</v>
      </c>
      <c r="T859" s="3" t="s">
        <v>36</v>
      </c>
      <c r="U859" s="4" t="b">
        <v>1</v>
      </c>
      <c r="V859" s="3" t="s">
        <v>28</v>
      </c>
      <c r="W859" s="1"/>
      <c r="Y859" s="3" t="s">
        <v>29</v>
      </c>
      <c r="Z859" s="3" t="s">
        <v>29</v>
      </c>
      <c r="AA859" s="3"/>
      <c r="AB859" s="3"/>
      <c r="AC859" s="4" t="s">
        <v>30</v>
      </c>
      <c r="AD859" s="3"/>
      <c r="AE859" s="3" t="s">
        <v>4999</v>
      </c>
      <c r="AF859" s="4" t="s">
        <v>30</v>
      </c>
      <c r="AH859" s="4">
        <v>1</v>
      </c>
      <c r="AI859" s="3" t="s">
        <v>4997</v>
      </c>
      <c r="AJ859" s="4" t="s">
        <v>5948</v>
      </c>
      <c r="AK859" s="4"/>
      <c r="AL859" s="3"/>
    </row>
    <row r="860" spans="1:38" x14ac:dyDescent="0.35">
      <c r="A860" s="3" t="s">
        <v>5000</v>
      </c>
      <c r="B860" s="4" t="s">
        <v>4562</v>
      </c>
      <c r="C860" s="4">
        <f>VLOOKUP(A860, [1]Planilha1!$A$3:$B$1015,2,FALSE)</f>
        <v>5160</v>
      </c>
      <c r="D860" s="4">
        <f t="shared" si="13"/>
        <v>1.4333333333333333</v>
      </c>
      <c r="E860" s="4" t="s">
        <v>1125</v>
      </c>
      <c r="F860" s="3" t="s">
        <v>4559</v>
      </c>
      <c r="G860" s="3" t="s">
        <v>74</v>
      </c>
      <c r="H860" s="3" t="s">
        <v>44</v>
      </c>
      <c r="I860" s="3" t="s">
        <v>33</v>
      </c>
      <c r="J860" s="3" t="s">
        <v>41</v>
      </c>
      <c r="L860" s="1">
        <v>46029.419131944444</v>
      </c>
      <c r="M860" s="1">
        <v>46029.420960648145</v>
      </c>
      <c r="N860" s="1">
        <v>46029.450821759259</v>
      </c>
      <c r="O860" s="3" t="s">
        <v>43</v>
      </c>
      <c r="P860" s="3" t="s">
        <v>4562</v>
      </c>
      <c r="Q860" s="3" t="s">
        <v>42</v>
      </c>
      <c r="R860" s="3" t="s">
        <v>4561</v>
      </c>
      <c r="S860" s="3" t="s">
        <v>80</v>
      </c>
      <c r="T860" s="3" t="s">
        <v>79</v>
      </c>
      <c r="U860" s="4" t="b">
        <v>1</v>
      </c>
      <c r="V860" s="3" t="s">
        <v>31</v>
      </c>
      <c r="W860" s="1"/>
      <c r="Y860" s="3" t="s">
        <v>32</v>
      </c>
      <c r="Z860" s="3" t="s">
        <v>32</v>
      </c>
      <c r="AA860" s="3"/>
      <c r="AB860" s="3"/>
      <c r="AC860" s="4" t="s">
        <v>30</v>
      </c>
      <c r="AD860" s="3"/>
      <c r="AE860" s="3" t="s">
        <v>4562</v>
      </c>
      <c r="AF860" s="4" t="s">
        <v>30</v>
      </c>
      <c r="AH860" s="4">
        <v>1</v>
      </c>
      <c r="AI860" s="3" t="s">
        <v>5001</v>
      </c>
      <c r="AJ860" s="4" t="s">
        <v>4560</v>
      </c>
      <c r="AK860" s="4"/>
      <c r="AL860" s="3"/>
    </row>
    <row r="861" spans="1:38" x14ac:dyDescent="0.35">
      <c r="A861" s="3" t="s">
        <v>5002</v>
      </c>
      <c r="B861" s="4" t="s">
        <v>5006</v>
      </c>
      <c r="C861" s="4">
        <f>VLOOKUP(A861, [1]Planilha1!$A$3:$B$1015,2,FALSE)</f>
        <v>4744</v>
      </c>
      <c r="D861" s="4">
        <f t="shared" si="13"/>
        <v>1.3177777777777777</v>
      </c>
      <c r="E861" s="4" t="s">
        <v>1125</v>
      </c>
      <c r="F861" s="3" t="s">
        <v>5004</v>
      </c>
      <c r="G861" s="3" t="s">
        <v>1802</v>
      </c>
      <c r="H861" s="3" t="s">
        <v>44</v>
      </c>
      <c r="I861" s="3" t="s">
        <v>33</v>
      </c>
      <c r="J861" s="3" t="s">
        <v>41</v>
      </c>
      <c r="L861" s="1">
        <v>46029.417974537035</v>
      </c>
      <c r="M861" s="1">
        <v>46029.420925925922</v>
      </c>
      <c r="N861" s="1">
        <v>46029.448379629626</v>
      </c>
      <c r="O861" s="3" t="s">
        <v>43</v>
      </c>
      <c r="P861" s="3" t="s">
        <v>5006</v>
      </c>
      <c r="Q861" s="3" t="s">
        <v>42</v>
      </c>
      <c r="R861" s="3" t="s">
        <v>5005</v>
      </c>
      <c r="S861" s="3" t="s">
        <v>62</v>
      </c>
      <c r="T861" s="3" t="s">
        <v>61</v>
      </c>
      <c r="U861" s="4" t="b">
        <v>1</v>
      </c>
      <c r="V861" s="3" t="s">
        <v>31</v>
      </c>
      <c r="W861" s="1"/>
      <c r="Y861" s="3" t="s">
        <v>32</v>
      </c>
      <c r="Z861" s="3" t="s">
        <v>32</v>
      </c>
      <c r="AA861" s="3"/>
      <c r="AB861" s="3"/>
      <c r="AC861" s="4" t="s">
        <v>30</v>
      </c>
      <c r="AD861" s="3"/>
      <c r="AE861" s="3" t="s">
        <v>5006</v>
      </c>
      <c r="AF861" s="4" t="s">
        <v>30</v>
      </c>
      <c r="AH861" s="4">
        <v>1</v>
      </c>
      <c r="AI861" s="3" t="s">
        <v>5003</v>
      </c>
      <c r="AJ861" s="4" t="s">
        <v>5949</v>
      </c>
      <c r="AK861" s="4"/>
      <c r="AL861" s="3"/>
    </row>
    <row r="862" spans="1:38" x14ac:dyDescent="0.35">
      <c r="A862" s="3" t="s">
        <v>5007</v>
      </c>
      <c r="B862" s="4" t="s">
        <v>5011</v>
      </c>
      <c r="C862" s="4">
        <f>VLOOKUP(A862, [1]Planilha1!$A$3:$B$1015,2,FALSE)</f>
        <v>4638</v>
      </c>
      <c r="D862" s="4">
        <f t="shared" si="13"/>
        <v>1.2883333333333333</v>
      </c>
      <c r="E862" s="4" t="s">
        <v>1125</v>
      </c>
      <c r="F862" s="3" t="s">
        <v>5009</v>
      </c>
      <c r="G862" s="3" t="s">
        <v>1802</v>
      </c>
      <c r="H862" s="3" t="s">
        <v>44</v>
      </c>
      <c r="I862" s="3" t="s">
        <v>33</v>
      </c>
      <c r="J862" s="3" t="s">
        <v>41</v>
      </c>
      <c r="L862" s="1">
        <v>46029.415972222225</v>
      </c>
      <c r="M862" s="1">
        <v>46029.420162037037</v>
      </c>
      <c r="N862" s="1">
        <v>46032.458344907405</v>
      </c>
      <c r="O862" s="3" t="s">
        <v>43</v>
      </c>
      <c r="P862" s="3" t="s">
        <v>5011</v>
      </c>
      <c r="Q862" s="3" t="s">
        <v>42</v>
      </c>
      <c r="R862" s="3" t="s">
        <v>5010</v>
      </c>
      <c r="S862" s="3" t="s">
        <v>62</v>
      </c>
      <c r="T862" s="3" t="s">
        <v>61</v>
      </c>
      <c r="U862" s="4" t="b">
        <v>1</v>
      </c>
      <c r="V862" s="3" t="s">
        <v>31</v>
      </c>
      <c r="W862" s="1"/>
      <c r="Y862" s="3" t="s">
        <v>32</v>
      </c>
      <c r="Z862" s="3" t="s">
        <v>32</v>
      </c>
      <c r="AA862" s="3"/>
      <c r="AB862" s="3"/>
      <c r="AC862" s="4" t="s">
        <v>30</v>
      </c>
      <c r="AD862" s="3"/>
      <c r="AE862" s="3" t="s">
        <v>5011</v>
      </c>
      <c r="AF862" s="4" t="s">
        <v>30</v>
      </c>
      <c r="AH862" s="4">
        <v>1</v>
      </c>
      <c r="AI862" s="3" t="s">
        <v>5008</v>
      </c>
      <c r="AJ862" s="4" t="s">
        <v>5950</v>
      </c>
      <c r="AK862" s="4"/>
      <c r="AL862" s="3"/>
    </row>
    <row r="863" spans="1:38" x14ac:dyDescent="0.35">
      <c r="A863" s="3" t="s">
        <v>5012</v>
      </c>
      <c r="B863" s="4" t="s">
        <v>2452</v>
      </c>
      <c r="C863" s="4">
        <f>VLOOKUP(A863, [1]Planilha1!$A$3:$B$1015,2,FALSE)</f>
        <v>45745</v>
      </c>
      <c r="D863" s="4">
        <f t="shared" si="13"/>
        <v>12.706944444444444</v>
      </c>
      <c r="E863" s="4" t="s">
        <v>1125</v>
      </c>
      <c r="F863" s="3" t="s">
        <v>2449</v>
      </c>
      <c r="G863" s="3" t="s">
        <v>5013</v>
      </c>
      <c r="H863" s="3" t="s">
        <v>44</v>
      </c>
      <c r="I863" s="3" t="s">
        <v>33</v>
      </c>
      <c r="J863" s="3" t="s">
        <v>34</v>
      </c>
      <c r="L863" s="1">
        <v>46029.414907407408</v>
      </c>
      <c r="M863" s="1">
        <v>46029.414907407408</v>
      </c>
      <c r="N863" s="1">
        <v>46032.666666666664</v>
      </c>
      <c r="O863" s="3" t="s">
        <v>43</v>
      </c>
      <c r="P863" s="3" t="s">
        <v>2452</v>
      </c>
      <c r="Q863" s="3" t="s">
        <v>35</v>
      </c>
      <c r="R863" s="3" t="s">
        <v>2451</v>
      </c>
      <c r="S863" s="3" t="s">
        <v>37</v>
      </c>
      <c r="T863" s="3" t="s">
        <v>36</v>
      </c>
      <c r="U863" s="4" t="b">
        <v>0</v>
      </c>
      <c r="V863" s="3" t="s">
        <v>28</v>
      </c>
      <c r="W863" s="1"/>
      <c r="Y863" s="3" t="s">
        <v>29</v>
      </c>
      <c r="Z863" s="3" t="s">
        <v>29</v>
      </c>
      <c r="AA863" s="3"/>
      <c r="AB863" s="3"/>
      <c r="AC863" s="4" t="s">
        <v>30</v>
      </c>
      <c r="AD863" s="3"/>
      <c r="AE863" s="3" t="s">
        <v>2452</v>
      </c>
      <c r="AF863" s="4" t="s">
        <v>30</v>
      </c>
      <c r="AH863" s="4">
        <v>4</v>
      </c>
      <c r="AI863" s="3" t="s">
        <v>5014</v>
      </c>
      <c r="AJ863" s="4" t="s">
        <v>2450</v>
      </c>
      <c r="AK863" s="4"/>
      <c r="AL863" s="3"/>
    </row>
    <row r="864" spans="1:38" x14ac:dyDescent="0.35">
      <c r="A864" s="3" t="s">
        <v>5015</v>
      </c>
      <c r="B864" s="4" t="s">
        <v>5021</v>
      </c>
      <c r="C864" s="4">
        <f>VLOOKUP(A864, [1]Planilha1!$A$3:$B$1015,2,FALSE)</f>
        <v>0</v>
      </c>
      <c r="D864" s="4">
        <f t="shared" si="13"/>
        <v>0</v>
      </c>
      <c r="E864" s="4" t="s">
        <v>1125</v>
      </c>
      <c r="F864" s="3" t="s">
        <v>5018</v>
      </c>
      <c r="G864" s="3" t="s">
        <v>239</v>
      </c>
      <c r="H864" s="3" t="s">
        <v>243</v>
      </c>
      <c r="I864" s="3" t="s">
        <v>33</v>
      </c>
      <c r="J864" s="3" t="s">
        <v>60</v>
      </c>
      <c r="K864" s="3" t="s">
        <v>5017</v>
      </c>
      <c r="L864" s="1">
        <v>46029.414120370369</v>
      </c>
      <c r="M864" s="1">
        <v>46029.424398148149</v>
      </c>
      <c r="N864" s="1">
        <v>46032.458344907405</v>
      </c>
      <c r="O864" s="3" t="s">
        <v>242</v>
      </c>
      <c r="P864" s="3" t="s">
        <v>5021</v>
      </c>
      <c r="Q864" s="3" t="s">
        <v>35</v>
      </c>
      <c r="R864" s="3" t="s">
        <v>5020</v>
      </c>
      <c r="S864" s="3" t="s">
        <v>144</v>
      </c>
      <c r="T864" s="3" t="s">
        <v>143</v>
      </c>
      <c r="U864" s="4" t="b">
        <v>1</v>
      </c>
      <c r="V864" s="3" t="s">
        <v>31</v>
      </c>
      <c r="W864" s="1"/>
      <c r="Y864" s="3" t="s">
        <v>32</v>
      </c>
      <c r="Z864" s="3" t="s">
        <v>32</v>
      </c>
      <c r="AA864" s="3"/>
      <c r="AB864" s="3"/>
      <c r="AC864" s="4" t="s">
        <v>30</v>
      </c>
      <c r="AD864" s="3"/>
      <c r="AE864" s="3" t="s">
        <v>5021</v>
      </c>
      <c r="AF864" s="4" t="s">
        <v>30</v>
      </c>
      <c r="AH864" s="4">
        <v>0</v>
      </c>
      <c r="AI864" s="3" t="s">
        <v>5016</v>
      </c>
      <c r="AJ864" s="4" t="s">
        <v>5019</v>
      </c>
      <c r="AK864" s="4"/>
      <c r="AL864" s="3"/>
    </row>
    <row r="865" spans="1:38" x14ac:dyDescent="0.35">
      <c r="A865" s="3" t="s">
        <v>5022</v>
      </c>
      <c r="B865" s="4" t="s">
        <v>5027</v>
      </c>
      <c r="C865" s="4">
        <f>VLOOKUP(A865, [1]Planilha1!$A$3:$B$1015,2,FALSE)</f>
        <v>6364</v>
      </c>
      <c r="D865" s="4">
        <f t="shared" si="13"/>
        <v>1.7677777777777777</v>
      </c>
      <c r="E865" s="4" t="s">
        <v>1125</v>
      </c>
      <c r="F865" s="3" t="s">
        <v>5024</v>
      </c>
      <c r="G865" s="3" t="s">
        <v>74</v>
      </c>
      <c r="H865" s="3" t="s">
        <v>44</v>
      </c>
      <c r="I865" s="3" t="s">
        <v>33</v>
      </c>
      <c r="J865" s="3" t="s">
        <v>41</v>
      </c>
      <c r="L865" s="1">
        <v>46029.410127314812</v>
      </c>
      <c r="M865" s="1">
        <v>46029.412291666667</v>
      </c>
      <c r="N865" s="1">
        <v>46029.449120370373</v>
      </c>
      <c r="O865" s="3" t="s">
        <v>43</v>
      </c>
      <c r="P865" s="3" t="s">
        <v>5027</v>
      </c>
      <c r="Q865" s="3" t="s">
        <v>42</v>
      </c>
      <c r="R865" s="3" t="s">
        <v>5026</v>
      </c>
      <c r="S865" s="3" t="s">
        <v>80</v>
      </c>
      <c r="T865" s="3" t="s">
        <v>79</v>
      </c>
      <c r="U865" s="4" t="b">
        <v>1</v>
      </c>
      <c r="V865" s="3" t="s">
        <v>31</v>
      </c>
      <c r="W865" s="1"/>
      <c r="Y865" s="3" t="s">
        <v>32</v>
      </c>
      <c r="Z865" s="3" t="s">
        <v>32</v>
      </c>
      <c r="AA865" s="3"/>
      <c r="AB865" s="3"/>
      <c r="AC865" s="4" t="s">
        <v>30</v>
      </c>
      <c r="AD865" s="3"/>
      <c r="AE865" s="3" t="s">
        <v>5027</v>
      </c>
      <c r="AF865" s="4" t="s">
        <v>30</v>
      </c>
      <c r="AH865" s="4">
        <v>1</v>
      </c>
      <c r="AI865" s="3" t="s">
        <v>5023</v>
      </c>
      <c r="AJ865" s="4" t="s">
        <v>5025</v>
      </c>
      <c r="AK865" s="4"/>
      <c r="AL865" s="3"/>
    </row>
    <row r="866" spans="1:38" x14ac:dyDescent="0.35">
      <c r="A866" s="3" t="s">
        <v>5028</v>
      </c>
      <c r="B866" s="4" t="s">
        <v>5034</v>
      </c>
      <c r="C866" s="4">
        <f>VLOOKUP(A866, [1]Planilha1!$A$3:$B$1015,2,FALSE)</f>
        <v>4436</v>
      </c>
      <c r="D866" s="4">
        <f t="shared" si="13"/>
        <v>1.2322222222222223</v>
      </c>
      <c r="E866" s="4" t="s">
        <v>1125</v>
      </c>
      <c r="F866" s="3" t="s">
        <v>5031</v>
      </c>
      <c r="G866" s="3" t="s">
        <v>214</v>
      </c>
      <c r="H866" s="3" t="s">
        <v>44</v>
      </c>
      <c r="I866" s="3" t="s">
        <v>33</v>
      </c>
      <c r="J866" s="3" t="s">
        <v>41</v>
      </c>
      <c r="K866" s="3" t="s">
        <v>5030</v>
      </c>
      <c r="L866" s="1">
        <v>46029.404108796298</v>
      </c>
      <c r="M866" s="1">
        <v>46029.412511574075</v>
      </c>
      <c r="N866" s="1">
        <v>46029.43818287037</v>
      </c>
      <c r="O866" s="3" t="s">
        <v>43</v>
      </c>
      <c r="P866" s="3" t="s">
        <v>5034</v>
      </c>
      <c r="Q866" s="3" t="s">
        <v>42</v>
      </c>
      <c r="R866" s="3" t="s">
        <v>5033</v>
      </c>
      <c r="S866" s="3" t="s">
        <v>144</v>
      </c>
      <c r="T866" s="3" t="s">
        <v>143</v>
      </c>
      <c r="U866" s="4" t="b">
        <v>1</v>
      </c>
      <c r="V866" s="3" t="s">
        <v>31</v>
      </c>
      <c r="W866" s="1"/>
      <c r="Y866" s="3" t="s">
        <v>32</v>
      </c>
      <c r="Z866" s="3" t="s">
        <v>32</v>
      </c>
      <c r="AA866" s="3"/>
      <c r="AB866" s="3"/>
      <c r="AC866" s="4" t="s">
        <v>30</v>
      </c>
      <c r="AD866" s="3"/>
      <c r="AE866" s="3" t="s">
        <v>5034</v>
      </c>
      <c r="AF866" s="4" t="s">
        <v>30</v>
      </c>
      <c r="AH866" s="4">
        <v>1</v>
      </c>
      <c r="AI866" s="3" t="s">
        <v>5029</v>
      </c>
      <c r="AJ866" s="4" t="s">
        <v>5032</v>
      </c>
      <c r="AK866" s="4"/>
      <c r="AL866" s="3"/>
    </row>
    <row r="867" spans="1:38" x14ac:dyDescent="0.35">
      <c r="A867" s="3" t="s">
        <v>5035</v>
      </c>
      <c r="B867" s="4" t="s">
        <v>94</v>
      </c>
      <c r="C867" s="4">
        <f>VLOOKUP(A867, [1]Planilha1!$A$3:$B$1015,2,FALSE)</f>
        <v>0</v>
      </c>
      <c r="D867" s="4">
        <f t="shared" si="13"/>
        <v>0</v>
      </c>
      <c r="E867" s="4" t="s">
        <v>1125</v>
      </c>
      <c r="F867" s="3" t="s">
        <v>92</v>
      </c>
      <c r="G867" s="3" t="s">
        <v>44</v>
      </c>
      <c r="H867" s="3" t="s">
        <v>44</v>
      </c>
      <c r="I867" s="3" t="s">
        <v>33</v>
      </c>
      <c r="J867" s="3" t="s">
        <v>60</v>
      </c>
      <c r="L867" s="1">
        <v>46029.400821759256</v>
      </c>
      <c r="M867" s="1">
        <v>46029.401423611111</v>
      </c>
      <c r="N867" s="1">
        <v>46032.416666666664</v>
      </c>
      <c r="O867" s="3" t="s">
        <v>43</v>
      </c>
      <c r="P867" s="3" t="s">
        <v>94</v>
      </c>
      <c r="Q867" s="3" t="s">
        <v>35</v>
      </c>
      <c r="R867" s="3" t="s">
        <v>93</v>
      </c>
      <c r="S867" s="3" t="s">
        <v>96</v>
      </c>
      <c r="T867" s="3" t="s">
        <v>95</v>
      </c>
      <c r="U867" s="4" t="b">
        <v>1</v>
      </c>
      <c r="V867" s="3" t="s">
        <v>31</v>
      </c>
      <c r="W867" s="1"/>
      <c r="Y867" s="3" t="s">
        <v>32</v>
      </c>
      <c r="Z867" s="3" t="s">
        <v>32</v>
      </c>
      <c r="AA867" s="3"/>
      <c r="AB867" s="3"/>
      <c r="AC867" s="4" t="s">
        <v>30</v>
      </c>
      <c r="AD867" s="3"/>
      <c r="AE867" s="3" t="s">
        <v>94</v>
      </c>
      <c r="AF867" s="4" t="s">
        <v>30</v>
      </c>
      <c r="AH867" s="4">
        <v>0</v>
      </c>
      <c r="AI867" s="3" t="s">
        <v>44</v>
      </c>
      <c r="AJ867" s="4"/>
      <c r="AK867" s="4"/>
      <c r="AL867" s="3"/>
    </row>
    <row r="868" spans="1:38" x14ac:dyDescent="0.35">
      <c r="A868" s="3" t="s">
        <v>5036</v>
      </c>
      <c r="B868" s="4" t="s">
        <v>5040</v>
      </c>
      <c r="C868" s="4">
        <f>VLOOKUP(A868, [1]Planilha1!$A$3:$B$1015,2,FALSE)</f>
        <v>0</v>
      </c>
      <c r="D868" s="4">
        <f t="shared" si="13"/>
        <v>0</v>
      </c>
      <c r="E868" s="4" t="s">
        <v>1125</v>
      </c>
      <c r="F868" s="3" t="s">
        <v>5038</v>
      </c>
      <c r="G868" s="3" t="s">
        <v>677</v>
      </c>
      <c r="H868" s="3" t="s">
        <v>677</v>
      </c>
      <c r="I868" s="3" t="s">
        <v>33</v>
      </c>
      <c r="J868" s="3" t="s">
        <v>60</v>
      </c>
      <c r="L868" s="1">
        <v>46029.400266203702</v>
      </c>
      <c r="M868" s="1">
        <v>46029.402581018519</v>
      </c>
      <c r="N868" s="1">
        <v>46032.416666666664</v>
      </c>
      <c r="O868" s="3" t="s">
        <v>1097</v>
      </c>
      <c r="P868" s="3" t="s">
        <v>5040</v>
      </c>
      <c r="Q868" s="3" t="s">
        <v>42</v>
      </c>
      <c r="R868" s="3" t="s">
        <v>5039</v>
      </c>
      <c r="S868" s="3" t="s">
        <v>120</v>
      </c>
      <c r="T868" s="3" t="s">
        <v>119</v>
      </c>
      <c r="U868" s="4" t="b">
        <v>1</v>
      </c>
      <c r="V868" s="3" t="s">
        <v>31</v>
      </c>
      <c r="W868" s="1"/>
      <c r="Y868" s="3" t="s">
        <v>32</v>
      </c>
      <c r="Z868" s="3" t="s">
        <v>32</v>
      </c>
      <c r="AA868" s="3"/>
      <c r="AB868" s="3"/>
      <c r="AC868" s="4" t="s">
        <v>30</v>
      </c>
      <c r="AD868" s="3"/>
      <c r="AE868" s="3" t="s">
        <v>5040</v>
      </c>
      <c r="AF868" s="4" t="s">
        <v>30</v>
      </c>
      <c r="AH868" s="4">
        <v>0</v>
      </c>
      <c r="AI868" s="3" t="s">
        <v>5037</v>
      </c>
      <c r="AJ868" s="4" t="s">
        <v>5951</v>
      </c>
      <c r="AK868" s="4"/>
      <c r="AL868" s="3"/>
    </row>
    <row r="869" spans="1:38" x14ac:dyDescent="0.35">
      <c r="A869" s="3" t="s">
        <v>5041</v>
      </c>
      <c r="B869" s="4" t="s">
        <v>5047</v>
      </c>
      <c r="C869" s="4">
        <f>VLOOKUP(A869, [1]Planilha1!$A$3:$B$1015,2,FALSE)</f>
        <v>4544</v>
      </c>
      <c r="D869" s="4">
        <f t="shared" si="13"/>
        <v>1.2622222222222221</v>
      </c>
      <c r="E869" s="4" t="s">
        <v>1125</v>
      </c>
      <c r="F869" s="3" t="s">
        <v>5044</v>
      </c>
      <c r="G869" s="3" t="s">
        <v>214</v>
      </c>
      <c r="H869" s="3" t="s">
        <v>44</v>
      </c>
      <c r="I869" s="3" t="s">
        <v>33</v>
      </c>
      <c r="J869" s="3" t="s">
        <v>41</v>
      </c>
      <c r="K869" s="3" t="s">
        <v>5043</v>
      </c>
      <c r="L869" s="1">
        <v>46029.396747685183</v>
      </c>
      <c r="M869" s="1">
        <v>46029.409270833334</v>
      </c>
      <c r="N869" s="1">
        <v>46029.435567129629</v>
      </c>
      <c r="O869" s="3" t="s">
        <v>43</v>
      </c>
      <c r="P869" s="3" t="s">
        <v>5047</v>
      </c>
      <c r="Q869" s="3" t="s">
        <v>42</v>
      </c>
      <c r="R869" s="3" t="s">
        <v>5046</v>
      </c>
      <c r="S869" s="3" t="s">
        <v>144</v>
      </c>
      <c r="T869" s="3" t="s">
        <v>143</v>
      </c>
      <c r="U869" s="4" t="b">
        <v>1</v>
      </c>
      <c r="V869" s="3" t="s">
        <v>71</v>
      </c>
      <c r="W869" s="1"/>
      <c r="Y869" s="3" t="s">
        <v>71</v>
      </c>
      <c r="Z869" s="3" t="s">
        <v>71</v>
      </c>
      <c r="AA869" s="3"/>
      <c r="AB869" s="3"/>
      <c r="AC869" s="4" t="s">
        <v>30</v>
      </c>
      <c r="AD869" s="3"/>
      <c r="AE869" s="3" t="s">
        <v>5047</v>
      </c>
      <c r="AF869" s="4" t="s">
        <v>30</v>
      </c>
      <c r="AH869" s="4">
        <v>1</v>
      </c>
      <c r="AI869" s="3" t="s">
        <v>5042</v>
      </c>
      <c r="AJ869" s="4" t="s">
        <v>5045</v>
      </c>
      <c r="AK869" s="4"/>
      <c r="AL869" s="3"/>
    </row>
    <row r="870" spans="1:38" x14ac:dyDescent="0.35">
      <c r="A870" s="3" t="s">
        <v>5048</v>
      </c>
      <c r="B870" s="4" t="s">
        <v>5052</v>
      </c>
      <c r="C870" s="4">
        <f>VLOOKUP(A870, [1]Planilha1!$A$3:$B$1015,2,FALSE)</f>
        <v>6456</v>
      </c>
      <c r="D870" s="4">
        <f t="shared" si="13"/>
        <v>1.7933333333333332</v>
      </c>
      <c r="E870" s="4" t="s">
        <v>1125</v>
      </c>
      <c r="F870" s="3" t="s">
        <v>5050</v>
      </c>
      <c r="G870" s="3" t="s">
        <v>44</v>
      </c>
      <c r="H870" s="3" t="s">
        <v>44</v>
      </c>
      <c r="I870" s="3" t="s">
        <v>33</v>
      </c>
      <c r="J870" s="3" t="s">
        <v>41</v>
      </c>
      <c r="L870" s="1">
        <v>46029.394849537035</v>
      </c>
      <c r="M870" s="1">
        <v>46029.395937499998</v>
      </c>
      <c r="N870" s="1">
        <v>46029.433298611111</v>
      </c>
      <c r="O870" s="3" t="s">
        <v>43</v>
      </c>
      <c r="P870" s="3" t="s">
        <v>5052</v>
      </c>
      <c r="Q870" s="3" t="s">
        <v>42</v>
      </c>
      <c r="R870" s="3" t="s">
        <v>5051</v>
      </c>
      <c r="S870" s="3" t="s">
        <v>96</v>
      </c>
      <c r="T870" s="3" t="s">
        <v>95</v>
      </c>
      <c r="U870" s="4" t="b">
        <v>1</v>
      </c>
      <c r="V870" s="3" t="s">
        <v>31</v>
      </c>
      <c r="W870" s="1"/>
      <c r="Y870" s="3" t="s">
        <v>32</v>
      </c>
      <c r="Z870" s="3" t="s">
        <v>32</v>
      </c>
      <c r="AA870" s="3"/>
      <c r="AB870" s="3"/>
      <c r="AC870" s="4" t="s">
        <v>30</v>
      </c>
      <c r="AD870" s="3"/>
      <c r="AE870" s="3" t="s">
        <v>5052</v>
      </c>
      <c r="AF870" s="4" t="s">
        <v>30</v>
      </c>
      <c r="AH870" s="4">
        <v>1</v>
      </c>
      <c r="AI870" s="3" t="s">
        <v>5049</v>
      </c>
      <c r="AJ870" s="4" t="s">
        <v>5952</v>
      </c>
      <c r="AK870" s="4"/>
      <c r="AL870" s="3"/>
    </row>
    <row r="871" spans="1:38" x14ac:dyDescent="0.35">
      <c r="A871" s="3" t="s">
        <v>5053</v>
      </c>
      <c r="B871" s="4" t="s">
        <v>5057</v>
      </c>
      <c r="C871" s="4">
        <f>VLOOKUP(A871, [1]Planilha1!$A$3:$B$1015,2,FALSE)</f>
        <v>16692</v>
      </c>
      <c r="D871" s="4">
        <f t="shared" si="13"/>
        <v>4.6366666666666667</v>
      </c>
      <c r="E871" s="4" t="s">
        <v>1125</v>
      </c>
      <c r="F871" s="3" t="s">
        <v>5055</v>
      </c>
      <c r="G871" s="3" t="s">
        <v>1052</v>
      </c>
      <c r="H871" s="3" t="s">
        <v>138</v>
      </c>
      <c r="I871" s="3" t="s">
        <v>33</v>
      </c>
      <c r="J871" s="3" t="s">
        <v>41</v>
      </c>
      <c r="L871" s="1">
        <v>46029.393414351849</v>
      </c>
      <c r="M871" s="1">
        <v>46029.393414351849</v>
      </c>
      <c r="N871" s="1">
        <v>46030.435833333337</v>
      </c>
      <c r="O871" s="3" t="s">
        <v>137</v>
      </c>
      <c r="P871" s="3" t="s">
        <v>5057</v>
      </c>
      <c r="Q871" s="3" t="s">
        <v>42</v>
      </c>
      <c r="R871" s="3" t="s">
        <v>5056</v>
      </c>
      <c r="S871" s="3" t="s">
        <v>37</v>
      </c>
      <c r="T871" s="3" t="s">
        <v>36</v>
      </c>
      <c r="U871" s="4" t="b">
        <v>1</v>
      </c>
      <c r="V871" s="3" t="s">
        <v>28</v>
      </c>
      <c r="W871" s="1"/>
      <c r="Y871" s="3" t="s">
        <v>29</v>
      </c>
      <c r="Z871" s="3" t="s">
        <v>29</v>
      </c>
      <c r="AA871" s="3"/>
      <c r="AB871" s="3"/>
      <c r="AC871" s="4" t="s">
        <v>30</v>
      </c>
      <c r="AD871" s="3"/>
      <c r="AE871" s="3" t="s">
        <v>5057</v>
      </c>
      <c r="AF871" s="4" t="s">
        <v>30</v>
      </c>
      <c r="AH871" s="4">
        <v>0</v>
      </c>
      <c r="AI871" s="3" t="s">
        <v>5054</v>
      </c>
      <c r="AJ871" s="4" t="s">
        <v>5953</v>
      </c>
      <c r="AK871" s="4"/>
      <c r="AL871" s="3"/>
    </row>
    <row r="872" spans="1:38" x14ac:dyDescent="0.35">
      <c r="A872" s="3" t="s">
        <v>5058</v>
      </c>
      <c r="B872" s="4" t="s">
        <v>5064</v>
      </c>
      <c r="C872" s="4">
        <f>VLOOKUP(A872, [1]Planilha1!$A$3:$B$1015,2,FALSE)</f>
        <v>44758</v>
      </c>
      <c r="D872" s="4">
        <f t="shared" si="13"/>
        <v>12.432777777777778</v>
      </c>
      <c r="E872" s="4" t="s">
        <v>1125</v>
      </c>
      <c r="F872" s="3" t="s">
        <v>5061</v>
      </c>
      <c r="G872" s="3" t="s">
        <v>44</v>
      </c>
      <c r="H872" s="3" t="s">
        <v>44</v>
      </c>
      <c r="I872" s="3" t="s">
        <v>33</v>
      </c>
      <c r="J872" s="3" t="s">
        <v>34</v>
      </c>
      <c r="K872" s="3" t="s">
        <v>5060</v>
      </c>
      <c r="L872" s="1">
        <v>46029.379016203704</v>
      </c>
      <c r="M872" s="1">
        <v>46029.39472222222</v>
      </c>
      <c r="N872" s="1">
        <v>46032.666666666664</v>
      </c>
      <c r="O872" s="3" t="s">
        <v>43</v>
      </c>
      <c r="P872" s="3" t="s">
        <v>5064</v>
      </c>
      <c r="Q872" s="3" t="s">
        <v>35</v>
      </c>
      <c r="R872" s="3" t="s">
        <v>5063</v>
      </c>
      <c r="S872" s="3" t="s">
        <v>120</v>
      </c>
      <c r="T872" s="3" t="s">
        <v>119</v>
      </c>
      <c r="U872" s="4" t="b">
        <v>0</v>
      </c>
      <c r="V872" s="3" t="s">
        <v>31</v>
      </c>
      <c r="W872" s="1"/>
      <c r="Y872" s="3" t="s">
        <v>32</v>
      </c>
      <c r="Z872" s="3" t="s">
        <v>32</v>
      </c>
      <c r="AA872" s="3"/>
      <c r="AB872" s="3"/>
      <c r="AC872" s="4" t="s">
        <v>30</v>
      </c>
      <c r="AD872" s="3"/>
      <c r="AE872" s="3" t="s">
        <v>5064</v>
      </c>
      <c r="AF872" s="4" t="s">
        <v>30</v>
      </c>
      <c r="AH872" s="4">
        <v>1</v>
      </c>
      <c r="AI872" s="3" t="s">
        <v>5059</v>
      </c>
      <c r="AJ872" s="4" t="s">
        <v>5062</v>
      </c>
      <c r="AK872" s="4"/>
      <c r="AL872" s="3"/>
    </row>
    <row r="873" spans="1:38" x14ac:dyDescent="0.35">
      <c r="A873" s="3" t="s">
        <v>5065</v>
      </c>
      <c r="B873" s="4" t="s">
        <v>5073</v>
      </c>
      <c r="C873" s="4">
        <f>VLOOKUP(A873, [1]Planilha1!$A$3:$B$1015,2,FALSE)</f>
        <v>0</v>
      </c>
      <c r="D873" s="4">
        <f t="shared" si="13"/>
        <v>0</v>
      </c>
      <c r="E873" s="4" t="s">
        <v>1125</v>
      </c>
      <c r="F873" s="3" t="s">
        <v>5071</v>
      </c>
      <c r="G873" s="3" t="s">
        <v>5066</v>
      </c>
      <c r="H873" s="3" t="s">
        <v>5070</v>
      </c>
      <c r="I873" s="3" t="s">
        <v>33</v>
      </c>
      <c r="J873" s="3" t="s">
        <v>60</v>
      </c>
      <c r="K873" s="3" t="s">
        <v>5068</v>
      </c>
      <c r="L873" s="1">
        <v>46029.370810185188</v>
      </c>
      <c r="M873" s="1">
        <v>46029.398680555554</v>
      </c>
      <c r="N873" s="1">
        <v>46032.416666666664</v>
      </c>
      <c r="O873" s="3" t="s">
        <v>5069</v>
      </c>
      <c r="P873" s="3" t="s">
        <v>5073</v>
      </c>
      <c r="Q873" s="3" t="s">
        <v>35</v>
      </c>
      <c r="R873" s="3" t="s">
        <v>5072</v>
      </c>
      <c r="S873" s="3" t="s">
        <v>144</v>
      </c>
      <c r="T873" s="3" t="s">
        <v>143</v>
      </c>
      <c r="U873" s="4" t="b">
        <v>1</v>
      </c>
      <c r="V873" s="3" t="s">
        <v>31</v>
      </c>
      <c r="W873" s="1"/>
      <c r="Y873" s="3" t="s">
        <v>32</v>
      </c>
      <c r="Z873" s="3" t="s">
        <v>32</v>
      </c>
      <c r="AA873" s="3"/>
      <c r="AB873" s="3"/>
      <c r="AC873" s="4" t="s">
        <v>30</v>
      </c>
      <c r="AD873" s="3"/>
      <c r="AE873" s="3" t="s">
        <v>5073</v>
      </c>
      <c r="AF873" s="4" t="s">
        <v>30</v>
      </c>
      <c r="AH873" s="4">
        <v>0</v>
      </c>
      <c r="AI873" s="3" t="s">
        <v>5067</v>
      </c>
      <c r="AJ873" s="4" t="s">
        <v>5954</v>
      </c>
      <c r="AK873" s="4"/>
      <c r="AL873" s="3"/>
    </row>
    <row r="874" spans="1:38" x14ac:dyDescent="0.35">
      <c r="A874" s="3" t="s">
        <v>5074</v>
      </c>
      <c r="B874" s="4" t="s">
        <v>5080</v>
      </c>
      <c r="C874" s="4">
        <f>VLOOKUP(A874, [1]Planilha1!$A$3:$B$1015,2,FALSE)</f>
        <v>30383</v>
      </c>
      <c r="D874" s="4">
        <f t="shared" si="13"/>
        <v>8.4397222222222226</v>
      </c>
      <c r="E874" s="4" t="s">
        <v>1125</v>
      </c>
      <c r="F874" s="3" t="s">
        <v>5077</v>
      </c>
      <c r="G874" s="3" t="s">
        <v>5075</v>
      </c>
      <c r="H874" s="3" t="s">
        <v>163</v>
      </c>
      <c r="I874" s="3" t="s">
        <v>33</v>
      </c>
      <c r="J874" s="3" t="s">
        <v>41</v>
      </c>
      <c r="L874" s="1">
        <v>46029.342187499999</v>
      </c>
      <c r="M874" s="1">
        <v>46029.342187499999</v>
      </c>
      <c r="N874" s="1">
        <v>46029.534421296295</v>
      </c>
      <c r="O874" s="3" t="s">
        <v>162</v>
      </c>
      <c r="P874" s="3" t="s">
        <v>5080</v>
      </c>
      <c r="Q874" s="3" t="s">
        <v>35</v>
      </c>
      <c r="R874" s="3" t="s">
        <v>5079</v>
      </c>
      <c r="S874" s="3" t="s">
        <v>37</v>
      </c>
      <c r="T874" s="3" t="s">
        <v>36</v>
      </c>
      <c r="U874" s="4" t="b">
        <v>1</v>
      </c>
      <c r="V874" s="3" t="s">
        <v>28</v>
      </c>
      <c r="W874" s="1"/>
      <c r="Y874" s="3" t="s">
        <v>29</v>
      </c>
      <c r="Z874" s="3" t="s">
        <v>29</v>
      </c>
      <c r="AA874" s="3"/>
      <c r="AB874" s="3"/>
      <c r="AC874" s="4" t="s">
        <v>30</v>
      </c>
      <c r="AD874" s="3"/>
      <c r="AE874" s="3" t="s">
        <v>5080</v>
      </c>
      <c r="AF874" s="4" t="s">
        <v>30</v>
      </c>
      <c r="AH874" s="4">
        <v>1</v>
      </c>
      <c r="AI874" s="3" t="s">
        <v>5076</v>
      </c>
      <c r="AJ874" s="4" t="s">
        <v>5078</v>
      </c>
      <c r="AK874" s="4"/>
      <c r="AL874" s="3"/>
    </row>
    <row r="875" spans="1:38" x14ac:dyDescent="0.35">
      <c r="A875" s="3" t="s">
        <v>5081</v>
      </c>
      <c r="B875" s="4" t="s">
        <v>5087</v>
      </c>
      <c r="C875" s="4">
        <f>VLOOKUP(A875, [1]Planilha1!$A$3:$B$1015,2,FALSE)</f>
        <v>32000</v>
      </c>
      <c r="D875" s="4">
        <f t="shared" si="13"/>
        <v>8.8888888888888893</v>
      </c>
      <c r="E875" s="4" t="s">
        <v>1125</v>
      </c>
      <c r="F875" s="3" t="s">
        <v>5084</v>
      </c>
      <c r="G875" s="3" t="s">
        <v>5082</v>
      </c>
      <c r="H875" s="3" t="s">
        <v>171</v>
      </c>
      <c r="I875" s="3" t="s">
        <v>33</v>
      </c>
      <c r="J875" s="3" t="s">
        <v>41</v>
      </c>
      <c r="L875" s="1">
        <v>46029.320787037039</v>
      </c>
      <c r="M875" s="1">
        <v>46029.320787037039</v>
      </c>
      <c r="N875" s="1">
        <v>46029.533078703702</v>
      </c>
      <c r="O875" s="3" t="s">
        <v>170</v>
      </c>
      <c r="P875" s="3" t="s">
        <v>5087</v>
      </c>
      <c r="Q875" s="3" t="s">
        <v>35</v>
      </c>
      <c r="R875" s="3" t="s">
        <v>5086</v>
      </c>
      <c r="S875" s="3" t="s">
        <v>37</v>
      </c>
      <c r="T875" s="3" t="s">
        <v>36</v>
      </c>
      <c r="U875" s="4" t="b">
        <v>1</v>
      </c>
      <c r="V875" s="3" t="s">
        <v>28</v>
      </c>
      <c r="W875" s="1"/>
      <c r="Y875" s="3" t="s">
        <v>29</v>
      </c>
      <c r="Z875" s="3" t="s">
        <v>29</v>
      </c>
      <c r="AA875" s="3"/>
      <c r="AB875" s="3"/>
      <c r="AC875" s="4" t="s">
        <v>30</v>
      </c>
      <c r="AD875" s="3"/>
      <c r="AE875" s="3" t="s">
        <v>5087</v>
      </c>
      <c r="AF875" s="4" t="s">
        <v>30</v>
      </c>
      <c r="AH875" s="4">
        <v>1</v>
      </c>
      <c r="AI875" s="3" t="s">
        <v>5083</v>
      </c>
      <c r="AJ875" s="4" t="s">
        <v>5085</v>
      </c>
      <c r="AK875" s="4"/>
      <c r="AL875" s="3"/>
    </row>
    <row r="876" spans="1:38" x14ac:dyDescent="0.35">
      <c r="A876" s="3" t="s">
        <v>5088</v>
      </c>
      <c r="B876" s="4" t="s">
        <v>94</v>
      </c>
      <c r="C876" s="4">
        <f>VLOOKUP(A876, [1]Planilha1!$A$3:$B$1015,2,FALSE)</f>
        <v>0</v>
      </c>
      <c r="D876" s="4">
        <f t="shared" si="13"/>
        <v>0</v>
      </c>
      <c r="E876" s="4" t="s">
        <v>1125</v>
      </c>
      <c r="F876" s="3" t="s">
        <v>92</v>
      </c>
      <c r="G876" s="3" t="s">
        <v>44</v>
      </c>
      <c r="H876" s="3" t="s">
        <v>44</v>
      </c>
      <c r="I876" s="3" t="s">
        <v>33</v>
      </c>
      <c r="J876" s="3" t="s">
        <v>60</v>
      </c>
      <c r="L876" s="1">
        <v>46028.742465277777</v>
      </c>
      <c r="M876" s="1">
        <v>46028.746550925927</v>
      </c>
      <c r="N876" s="1">
        <v>46031.75</v>
      </c>
      <c r="O876" s="3" t="s">
        <v>43</v>
      </c>
      <c r="P876" s="3" t="s">
        <v>94</v>
      </c>
      <c r="Q876" s="3" t="s">
        <v>35</v>
      </c>
      <c r="R876" s="3" t="s">
        <v>93</v>
      </c>
      <c r="S876" s="3" t="s">
        <v>98</v>
      </c>
      <c r="T876" s="3" t="s">
        <v>97</v>
      </c>
      <c r="U876" s="4" t="b">
        <v>1</v>
      </c>
      <c r="V876" s="3" t="s">
        <v>31</v>
      </c>
      <c r="W876" s="1"/>
      <c r="Y876" s="3" t="s">
        <v>32</v>
      </c>
      <c r="Z876" s="3" t="s">
        <v>32</v>
      </c>
      <c r="AA876" s="3"/>
      <c r="AB876" s="3"/>
      <c r="AC876" s="4" t="s">
        <v>30</v>
      </c>
      <c r="AD876" s="3"/>
      <c r="AE876" s="3" t="s">
        <v>94</v>
      </c>
      <c r="AF876" s="4" t="s">
        <v>30</v>
      </c>
      <c r="AH876" s="4">
        <v>0</v>
      </c>
      <c r="AI876" s="3" t="s">
        <v>5089</v>
      </c>
      <c r="AJ876" s="4"/>
      <c r="AK876" s="4"/>
      <c r="AL876" s="3"/>
    </row>
    <row r="877" spans="1:38" x14ac:dyDescent="0.35">
      <c r="A877" s="3" t="s">
        <v>5090</v>
      </c>
      <c r="B877" s="4" t="s">
        <v>5096</v>
      </c>
      <c r="C877" s="4">
        <f>VLOOKUP(A877, [1]Planilha1!$A$3:$B$1015,2,FALSE)</f>
        <v>3592</v>
      </c>
      <c r="D877" s="4">
        <f t="shared" si="13"/>
        <v>0.99777777777777776</v>
      </c>
      <c r="E877" s="4" t="s">
        <v>1125</v>
      </c>
      <c r="F877" s="3" t="s">
        <v>5093</v>
      </c>
      <c r="G877" s="3" t="s">
        <v>5091</v>
      </c>
      <c r="H877" s="3" t="s">
        <v>44</v>
      </c>
      <c r="I877" s="3" t="s">
        <v>33</v>
      </c>
      <c r="J877" s="3" t="s">
        <v>41</v>
      </c>
      <c r="L877" s="1">
        <v>46028.725185185183</v>
      </c>
      <c r="M877" s="1">
        <v>46028.729212962964</v>
      </c>
      <c r="N877" s="1">
        <v>46029.339618055557</v>
      </c>
      <c r="O877" s="3" t="s">
        <v>43</v>
      </c>
      <c r="P877" s="3" t="s">
        <v>5096</v>
      </c>
      <c r="Q877" s="3" t="s">
        <v>42</v>
      </c>
      <c r="R877" s="3" t="s">
        <v>5095</v>
      </c>
      <c r="S877" s="3" t="s">
        <v>80</v>
      </c>
      <c r="T877" s="3" t="s">
        <v>79</v>
      </c>
      <c r="U877" s="4" t="b">
        <v>1</v>
      </c>
      <c r="V877" s="3" t="s">
        <v>31</v>
      </c>
      <c r="W877" s="1"/>
      <c r="Y877" s="3" t="s">
        <v>32</v>
      </c>
      <c r="Z877" s="3" t="s">
        <v>32</v>
      </c>
      <c r="AA877" s="3"/>
      <c r="AB877" s="3"/>
      <c r="AC877" s="4" t="s">
        <v>30</v>
      </c>
      <c r="AD877" s="3"/>
      <c r="AE877" s="3" t="s">
        <v>5096</v>
      </c>
      <c r="AF877" s="4" t="s">
        <v>30</v>
      </c>
      <c r="AH877" s="4">
        <v>1</v>
      </c>
      <c r="AI877" s="3" t="s">
        <v>5092</v>
      </c>
      <c r="AJ877" s="4" t="s">
        <v>5094</v>
      </c>
      <c r="AK877" s="4"/>
      <c r="AL877" s="3"/>
    </row>
    <row r="878" spans="1:38" x14ac:dyDescent="0.35">
      <c r="A878" s="3" t="s">
        <v>5097</v>
      </c>
      <c r="B878" s="4" t="s">
        <v>5102</v>
      </c>
      <c r="C878" s="4">
        <f>VLOOKUP(A878, [1]Planilha1!$A$3:$B$1015,2,FALSE)</f>
        <v>1938</v>
      </c>
      <c r="D878" s="4">
        <f t="shared" si="13"/>
        <v>0.53833333333333333</v>
      </c>
      <c r="E878" s="4" t="s">
        <v>1125</v>
      </c>
      <c r="F878" s="3" t="s">
        <v>5099</v>
      </c>
      <c r="G878" s="3" t="s">
        <v>1231</v>
      </c>
      <c r="H878" s="3" t="s">
        <v>44</v>
      </c>
      <c r="I878" s="3" t="s">
        <v>33</v>
      </c>
      <c r="J878" s="3" t="s">
        <v>41</v>
      </c>
      <c r="L878" s="1">
        <v>46028.694849537038</v>
      </c>
      <c r="M878" s="1">
        <v>46028.695868055554</v>
      </c>
      <c r="N878" s="1">
        <v>46028.707083333335</v>
      </c>
      <c r="O878" s="3" t="s">
        <v>43</v>
      </c>
      <c r="P878" s="3" t="s">
        <v>5102</v>
      </c>
      <c r="Q878" s="3" t="s">
        <v>42</v>
      </c>
      <c r="R878" s="3" t="s">
        <v>5101</v>
      </c>
      <c r="S878" s="3" t="s">
        <v>1234</v>
      </c>
      <c r="T878" s="3" t="s">
        <v>1233</v>
      </c>
      <c r="U878" s="4" t="b">
        <v>1</v>
      </c>
      <c r="V878" s="3" t="s">
        <v>31</v>
      </c>
      <c r="W878" s="1"/>
      <c r="Y878" s="3" t="s">
        <v>32</v>
      </c>
      <c r="Z878" s="3" t="s">
        <v>32</v>
      </c>
      <c r="AA878" s="3"/>
      <c r="AB878" s="3"/>
      <c r="AC878" s="4" t="s">
        <v>30</v>
      </c>
      <c r="AD878" s="3"/>
      <c r="AE878" s="3" t="s">
        <v>5102</v>
      </c>
      <c r="AF878" s="4" t="s">
        <v>30</v>
      </c>
      <c r="AH878" s="4">
        <v>1</v>
      </c>
      <c r="AI878" s="3" t="s">
        <v>5098</v>
      </c>
      <c r="AJ878" s="4" t="s">
        <v>5100</v>
      </c>
      <c r="AK878" s="4"/>
      <c r="AL878" s="3"/>
    </row>
    <row r="879" spans="1:38" x14ac:dyDescent="0.35">
      <c r="A879" s="3" t="s">
        <v>5103</v>
      </c>
      <c r="B879" s="4" t="s">
        <v>4115</v>
      </c>
      <c r="C879" s="4">
        <f>VLOOKUP(A879, [1]Planilha1!$A$3:$B$1015,2,FALSE)</f>
        <v>0</v>
      </c>
      <c r="D879" s="4">
        <f t="shared" si="13"/>
        <v>0</v>
      </c>
      <c r="E879" s="4" t="s">
        <v>1125</v>
      </c>
      <c r="F879" s="3" t="s">
        <v>4112</v>
      </c>
      <c r="G879" s="3" t="s">
        <v>5104</v>
      </c>
      <c r="H879" s="3" t="s">
        <v>3735</v>
      </c>
      <c r="I879" s="3" t="s">
        <v>33</v>
      </c>
      <c r="J879" s="3" t="s">
        <v>60</v>
      </c>
      <c r="L879" s="1">
        <v>46028.683912037035</v>
      </c>
      <c r="M879" s="1">
        <v>46028.68886574074</v>
      </c>
      <c r="N879" s="1">
        <v>46031.708333333336</v>
      </c>
      <c r="O879" s="3" t="s">
        <v>3734</v>
      </c>
      <c r="P879" s="3" t="s">
        <v>4115</v>
      </c>
      <c r="Q879" s="3" t="s">
        <v>35</v>
      </c>
      <c r="R879" s="3" t="s">
        <v>4114</v>
      </c>
      <c r="S879" s="3" t="s">
        <v>62</v>
      </c>
      <c r="T879" s="3" t="s">
        <v>61</v>
      </c>
      <c r="U879" s="4" t="b">
        <v>1</v>
      </c>
      <c r="V879" s="3" t="s">
        <v>31</v>
      </c>
      <c r="W879" s="1"/>
      <c r="Y879" s="3" t="s">
        <v>32</v>
      </c>
      <c r="Z879" s="3" t="s">
        <v>32</v>
      </c>
      <c r="AA879" s="3"/>
      <c r="AB879" s="3"/>
      <c r="AC879" s="4" t="s">
        <v>30</v>
      </c>
      <c r="AD879" s="3"/>
      <c r="AE879" s="3" t="s">
        <v>4115</v>
      </c>
      <c r="AF879" s="4" t="s">
        <v>30</v>
      </c>
      <c r="AH879" s="4">
        <v>0</v>
      </c>
      <c r="AI879" s="3" t="s">
        <v>5105</v>
      </c>
      <c r="AJ879" s="4" t="s">
        <v>4113</v>
      </c>
      <c r="AK879" s="4"/>
      <c r="AL879" s="3"/>
    </row>
    <row r="880" spans="1:38" x14ac:dyDescent="0.35">
      <c r="A880" s="3" t="s">
        <v>5106</v>
      </c>
      <c r="B880" s="4" t="s">
        <v>4933</v>
      </c>
      <c r="C880" s="4">
        <f>VLOOKUP(A880, [1]Planilha1!$A$3:$B$1015,2,FALSE)</f>
        <v>3032</v>
      </c>
      <c r="D880" s="4">
        <f t="shared" si="13"/>
        <v>0.84222222222222221</v>
      </c>
      <c r="E880" s="4" t="s">
        <v>1125</v>
      </c>
      <c r="F880" s="3" t="s">
        <v>4930</v>
      </c>
      <c r="G880" s="3" t="s">
        <v>74</v>
      </c>
      <c r="H880" s="3" t="s">
        <v>44</v>
      </c>
      <c r="I880" s="3" t="s">
        <v>33</v>
      </c>
      <c r="J880" s="3" t="s">
        <v>41</v>
      </c>
      <c r="L880" s="1">
        <v>46028.655578703707</v>
      </c>
      <c r="M880" s="1">
        <v>46028.657766203702</v>
      </c>
      <c r="N880" s="1">
        <v>46028.675312500003</v>
      </c>
      <c r="O880" s="3" t="s">
        <v>43</v>
      </c>
      <c r="P880" s="3" t="s">
        <v>4933</v>
      </c>
      <c r="Q880" s="3" t="s">
        <v>42</v>
      </c>
      <c r="R880" s="3" t="s">
        <v>4932</v>
      </c>
      <c r="S880" s="3" t="s">
        <v>80</v>
      </c>
      <c r="T880" s="3" t="s">
        <v>79</v>
      </c>
      <c r="U880" s="4" t="b">
        <v>1</v>
      </c>
      <c r="V880" s="3" t="s">
        <v>31</v>
      </c>
      <c r="W880" s="1"/>
      <c r="Y880" s="3" t="s">
        <v>32</v>
      </c>
      <c r="Z880" s="3" t="s">
        <v>32</v>
      </c>
      <c r="AA880" s="3"/>
      <c r="AB880" s="3"/>
      <c r="AC880" s="4" t="s">
        <v>30</v>
      </c>
      <c r="AD880" s="3"/>
      <c r="AE880" s="3" t="s">
        <v>4933</v>
      </c>
      <c r="AF880" s="4" t="s">
        <v>30</v>
      </c>
      <c r="AH880" s="4">
        <v>1</v>
      </c>
      <c r="AI880" s="3" t="s">
        <v>5107</v>
      </c>
      <c r="AJ880" s="4" t="s">
        <v>4931</v>
      </c>
      <c r="AK880" s="4"/>
      <c r="AL880" s="3"/>
    </row>
    <row r="881" spans="1:38" x14ac:dyDescent="0.35">
      <c r="A881" s="3" t="s">
        <v>5108</v>
      </c>
      <c r="B881" s="4" t="s">
        <v>4980</v>
      </c>
      <c r="C881" s="4">
        <f>VLOOKUP(A881, [1]Planilha1!$A$3:$B$1015,2,FALSE)</f>
        <v>1106</v>
      </c>
      <c r="D881" s="4">
        <f t="shared" si="13"/>
        <v>0.30722222222222223</v>
      </c>
      <c r="E881" s="4" t="s">
        <v>1125</v>
      </c>
      <c r="F881" s="3" t="s">
        <v>4977</v>
      </c>
      <c r="G881" s="3" t="s">
        <v>72</v>
      </c>
      <c r="H881" s="3" t="s">
        <v>457</v>
      </c>
      <c r="I881" s="3" t="s">
        <v>33</v>
      </c>
      <c r="J881" s="3" t="s">
        <v>60</v>
      </c>
      <c r="L881" s="1">
        <v>46028.654918981483</v>
      </c>
      <c r="M881" s="1">
        <v>46028.654918981483</v>
      </c>
      <c r="N881" s="1">
        <v>46031.666678240741</v>
      </c>
      <c r="O881" s="3" t="s">
        <v>460</v>
      </c>
      <c r="P881" s="3" t="s">
        <v>4980</v>
      </c>
      <c r="Q881" s="3" t="s">
        <v>35</v>
      </c>
      <c r="R881" s="3" t="s">
        <v>4979</v>
      </c>
      <c r="S881" s="3" t="s">
        <v>37</v>
      </c>
      <c r="T881" s="3" t="s">
        <v>36</v>
      </c>
      <c r="U881" s="4" t="b">
        <v>1</v>
      </c>
      <c r="V881" s="3" t="s">
        <v>28</v>
      </c>
      <c r="W881" s="1"/>
      <c r="Y881" s="3" t="s">
        <v>29</v>
      </c>
      <c r="Z881" s="3" t="s">
        <v>29</v>
      </c>
      <c r="AA881" s="3"/>
      <c r="AB881" s="3"/>
      <c r="AC881" s="4" t="s">
        <v>30</v>
      </c>
      <c r="AD881" s="3"/>
      <c r="AE881" s="3" t="s">
        <v>4980</v>
      </c>
      <c r="AF881" s="4" t="s">
        <v>30</v>
      </c>
      <c r="AH881" s="4">
        <v>0</v>
      </c>
      <c r="AI881" s="3" t="s">
        <v>5109</v>
      </c>
      <c r="AJ881" s="4" t="s">
        <v>4978</v>
      </c>
      <c r="AK881" s="4"/>
      <c r="AL881" s="3"/>
    </row>
    <row r="882" spans="1:38" x14ac:dyDescent="0.35">
      <c r="A882" s="3" t="s">
        <v>5110</v>
      </c>
      <c r="B882" s="4" t="s">
        <v>5114</v>
      </c>
      <c r="C882" s="4">
        <f>VLOOKUP(A882, [1]Planilha1!$A$3:$B$1015,2,FALSE)</f>
        <v>3680</v>
      </c>
      <c r="D882" s="4">
        <f t="shared" si="13"/>
        <v>1.0222222222222221</v>
      </c>
      <c r="E882" s="4" t="s">
        <v>1125</v>
      </c>
      <c r="F882" s="3" t="s">
        <v>5112</v>
      </c>
      <c r="G882" s="3" t="s">
        <v>74</v>
      </c>
      <c r="H882" s="3" t="s">
        <v>44</v>
      </c>
      <c r="I882" s="3" t="s">
        <v>33</v>
      </c>
      <c r="J882" s="3" t="s">
        <v>41</v>
      </c>
      <c r="L882" s="1">
        <v>46028.65152777778</v>
      </c>
      <c r="M882" s="1">
        <v>46028.653344907405</v>
      </c>
      <c r="N882" s="1">
        <v>46028.674641203703</v>
      </c>
      <c r="O882" s="3" t="s">
        <v>43</v>
      </c>
      <c r="P882" s="3" t="s">
        <v>5114</v>
      </c>
      <c r="Q882" s="3" t="s">
        <v>42</v>
      </c>
      <c r="R882" s="3" t="s">
        <v>5113</v>
      </c>
      <c r="S882" s="3" t="s">
        <v>80</v>
      </c>
      <c r="T882" s="3" t="s">
        <v>79</v>
      </c>
      <c r="U882" s="4" t="b">
        <v>1</v>
      </c>
      <c r="V882" s="3" t="s">
        <v>31</v>
      </c>
      <c r="W882" s="1"/>
      <c r="Y882" s="3" t="s">
        <v>32</v>
      </c>
      <c r="Z882" s="3" t="s">
        <v>32</v>
      </c>
      <c r="AA882" s="3"/>
      <c r="AB882" s="3"/>
      <c r="AC882" s="4" t="s">
        <v>30</v>
      </c>
      <c r="AD882" s="3"/>
      <c r="AE882" s="3" t="s">
        <v>5114</v>
      </c>
      <c r="AF882" s="4" t="s">
        <v>30</v>
      </c>
      <c r="AH882" s="4">
        <v>1</v>
      </c>
      <c r="AI882" s="3" t="s">
        <v>5111</v>
      </c>
      <c r="AJ882" s="4" t="s">
        <v>5955</v>
      </c>
      <c r="AK882" s="4"/>
      <c r="AL882" s="3"/>
    </row>
    <row r="883" spans="1:38" x14ac:dyDescent="0.35">
      <c r="A883" s="3" t="s">
        <v>5115</v>
      </c>
      <c r="B883" s="4" t="s">
        <v>417</v>
      </c>
      <c r="C883" s="4">
        <f>VLOOKUP(A883, [1]Planilha1!$A$3:$B$1015,2,FALSE)</f>
        <v>0</v>
      </c>
      <c r="D883" s="4">
        <f t="shared" si="13"/>
        <v>0</v>
      </c>
      <c r="E883" s="4" t="s">
        <v>1125</v>
      </c>
      <c r="F883" s="3" t="s">
        <v>414</v>
      </c>
      <c r="G883" s="3" t="s">
        <v>134</v>
      </c>
      <c r="H883" s="3" t="s">
        <v>138</v>
      </c>
      <c r="I883" s="3" t="s">
        <v>33</v>
      </c>
      <c r="J883" s="3" t="s">
        <v>60</v>
      </c>
      <c r="K883" s="3" t="s">
        <v>3560</v>
      </c>
      <c r="L883" s="1">
        <v>46028.647696759261</v>
      </c>
      <c r="M883" s="1">
        <v>46028.680706018517</v>
      </c>
      <c r="N883" s="1">
        <v>46031.708333333336</v>
      </c>
      <c r="O883" s="3" t="s">
        <v>137</v>
      </c>
      <c r="P883" s="3" t="s">
        <v>417</v>
      </c>
      <c r="Q883" s="3" t="s">
        <v>35</v>
      </c>
      <c r="R883" s="3" t="s">
        <v>416</v>
      </c>
      <c r="S883" s="3" t="s">
        <v>144</v>
      </c>
      <c r="T883" s="3" t="s">
        <v>143</v>
      </c>
      <c r="U883" s="4" t="b">
        <v>1</v>
      </c>
      <c r="V883" s="3" t="s">
        <v>31</v>
      </c>
      <c r="W883" s="1"/>
      <c r="Y883" s="3" t="s">
        <v>32</v>
      </c>
      <c r="Z883" s="3" t="s">
        <v>32</v>
      </c>
      <c r="AA883" s="3"/>
      <c r="AB883" s="3"/>
      <c r="AC883" s="4" t="s">
        <v>30</v>
      </c>
      <c r="AD883" s="3"/>
      <c r="AE883" s="3" t="s">
        <v>417</v>
      </c>
      <c r="AF883" s="4" t="s">
        <v>30</v>
      </c>
      <c r="AH883" s="4">
        <v>0</v>
      </c>
      <c r="AI883" s="3" t="s">
        <v>5116</v>
      </c>
      <c r="AJ883" s="4" t="s">
        <v>415</v>
      </c>
      <c r="AK883" s="4"/>
      <c r="AL883" s="3"/>
    </row>
    <row r="884" spans="1:38" x14ac:dyDescent="0.35">
      <c r="A884" s="3" t="s">
        <v>5117</v>
      </c>
      <c r="B884" s="4" t="s">
        <v>5121</v>
      </c>
      <c r="C884" s="4">
        <f>VLOOKUP(A884, [1]Planilha1!$A$3:$B$1015,2,FALSE)</f>
        <v>7972</v>
      </c>
      <c r="D884" s="4">
        <f t="shared" si="13"/>
        <v>2.2144444444444447</v>
      </c>
      <c r="E884" s="4" t="s">
        <v>1125</v>
      </c>
      <c r="F884" s="3" t="s">
        <v>5119</v>
      </c>
      <c r="G884" s="3" t="s">
        <v>44</v>
      </c>
      <c r="H884" s="3" t="s">
        <v>44</v>
      </c>
      <c r="I884" s="3" t="s">
        <v>33</v>
      </c>
      <c r="J884" s="3" t="s">
        <v>41</v>
      </c>
      <c r="L884" s="1">
        <v>46028.641759259262</v>
      </c>
      <c r="M884" s="1">
        <v>46028.648680555554</v>
      </c>
      <c r="N884" s="1">
        <v>46028.694814814815</v>
      </c>
      <c r="O884" s="3" t="s">
        <v>43</v>
      </c>
      <c r="P884" s="3" t="s">
        <v>5121</v>
      </c>
      <c r="Q884" s="3" t="s">
        <v>42</v>
      </c>
      <c r="R884" s="3" t="s">
        <v>5120</v>
      </c>
      <c r="S884" s="3" t="s">
        <v>96</v>
      </c>
      <c r="T884" s="3" t="s">
        <v>95</v>
      </c>
      <c r="U884" s="4" t="b">
        <v>1</v>
      </c>
      <c r="V884" s="3" t="s">
        <v>31</v>
      </c>
      <c r="W884" s="1"/>
      <c r="Y884" s="3" t="s">
        <v>32</v>
      </c>
      <c r="Z884" s="3" t="s">
        <v>32</v>
      </c>
      <c r="AA884" s="3"/>
      <c r="AB884" s="3"/>
      <c r="AC884" s="4" t="s">
        <v>30</v>
      </c>
      <c r="AD884" s="3"/>
      <c r="AE884" s="3" t="s">
        <v>5121</v>
      </c>
      <c r="AF884" s="4" t="s">
        <v>30</v>
      </c>
      <c r="AH884" s="4">
        <v>1</v>
      </c>
      <c r="AI884" s="3" t="s">
        <v>5118</v>
      </c>
      <c r="AJ884" s="4" t="s">
        <v>5956</v>
      </c>
      <c r="AK884" s="4"/>
      <c r="AL884" s="3"/>
    </row>
    <row r="885" spans="1:38" x14ac:dyDescent="0.35">
      <c r="A885" s="3" t="s">
        <v>5122</v>
      </c>
      <c r="B885" s="4" t="s">
        <v>5128</v>
      </c>
      <c r="C885" s="4">
        <f>VLOOKUP(A885, [1]Planilha1!$A$3:$B$1015,2,FALSE)</f>
        <v>8122</v>
      </c>
      <c r="D885" s="4">
        <f t="shared" si="13"/>
        <v>2.2561111111111112</v>
      </c>
      <c r="E885" s="4" t="s">
        <v>1125</v>
      </c>
      <c r="F885" s="3" t="s">
        <v>5125</v>
      </c>
      <c r="G885" s="3" t="s">
        <v>214</v>
      </c>
      <c r="H885" s="3" t="s">
        <v>44</v>
      </c>
      <c r="I885" s="3" t="s">
        <v>33</v>
      </c>
      <c r="J885" s="3" t="s">
        <v>41</v>
      </c>
      <c r="K885" s="3" t="s">
        <v>5124</v>
      </c>
      <c r="L885" s="1">
        <v>46028.64025462963</v>
      </c>
      <c r="M885" s="1">
        <v>46028.647164351853</v>
      </c>
      <c r="N885" s="1">
        <v>46028.694166666668</v>
      </c>
      <c r="O885" s="3" t="s">
        <v>43</v>
      </c>
      <c r="P885" s="3" t="s">
        <v>5128</v>
      </c>
      <c r="Q885" s="3" t="s">
        <v>42</v>
      </c>
      <c r="R885" s="3" t="s">
        <v>5127</v>
      </c>
      <c r="S885" s="3" t="s">
        <v>144</v>
      </c>
      <c r="T885" s="3" t="s">
        <v>143</v>
      </c>
      <c r="U885" s="4" t="b">
        <v>1</v>
      </c>
      <c r="V885" s="3" t="s">
        <v>31</v>
      </c>
      <c r="W885" s="1"/>
      <c r="Y885" s="3" t="s">
        <v>32</v>
      </c>
      <c r="Z885" s="3" t="s">
        <v>32</v>
      </c>
      <c r="AA885" s="3"/>
      <c r="AB885" s="3"/>
      <c r="AC885" s="4" t="s">
        <v>30</v>
      </c>
      <c r="AD885" s="3"/>
      <c r="AE885" s="3" t="s">
        <v>5128</v>
      </c>
      <c r="AF885" s="4" t="s">
        <v>30</v>
      </c>
      <c r="AH885" s="4">
        <v>1</v>
      </c>
      <c r="AI885" s="3" t="s">
        <v>5123</v>
      </c>
      <c r="AJ885" s="4" t="s">
        <v>5126</v>
      </c>
      <c r="AK885" s="4"/>
      <c r="AL885" s="3"/>
    </row>
    <row r="886" spans="1:38" x14ac:dyDescent="0.35">
      <c r="A886" s="3" t="s">
        <v>5129</v>
      </c>
      <c r="B886" s="4" t="s">
        <v>94</v>
      </c>
      <c r="C886" s="4">
        <f>VLOOKUP(A886, [1]Planilha1!$A$3:$B$1015,2,FALSE)</f>
        <v>19734</v>
      </c>
      <c r="D886" s="4">
        <f t="shared" si="13"/>
        <v>5.4816666666666665</v>
      </c>
      <c r="E886" s="4" t="s">
        <v>1125</v>
      </c>
      <c r="F886" s="3" t="s">
        <v>92</v>
      </c>
      <c r="G886" s="3" t="s">
        <v>5130</v>
      </c>
      <c r="H886" s="3" t="s">
        <v>44</v>
      </c>
      <c r="I886" s="3" t="s">
        <v>33</v>
      </c>
      <c r="J886" s="3" t="s">
        <v>41</v>
      </c>
      <c r="L886" s="1">
        <v>46028.635879629626</v>
      </c>
      <c r="M886" s="1">
        <v>46028.635879629626</v>
      </c>
      <c r="N886" s="1">
        <v>46028.712013888886</v>
      </c>
      <c r="O886" s="3" t="s">
        <v>43</v>
      </c>
      <c r="P886" s="3" t="s">
        <v>94</v>
      </c>
      <c r="Q886" s="3" t="s">
        <v>42</v>
      </c>
      <c r="R886" s="3" t="s">
        <v>93</v>
      </c>
      <c r="S886" s="3" t="s">
        <v>37</v>
      </c>
      <c r="T886" s="3" t="s">
        <v>36</v>
      </c>
      <c r="U886" s="4" t="b">
        <v>1</v>
      </c>
      <c r="V886" s="3" t="s">
        <v>28</v>
      </c>
      <c r="W886" s="1"/>
      <c r="Y886" s="3" t="s">
        <v>29</v>
      </c>
      <c r="Z886" s="3" t="s">
        <v>29</v>
      </c>
      <c r="AA886" s="3"/>
      <c r="AB886" s="3"/>
      <c r="AC886" s="4" t="s">
        <v>30</v>
      </c>
      <c r="AD886" s="3"/>
      <c r="AE886" s="3" t="s">
        <v>94</v>
      </c>
      <c r="AF886" s="4" t="s">
        <v>30</v>
      </c>
      <c r="AH886" s="4">
        <v>0</v>
      </c>
      <c r="AI886" s="3" t="s">
        <v>5131</v>
      </c>
      <c r="AJ886" s="4"/>
      <c r="AK886" s="4"/>
      <c r="AL886" s="3"/>
    </row>
    <row r="887" spans="1:38" x14ac:dyDescent="0.35">
      <c r="A887" s="3" t="s">
        <v>5132</v>
      </c>
      <c r="B887" s="4" t="s">
        <v>5138</v>
      </c>
      <c r="C887" s="4">
        <f>VLOOKUP(A887, [1]Planilha1!$A$3:$B$1015,2,FALSE)</f>
        <v>10618</v>
      </c>
      <c r="D887" s="4">
        <f t="shared" si="13"/>
        <v>2.9494444444444445</v>
      </c>
      <c r="E887" s="4" t="s">
        <v>1125</v>
      </c>
      <c r="F887" s="3" t="s">
        <v>5135</v>
      </c>
      <c r="G887" s="3" t="s">
        <v>5133</v>
      </c>
      <c r="H887" s="3" t="s">
        <v>44</v>
      </c>
      <c r="I887" s="3" t="s">
        <v>33</v>
      </c>
      <c r="J887" s="3" t="s">
        <v>41</v>
      </c>
      <c r="L887" s="1">
        <v>46028.632233796299</v>
      </c>
      <c r="M887" s="1">
        <v>46028.632233796299</v>
      </c>
      <c r="N887" s="1">
        <v>46028.69222222222</v>
      </c>
      <c r="O887" s="3" t="s">
        <v>43</v>
      </c>
      <c r="P887" s="3" t="s">
        <v>5138</v>
      </c>
      <c r="Q887" s="3" t="s">
        <v>42</v>
      </c>
      <c r="R887" s="3" t="s">
        <v>5137</v>
      </c>
      <c r="S887" s="3" t="s">
        <v>37</v>
      </c>
      <c r="T887" s="3" t="s">
        <v>36</v>
      </c>
      <c r="U887" s="4" t="b">
        <v>1</v>
      </c>
      <c r="V887" s="3" t="s">
        <v>28</v>
      </c>
      <c r="W887" s="1"/>
      <c r="Y887" s="3" t="s">
        <v>29</v>
      </c>
      <c r="Z887" s="3" t="s">
        <v>29</v>
      </c>
      <c r="AA887" s="3"/>
      <c r="AB887" s="3"/>
      <c r="AC887" s="4" t="s">
        <v>30</v>
      </c>
      <c r="AD887" s="3"/>
      <c r="AE887" s="3" t="s">
        <v>5138</v>
      </c>
      <c r="AF887" s="4" t="s">
        <v>30</v>
      </c>
      <c r="AH887" s="4">
        <v>2</v>
      </c>
      <c r="AI887" s="3" t="s">
        <v>5134</v>
      </c>
      <c r="AJ887" s="4" t="s">
        <v>5136</v>
      </c>
      <c r="AK887" s="4"/>
      <c r="AL887" s="3"/>
    </row>
    <row r="888" spans="1:38" x14ac:dyDescent="0.35">
      <c r="A888" s="3" t="s">
        <v>5139</v>
      </c>
      <c r="B888" s="4" t="s">
        <v>5144</v>
      </c>
      <c r="C888" s="4">
        <f>VLOOKUP(A888, [1]Planilha1!$A$3:$B$1015,2,FALSE)</f>
        <v>88404</v>
      </c>
      <c r="D888" s="4">
        <f t="shared" si="13"/>
        <v>24.556666666666668</v>
      </c>
      <c r="E888" s="4" t="s">
        <v>1125</v>
      </c>
      <c r="F888" s="3" t="s">
        <v>5141</v>
      </c>
      <c r="G888" s="3" t="s">
        <v>2559</v>
      </c>
      <c r="H888" s="3" t="s">
        <v>44</v>
      </c>
      <c r="I888" s="3" t="s">
        <v>33</v>
      </c>
      <c r="J888" s="3" t="s">
        <v>34</v>
      </c>
      <c r="L888" s="1">
        <v>46028.624525462961</v>
      </c>
      <c r="M888" s="1">
        <v>46028.646944444445</v>
      </c>
      <c r="N888" s="1">
        <v>46033.416666666664</v>
      </c>
      <c r="O888" s="3" t="s">
        <v>43</v>
      </c>
      <c r="P888" s="3" t="s">
        <v>5144</v>
      </c>
      <c r="Q888" s="3" t="s">
        <v>35</v>
      </c>
      <c r="R888" s="3" t="s">
        <v>5143</v>
      </c>
      <c r="S888" s="3" t="s">
        <v>80</v>
      </c>
      <c r="T888" s="3" t="s">
        <v>79</v>
      </c>
      <c r="U888" s="4" t="b">
        <v>0</v>
      </c>
      <c r="V888" s="3" t="s">
        <v>31</v>
      </c>
      <c r="W888" s="1"/>
      <c r="Y888" s="3" t="s">
        <v>32</v>
      </c>
      <c r="Z888" s="3" t="s">
        <v>32</v>
      </c>
      <c r="AA888" s="3"/>
      <c r="AB888" s="3"/>
      <c r="AC888" s="4" t="s">
        <v>30</v>
      </c>
      <c r="AD888" s="3"/>
      <c r="AE888" s="3" t="s">
        <v>5144</v>
      </c>
      <c r="AF888" s="4" t="s">
        <v>30</v>
      </c>
      <c r="AH888" s="4">
        <v>2</v>
      </c>
      <c r="AI888" s="3" t="s">
        <v>5140</v>
      </c>
      <c r="AJ888" s="4" t="s">
        <v>5142</v>
      </c>
      <c r="AK888" s="4"/>
      <c r="AL888" s="3"/>
    </row>
    <row r="889" spans="1:38" x14ac:dyDescent="0.35">
      <c r="A889" s="3" t="s">
        <v>5145</v>
      </c>
      <c r="B889" s="4" t="s">
        <v>5151</v>
      </c>
      <c r="C889" s="4">
        <f>VLOOKUP(A889, [1]Planilha1!$A$3:$B$1015,2,FALSE)</f>
        <v>14947</v>
      </c>
      <c r="D889" s="4">
        <f t="shared" si="13"/>
        <v>4.1519444444444442</v>
      </c>
      <c r="E889" s="4" t="s">
        <v>1125</v>
      </c>
      <c r="F889" s="3" t="s">
        <v>5148</v>
      </c>
      <c r="G889" s="3" t="s">
        <v>214</v>
      </c>
      <c r="H889" s="3" t="s">
        <v>44</v>
      </c>
      <c r="I889" s="3" t="s">
        <v>33</v>
      </c>
      <c r="J889" s="3" t="s">
        <v>41</v>
      </c>
      <c r="K889" s="3" t="s">
        <v>5147</v>
      </c>
      <c r="L889" s="1">
        <v>46028.62226851852</v>
      </c>
      <c r="M889" s="1">
        <v>46028.62226851852</v>
      </c>
      <c r="N889" s="1">
        <v>46028.691018518519</v>
      </c>
      <c r="O889" s="3" t="s">
        <v>43</v>
      </c>
      <c r="P889" s="3" t="s">
        <v>5151</v>
      </c>
      <c r="Q889" s="3" t="s">
        <v>42</v>
      </c>
      <c r="R889" s="3" t="s">
        <v>5150</v>
      </c>
      <c r="S889" s="3" t="s">
        <v>37</v>
      </c>
      <c r="T889" s="3" t="s">
        <v>36</v>
      </c>
      <c r="U889" s="4" t="b">
        <v>1</v>
      </c>
      <c r="V889" s="3" t="s">
        <v>28</v>
      </c>
      <c r="W889" s="1"/>
      <c r="Y889" s="3" t="s">
        <v>29</v>
      </c>
      <c r="Z889" s="3" t="s">
        <v>29</v>
      </c>
      <c r="AA889" s="3"/>
      <c r="AB889" s="3"/>
      <c r="AC889" s="4" t="s">
        <v>30</v>
      </c>
      <c r="AD889" s="3"/>
      <c r="AE889" s="3" t="s">
        <v>5151</v>
      </c>
      <c r="AF889" s="4" t="s">
        <v>30</v>
      </c>
      <c r="AH889" s="4">
        <v>2</v>
      </c>
      <c r="AI889" s="3" t="s">
        <v>5146</v>
      </c>
      <c r="AJ889" s="4" t="s">
        <v>5149</v>
      </c>
      <c r="AK889" s="4"/>
      <c r="AL889" s="3"/>
    </row>
    <row r="890" spans="1:38" x14ac:dyDescent="0.35">
      <c r="A890" s="3" t="s">
        <v>5152</v>
      </c>
      <c r="B890" s="4" t="s">
        <v>5158</v>
      </c>
      <c r="C890" s="4">
        <f>VLOOKUP(A890, [1]Planilha1!$A$3:$B$1015,2,FALSE)</f>
        <v>0</v>
      </c>
      <c r="D890" s="4">
        <f t="shared" si="13"/>
        <v>0</v>
      </c>
      <c r="E890" s="4" t="s">
        <v>1125</v>
      </c>
      <c r="F890" s="3" t="s">
        <v>5155</v>
      </c>
      <c r="G890" s="3" t="s">
        <v>134</v>
      </c>
      <c r="H890" s="3" t="s">
        <v>138</v>
      </c>
      <c r="I890" s="3" t="s">
        <v>33</v>
      </c>
      <c r="J890" s="3" t="s">
        <v>60</v>
      </c>
      <c r="K890" s="3" t="s">
        <v>5154</v>
      </c>
      <c r="L890" s="1">
        <v>46028.620706018519</v>
      </c>
      <c r="M890" s="1">
        <v>46028.635092592594</v>
      </c>
      <c r="N890" s="1">
        <v>46031.666678240741</v>
      </c>
      <c r="O890" s="3" t="s">
        <v>137</v>
      </c>
      <c r="P890" s="3" t="s">
        <v>5158</v>
      </c>
      <c r="Q890" s="3" t="s">
        <v>35</v>
      </c>
      <c r="R890" s="3" t="s">
        <v>5157</v>
      </c>
      <c r="S890" s="3" t="s">
        <v>144</v>
      </c>
      <c r="T890" s="3" t="s">
        <v>143</v>
      </c>
      <c r="U890" s="4" t="b">
        <v>1</v>
      </c>
      <c r="V890" s="3" t="s">
        <v>31</v>
      </c>
      <c r="W890" s="1"/>
      <c r="Y890" s="3" t="s">
        <v>32</v>
      </c>
      <c r="Z890" s="3" t="s">
        <v>32</v>
      </c>
      <c r="AA890" s="3"/>
      <c r="AB890" s="3"/>
      <c r="AC890" s="4" t="s">
        <v>30</v>
      </c>
      <c r="AD890" s="3"/>
      <c r="AE890" s="3" t="s">
        <v>5158</v>
      </c>
      <c r="AF890" s="4" t="s">
        <v>30</v>
      </c>
      <c r="AH890" s="4">
        <v>0</v>
      </c>
      <c r="AI890" s="3" t="s">
        <v>5153</v>
      </c>
      <c r="AJ890" s="4" t="s">
        <v>5156</v>
      </c>
      <c r="AK890" s="4"/>
      <c r="AL890" s="3"/>
    </row>
    <row r="891" spans="1:38" x14ac:dyDescent="0.35">
      <c r="A891" s="3" t="s">
        <v>5163</v>
      </c>
      <c r="B891" s="4" t="s">
        <v>2768</v>
      </c>
      <c r="C891" s="4">
        <f>VLOOKUP(A891, [1]Planilha1!$A$3:$B$1015,2,FALSE)</f>
        <v>5394</v>
      </c>
      <c r="D891" s="4">
        <f t="shared" si="13"/>
        <v>1.4983333333333333</v>
      </c>
      <c r="E891" s="4" t="s">
        <v>1125</v>
      </c>
      <c r="F891" s="3" t="s">
        <v>2766</v>
      </c>
      <c r="G891" s="3" t="s">
        <v>74</v>
      </c>
      <c r="H891" s="3" t="s">
        <v>44</v>
      </c>
      <c r="I891" s="3" t="s">
        <v>33</v>
      </c>
      <c r="J891" s="3" t="s">
        <v>41</v>
      </c>
      <c r="L891" s="1">
        <v>46028.600243055553</v>
      </c>
      <c r="M891" s="1">
        <v>46028.601412037038</v>
      </c>
      <c r="N891" s="1">
        <v>46028.632627314815</v>
      </c>
      <c r="O891" s="3" t="s">
        <v>43</v>
      </c>
      <c r="P891" s="3" t="s">
        <v>2768</v>
      </c>
      <c r="Q891" s="3" t="s">
        <v>42</v>
      </c>
      <c r="R891" s="3" t="s">
        <v>2767</v>
      </c>
      <c r="S891" s="3" t="s">
        <v>80</v>
      </c>
      <c r="T891" s="3" t="s">
        <v>79</v>
      </c>
      <c r="U891" s="4" t="b">
        <v>1</v>
      </c>
      <c r="V891" s="3" t="s">
        <v>31</v>
      </c>
      <c r="W891" s="1"/>
      <c r="Y891" s="3" t="s">
        <v>32</v>
      </c>
      <c r="Z891" s="3" t="s">
        <v>32</v>
      </c>
      <c r="AA891" s="3"/>
      <c r="AB891" s="3"/>
      <c r="AC891" s="4" t="s">
        <v>30</v>
      </c>
      <c r="AD891" s="3"/>
      <c r="AE891" s="3" t="s">
        <v>2768</v>
      </c>
      <c r="AF891" s="4" t="s">
        <v>30</v>
      </c>
      <c r="AH891" s="4">
        <v>1</v>
      </c>
      <c r="AI891" s="3" t="s">
        <v>5164</v>
      </c>
      <c r="AJ891" s="4" t="s">
        <v>5957</v>
      </c>
      <c r="AK891" s="4"/>
      <c r="AL891" s="3"/>
    </row>
    <row r="892" spans="1:38" x14ac:dyDescent="0.35">
      <c r="A892" s="3" t="s">
        <v>5165</v>
      </c>
      <c r="B892" s="4" t="s">
        <v>5158</v>
      </c>
      <c r="C892" s="4">
        <f>VLOOKUP(A892, [1]Planilha1!$A$3:$B$1015,2,FALSE)</f>
        <v>0</v>
      </c>
      <c r="D892" s="4">
        <f t="shared" si="13"/>
        <v>0</v>
      </c>
      <c r="E892" s="4" t="s">
        <v>1125</v>
      </c>
      <c r="F892" s="3" t="s">
        <v>5155</v>
      </c>
      <c r="G892" s="3" t="s">
        <v>134</v>
      </c>
      <c r="H892" s="3" t="s">
        <v>138</v>
      </c>
      <c r="I892" s="3" t="s">
        <v>33</v>
      </c>
      <c r="J892" s="3" t="s">
        <v>60</v>
      </c>
      <c r="K892" s="3" t="s">
        <v>5154</v>
      </c>
      <c r="L892" s="1">
        <v>46028.588935185187</v>
      </c>
      <c r="M892" s="1">
        <v>46028.596620370372</v>
      </c>
      <c r="N892" s="1">
        <v>46031.625</v>
      </c>
      <c r="O892" s="3" t="s">
        <v>137</v>
      </c>
      <c r="P892" s="3" t="s">
        <v>5158</v>
      </c>
      <c r="Q892" s="3" t="s">
        <v>35</v>
      </c>
      <c r="R892" s="3" t="s">
        <v>5157</v>
      </c>
      <c r="S892" s="3" t="s">
        <v>144</v>
      </c>
      <c r="T892" s="3" t="s">
        <v>143</v>
      </c>
      <c r="U892" s="4" t="b">
        <v>1</v>
      </c>
      <c r="V892" s="3" t="s">
        <v>31</v>
      </c>
      <c r="W892" s="1"/>
      <c r="Y892" s="3" t="s">
        <v>32</v>
      </c>
      <c r="Z892" s="3" t="s">
        <v>32</v>
      </c>
      <c r="AA892" s="3"/>
      <c r="AB892" s="3"/>
      <c r="AC892" s="4" t="s">
        <v>30</v>
      </c>
      <c r="AD892" s="3"/>
      <c r="AE892" s="3" t="s">
        <v>5158</v>
      </c>
      <c r="AF892" s="4" t="s">
        <v>30</v>
      </c>
      <c r="AH892" s="4">
        <v>0</v>
      </c>
      <c r="AI892" s="3" t="s">
        <v>5166</v>
      </c>
      <c r="AJ892" s="4" t="s">
        <v>5156</v>
      </c>
      <c r="AK892" s="4"/>
      <c r="AL892" s="3"/>
    </row>
    <row r="893" spans="1:38" x14ac:dyDescent="0.35">
      <c r="A893" s="3" t="s">
        <v>5167</v>
      </c>
      <c r="B893" s="4" t="s">
        <v>5173</v>
      </c>
      <c r="C893" s="4">
        <f>VLOOKUP(A893, [1]Planilha1!$A$3:$B$1015,2,FALSE)</f>
        <v>0</v>
      </c>
      <c r="D893" s="4">
        <f t="shared" si="13"/>
        <v>0</v>
      </c>
      <c r="E893" s="4" t="s">
        <v>1125</v>
      </c>
      <c r="F893" s="3" t="s">
        <v>5170</v>
      </c>
      <c r="G893" s="3" t="s">
        <v>134</v>
      </c>
      <c r="H893" s="3" t="s">
        <v>138</v>
      </c>
      <c r="I893" s="3" t="s">
        <v>33</v>
      </c>
      <c r="J893" s="3" t="s">
        <v>60</v>
      </c>
      <c r="K893" s="3" t="s">
        <v>5169</v>
      </c>
      <c r="L893" s="1">
        <v>46028.580081018517</v>
      </c>
      <c r="M893" s="1">
        <v>46028.588148148148</v>
      </c>
      <c r="N893" s="1">
        <v>46031.625</v>
      </c>
      <c r="O893" s="3" t="s">
        <v>137</v>
      </c>
      <c r="P893" s="3" t="s">
        <v>5173</v>
      </c>
      <c r="Q893" s="3" t="s">
        <v>35</v>
      </c>
      <c r="R893" s="3" t="s">
        <v>5172</v>
      </c>
      <c r="S893" s="3" t="s">
        <v>144</v>
      </c>
      <c r="T893" s="3" t="s">
        <v>143</v>
      </c>
      <c r="U893" s="4" t="b">
        <v>1</v>
      </c>
      <c r="V893" s="3" t="s">
        <v>31</v>
      </c>
      <c r="W893" s="1"/>
      <c r="Y893" s="3" t="s">
        <v>32</v>
      </c>
      <c r="Z893" s="3" t="s">
        <v>32</v>
      </c>
      <c r="AA893" s="3"/>
      <c r="AB893" s="3"/>
      <c r="AC893" s="4" t="s">
        <v>30</v>
      </c>
      <c r="AD893" s="3"/>
      <c r="AE893" s="3" t="s">
        <v>5173</v>
      </c>
      <c r="AF893" s="4" t="s">
        <v>30</v>
      </c>
      <c r="AH893" s="4">
        <v>0</v>
      </c>
      <c r="AI893" s="3" t="s">
        <v>5168</v>
      </c>
      <c r="AJ893" s="4" t="s">
        <v>5171</v>
      </c>
      <c r="AK893" s="4"/>
      <c r="AL893" s="3"/>
    </row>
    <row r="894" spans="1:38" x14ac:dyDescent="0.35">
      <c r="A894" s="3" t="s">
        <v>5174</v>
      </c>
      <c r="B894" s="4" t="s">
        <v>5179</v>
      </c>
      <c r="C894" s="4">
        <f>VLOOKUP(A894, [1]Planilha1!$A$3:$B$1015,2,FALSE)</f>
        <v>21224</v>
      </c>
      <c r="D894" s="4">
        <f t="shared" si="13"/>
        <v>5.8955555555555552</v>
      </c>
      <c r="E894" s="4" t="s">
        <v>1125</v>
      </c>
      <c r="F894" s="3" t="s">
        <v>5176</v>
      </c>
      <c r="G894" s="3" t="s">
        <v>44</v>
      </c>
      <c r="H894" s="3" t="s">
        <v>44</v>
      </c>
      <c r="I894" s="3" t="s">
        <v>33</v>
      </c>
      <c r="J894" s="3" t="s">
        <v>41</v>
      </c>
      <c r="L894" s="1">
        <v>46028.566412037035</v>
      </c>
      <c r="M894" s="1">
        <v>46028.567395833335</v>
      </c>
      <c r="N894" s="1">
        <v>46028.69021990741</v>
      </c>
      <c r="O894" s="3" t="s">
        <v>43</v>
      </c>
      <c r="P894" s="3" t="s">
        <v>5179</v>
      </c>
      <c r="Q894" s="3" t="s">
        <v>42</v>
      </c>
      <c r="R894" s="3" t="s">
        <v>5178</v>
      </c>
      <c r="S894" s="3" t="s">
        <v>96</v>
      </c>
      <c r="T894" s="3" t="s">
        <v>95</v>
      </c>
      <c r="U894" s="4" t="b">
        <v>1</v>
      </c>
      <c r="V894" s="3" t="s">
        <v>31</v>
      </c>
      <c r="W894" s="1"/>
      <c r="Y894" s="3" t="s">
        <v>32</v>
      </c>
      <c r="Z894" s="3" t="s">
        <v>32</v>
      </c>
      <c r="AA894" s="3"/>
      <c r="AB894" s="3"/>
      <c r="AC894" s="4" t="s">
        <v>30</v>
      </c>
      <c r="AD894" s="3"/>
      <c r="AE894" s="3" t="s">
        <v>5179</v>
      </c>
      <c r="AF894" s="4" t="s">
        <v>30</v>
      </c>
      <c r="AH894" s="4">
        <v>3</v>
      </c>
      <c r="AI894" s="3" t="s">
        <v>5175</v>
      </c>
      <c r="AJ894" s="4" t="s">
        <v>5177</v>
      </c>
      <c r="AK894" s="4"/>
      <c r="AL894" s="3"/>
    </row>
    <row r="895" spans="1:38" x14ac:dyDescent="0.35">
      <c r="A895" s="3" t="s">
        <v>5180</v>
      </c>
      <c r="B895" s="4" t="s">
        <v>5186</v>
      </c>
      <c r="C895" s="4">
        <f>VLOOKUP(A895, [1]Planilha1!$A$3:$B$1015,2,FALSE)</f>
        <v>0</v>
      </c>
      <c r="D895" s="4">
        <f t="shared" si="13"/>
        <v>0</v>
      </c>
      <c r="E895" s="4" t="s">
        <v>1125</v>
      </c>
      <c r="F895" s="3" t="s">
        <v>5183</v>
      </c>
      <c r="G895" s="3" t="s">
        <v>214</v>
      </c>
      <c r="H895" s="3" t="s">
        <v>44</v>
      </c>
      <c r="I895" s="3" t="s">
        <v>33</v>
      </c>
      <c r="J895" s="3" t="s">
        <v>60</v>
      </c>
      <c r="K895" s="3" t="s">
        <v>5182</v>
      </c>
      <c r="L895" s="1">
        <v>46028.553483796299</v>
      </c>
      <c r="M895" s="1">
        <v>46028.578923611109</v>
      </c>
      <c r="N895" s="1">
        <v>46031.583333333336</v>
      </c>
      <c r="O895" s="3" t="s">
        <v>43</v>
      </c>
      <c r="P895" s="3" t="s">
        <v>5186</v>
      </c>
      <c r="Q895" s="3" t="s">
        <v>35</v>
      </c>
      <c r="R895" s="3" t="s">
        <v>5185</v>
      </c>
      <c r="S895" s="3" t="s">
        <v>144</v>
      </c>
      <c r="T895" s="3" t="s">
        <v>143</v>
      </c>
      <c r="U895" s="4" t="b">
        <v>1</v>
      </c>
      <c r="V895" s="3" t="s">
        <v>31</v>
      </c>
      <c r="W895" s="1"/>
      <c r="Y895" s="3" t="s">
        <v>32</v>
      </c>
      <c r="Z895" s="3" t="s">
        <v>32</v>
      </c>
      <c r="AA895" s="3"/>
      <c r="AB895" s="3"/>
      <c r="AC895" s="4" t="s">
        <v>30</v>
      </c>
      <c r="AD895" s="3"/>
      <c r="AE895" s="3" t="s">
        <v>5186</v>
      </c>
      <c r="AF895" s="4" t="s">
        <v>30</v>
      </c>
      <c r="AH895" s="4">
        <v>0</v>
      </c>
      <c r="AI895" s="3" t="s">
        <v>5181</v>
      </c>
      <c r="AJ895" s="4" t="s">
        <v>5184</v>
      </c>
      <c r="AK895" s="4"/>
      <c r="AL895" s="3"/>
    </row>
    <row r="896" spans="1:38" x14ac:dyDescent="0.35">
      <c r="A896" s="3" t="s">
        <v>5187</v>
      </c>
      <c r="B896" s="4" t="s">
        <v>5191</v>
      </c>
      <c r="C896" s="4">
        <f>VLOOKUP(A896, [1]Planilha1!$A$3:$B$1015,2,FALSE)</f>
        <v>4648</v>
      </c>
      <c r="D896" s="4">
        <f t="shared" si="13"/>
        <v>1.2911111111111111</v>
      </c>
      <c r="E896" s="4" t="s">
        <v>1125</v>
      </c>
      <c r="F896" s="3" t="s">
        <v>5189</v>
      </c>
      <c r="G896" s="3" t="s">
        <v>74</v>
      </c>
      <c r="H896" s="3" t="s">
        <v>44</v>
      </c>
      <c r="I896" s="3" t="s">
        <v>33</v>
      </c>
      <c r="J896" s="3" t="s">
        <v>41</v>
      </c>
      <c r="L896" s="1">
        <v>46028.506874999999</v>
      </c>
      <c r="M896" s="1">
        <v>46028.508460648147</v>
      </c>
      <c r="N896" s="1">
        <v>46028.535358796296</v>
      </c>
      <c r="O896" s="3" t="s">
        <v>43</v>
      </c>
      <c r="P896" s="3" t="s">
        <v>5191</v>
      </c>
      <c r="Q896" s="3" t="s">
        <v>42</v>
      </c>
      <c r="R896" s="3" t="s">
        <v>5190</v>
      </c>
      <c r="S896" s="3" t="s">
        <v>80</v>
      </c>
      <c r="T896" s="3" t="s">
        <v>79</v>
      </c>
      <c r="U896" s="4" t="b">
        <v>1</v>
      </c>
      <c r="V896" s="3" t="s">
        <v>31</v>
      </c>
      <c r="W896" s="1"/>
      <c r="Y896" s="3" t="s">
        <v>32</v>
      </c>
      <c r="Z896" s="3" t="s">
        <v>32</v>
      </c>
      <c r="AA896" s="3"/>
      <c r="AB896" s="3"/>
      <c r="AC896" s="4" t="s">
        <v>30</v>
      </c>
      <c r="AD896" s="3"/>
      <c r="AE896" s="3" t="s">
        <v>5191</v>
      </c>
      <c r="AF896" s="4" t="s">
        <v>30</v>
      </c>
      <c r="AH896" s="4">
        <v>1</v>
      </c>
      <c r="AI896" s="3" t="s">
        <v>5188</v>
      </c>
      <c r="AJ896" s="4" t="s">
        <v>5958</v>
      </c>
      <c r="AK896" s="4"/>
      <c r="AL896" s="3"/>
    </row>
    <row r="897" spans="1:38" x14ac:dyDescent="0.35">
      <c r="A897" s="3" t="s">
        <v>5192</v>
      </c>
      <c r="B897" s="4" t="s">
        <v>5198</v>
      </c>
      <c r="C897" s="4">
        <f>VLOOKUP(A897, [1]Planilha1!$A$3:$B$1015,2,FALSE)</f>
        <v>0</v>
      </c>
      <c r="D897" s="4">
        <f t="shared" si="13"/>
        <v>0</v>
      </c>
      <c r="E897" s="4" t="s">
        <v>1125</v>
      </c>
      <c r="F897" s="3" t="s">
        <v>5195</v>
      </c>
      <c r="G897" s="3" t="s">
        <v>134</v>
      </c>
      <c r="H897" s="3" t="s">
        <v>138</v>
      </c>
      <c r="I897" s="3" t="s">
        <v>33</v>
      </c>
      <c r="J897" s="3" t="s">
        <v>60</v>
      </c>
      <c r="K897" s="3" t="s">
        <v>5194</v>
      </c>
      <c r="L897" s="1">
        <v>46028.504988425928</v>
      </c>
      <c r="M897" s="1">
        <v>46028.515023148146</v>
      </c>
      <c r="N897" s="1">
        <v>46031.541666666664</v>
      </c>
      <c r="O897" s="3" t="s">
        <v>137</v>
      </c>
      <c r="P897" s="3" t="s">
        <v>5198</v>
      </c>
      <c r="Q897" s="3" t="s">
        <v>35</v>
      </c>
      <c r="R897" s="3" t="s">
        <v>5197</v>
      </c>
      <c r="S897" s="3" t="s">
        <v>144</v>
      </c>
      <c r="T897" s="3" t="s">
        <v>143</v>
      </c>
      <c r="U897" s="4" t="b">
        <v>1</v>
      </c>
      <c r="V897" s="3" t="s">
        <v>31</v>
      </c>
      <c r="W897" s="1"/>
      <c r="Y897" s="3" t="s">
        <v>32</v>
      </c>
      <c r="Z897" s="3" t="s">
        <v>32</v>
      </c>
      <c r="AA897" s="3"/>
      <c r="AB897" s="3"/>
      <c r="AC897" s="4" t="s">
        <v>30</v>
      </c>
      <c r="AD897" s="3"/>
      <c r="AE897" s="3" t="s">
        <v>5198</v>
      </c>
      <c r="AF897" s="4" t="s">
        <v>30</v>
      </c>
      <c r="AH897" s="4">
        <v>0</v>
      </c>
      <c r="AI897" s="3" t="s">
        <v>5193</v>
      </c>
      <c r="AJ897" s="4" t="s">
        <v>5196</v>
      </c>
      <c r="AK897" s="4"/>
      <c r="AL897" s="3"/>
    </row>
    <row r="898" spans="1:38" x14ac:dyDescent="0.35">
      <c r="A898" s="3" t="s">
        <v>5199</v>
      </c>
      <c r="B898" s="4" t="s">
        <v>5204</v>
      </c>
      <c r="C898" s="4">
        <f>VLOOKUP(A898, [1]Planilha1!$A$3:$B$1015,2,FALSE)</f>
        <v>7254</v>
      </c>
      <c r="D898" s="4">
        <f t="shared" si="13"/>
        <v>2.0150000000000001</v>
      </c>
      <c r="E898" s="4" t="s">
        <v>1125</v>
      </c>
      <c r="F898" s="3" t="s">
        <v>5202</v>
      </c>
      <c r="G898" s="3" t="s">
        <v>5200</v>
      </c>
      <c r="H898" s="3" t="s">
        <v>44</v>
      </c>
      <c r="I898" s="3" t="s">
        <v>33</v>
      </c>
      <c r="J898" s="3" t="s">
        <v>41</v>
      </c>
      <c r="L898" s="1">
        <v>46028.488749999997</v>
      </c>
      <c r="M898" s="1">
        <v>46028.491909722223</v>
      </c>
      <c r="N898" s="1">
        <v>46028.533888888887</v>
      </c>
      <c r="O898" s="3" t="s">
        <v>43</v>
      </c>
      <c r="P898" s="3" t="s">
        <v>5204</v>
      </c>
      <c r="Q898" s="3" t="s">
        <v>42</v>
      </c>
      <c r="R898" s="3" t="s">
        <v>5203</v>
      </c>
      <c r="S898" s="3" t="s">
        <v>80</v>
      </c>
      <c r="T898" s="3" t="s">
        <v>79</v>
      </c>
      <c r="U898" s="4" t="b">
        <v>1</v>
      </c>
      <c r="V898" s="3" t="s">
        <v>31</v>
      </c>
      <c r="W898" s="1"/>
      <c r="Y898" s="3" t="s">
        <v>32</v>
      </c>
      <c r="Z898" s="3" t="s">
        <v>32</v>
      </c>
      <c r="AA898" s="3"/>
      <c r="AB898" s="3"/>
      <c r="AC898" s="4" t="s">
        <v>30</v>
      </c>
      <c r="AD898" s="3"/>
      <c r="AE898" s="3" t="s">
        <v>5204</v>
      </c>
      <c r="AF898" s="4" t="s">
        <v>30</v>
      </c>
      <c r="AH898" s="4">
        <v>1</v>
      </c>
      <c r="AI898" s="3" t="s">
        <v>5201</v>
      </c>
      <c r="AJ898" s="4" t="s">
        <v>5959</v>
      </c>
      <c r="AK898" s="4"/>
      <c r="AL898" s="3"/>
    </row>
    <row r="899" spans="1:38" x14ac:dyDescent="0.35">
      <c r="A899" s="3" t="s">
        <v>5205</v>
      </c>
      <c r="B899" s="4" t="s">
        <v>5209</v>
      </c>
      <c r="C899" s="4">
        <f>VLOOKUP(A899, [1]Planilha1!$A$3:$B$1015,2,FALSE)</f>
        <v>25700</v>
      </c>
      <c r="D899" s="4">
        <f t="shared" ref="D899:D962" si="14">C899/3600</f>
        <v>7.1388888888888893</v>
      </c>
      <c r="E899" s="4" t="s">
        <v>1125</v>
      </c>
      <c r="F899" s="3" t="s">
        <v>5207</v>
      </c>
      <c r="G899" s="3" t="s">
        <v>100</v>
      </c>
      <c r="H899" s="3" t="s">
        <v>44</v>
      </c>
      <c r="I899" s="3" t="s">
        <v>33</v>
      </c>
      <c r="J899" s="3" t="s">
        <v>41</v>
      </c>
      <c r="L899" s="1">
        <v>46028.476817129631</v>
      </c>
      <c r="M899" s="1">
        <v>46028.478877314818</v>
      </c>
      <c r="N899" s="1">
        <v>46028.627604166664</v>
      </c>
      <c r="O899" s="3" t="s">
        <v>43</v>
      </c>
      <c r="P899" s="3" t="s">
        <v>5209</v>
      </c>
      <c r="Q899" s="3" t="s">
        <v>42</v>
      </c>
      <c r="R899" s="3" t="s">
        <v>5208</v>
      </c>
      <c r="S899" s="3" t="s">
        <v>62</v>
      </c>
      <c r="T899" s="3" t="s">
        <v>61</v>
      </c>
      <c r="U899" s="4" t="b">
        <v>1</v>
      </c>
      <c r="V899" s="3" t="s">
        <v>31</v>
      </c>
      <c r="W899" s="1"/>
      <c r="Y899" s="3" t="s">
        <v>32</v>
      </c>
      <c r="Z899" s="3" t="s">
        <v>32</v>
      </c>
      <c r="AA899" s="3"/>
      <c r="AB899" s="3"/>
      <c r="AC899" s="4" t="s">
        <v>30</v>
      </c>
      <c r="AD899" s="3"/>
      <c r="AE899" s="3" t="s">
        <v>5209</v>
      </c>
      <c r="AF899" s="4" t="s">
        <v>30</v>
      </c>
      <c r="AH899" s="4">
        <v>3</v>
      </c>
      <c r="AI899" s="3" t="s">
        <v>5206</v>
      </c>
      <c r="AJ899" s="4"/>
      <c r="AK899" s="4"/>
      <c r="AL899" s="3"/>
    </row>
    <row r="900" spans="1:38" x14ac:dyDescent="0.35">
      <c r="A900" s="3" t="s">
        <v>5210</v>
      </c>
      <c r="B900" s="4" t="s">
        <v>4980</v>
      </c>
      <c r="C900" s="4">
        <f>VLOOKUP(A900, [1]Planilha1!$A$3:$B$1015,2,FALSE)</f>
        <v>1120</v>
      </c>
      <c r="D900" s="4">
        <f t="shared" si="14"/>
        <v>0.31111111111111112</v>
      </c>
      <c r="E900" s="4" t="s">
        <v>1125</v>
      </c>
      <c r="F900" s="3" t="s">
        <v>4977</v>
      </c>
      <c r="G900" s="3" t="s">
        <v>5211</v>
      </c>
      <c r="H900" s="3" t="s">
        <v>148</v>
      </c>
      <c r="I900" s="3" t="s">
        <v>33</v>
      </c>
      <c r="J900" s="3" t="s">
        <v>60</v>
      </c>
      <c r="L900" s="1">
        <v>46028.467893518522</v>
      </c>
      <c r="M900" s="1">
        <v>46028.467893518522</v>
      </c>
      <c r="N900" s="1">
        <v>46031.5</v>
      </c>
      <c r="O900" s="3" t="s">
        <v>5213</v>
      </c>
      <c r="P900" s="3" t="s">
        <v>4980</v>
      </c>
      <c r="Q900" s="3" t="s">
        <v>35</v>
      </c>
      <c r="R900" s="3" t="s">
        <v>4979</v>
      </c>
      <c r="S900" s="3" t="s">
        <v>37</v>
      </c>
      <c r="T900" s="3" t="s">
        <v>36</v>
      </c>
      <c r="U900" s="4" t="b">
        <v>1</v>
      </c>
      <c r="V900" s="3" t="s">
        <v>28</v>
      </c>
      <c r="W900" s="1"/>
      <c r="Y900" s="3" t="s">
        <v>29</v>
      </c>
      <c r="Z900" s="3" t="s">
        <v>29</v>
      </c>
      <c r="AA900" s="3"/>
      <c r="AB900" s="3"/>
      <c r="AC900" s="4" t="s">
        <v>30</v>
      </c>
      <c r="AD900" s="3"/>
      <c r="AE900" s="3" t="s">
        <v>4980</v>
      </c>
      <c r="AF900" s="4" t="s">
        <v>30</v>
      </c>
      <c r="AH900" s="4">
        <v>0</v>
      </c>
      <c r="AI900" s="3" t="s">
        <v>5212</v>
      </c>
      <c r="AJ900" s="4" t="s">
        <v>4978</v>
      </c>
      <c r="AK900" s="4"/>
      <c r="AL900" s="3"/>
    </row>
    <row r="901" spans="1:38" x14ac:dyDescent="0.35">
      <c r="A901" s="3" t="s">
        <v>4702</v>
      </c>
      <c r="B901" s="4" t="s">
        <v>4706</v>
      </c>
      <c r="C901" s="4">
        <f>VLOOKUP(A901, [1]Planilha1!$A$3:$B$1015,2,FALSE)</f>
        <v>66724</v>
      </c>
      <c r="D901" s="4">
        <f t="shared" si="14"/>
        <v>18.534444444444443</v>
      </c>
      <c r="E901" s="4" t="s">
        <v>1125</v>
      </c>
      <c r="F901" s="3" t="s">
        <v>4703</v>
      </c>
      <c r="G901" s="3" t="s">
        <v>5214</v>
      </c>
      <c r="H901" s="3" t="s">
        <v>126</v>
      </c>
      <c r="I901" s="3" t="s">
        <v>33</v>
      </c>
      <c r="J901" s="3" t="s">
        <v>41</v>
      </c>
      <c r="L901" s="1">
        <v>46028.465532407405</v>
      </c>
      <c r="M901" s="1">
        <v>46028.465532407405</v>
      </c>
      <c r="N901" s="1">
        <v>46033.375</v>
      </c>
      <c r="O901" s="3" t="s">
        <v>125</v>
      </c>
      <c r="P901" s="3" t="s">
        <v>4706</v>
      </c>
      <c r="Q901" s="3" t="s">
        <v>42</v>
      </c>
      <c r="R901" s="3" t="s">
        <v>4705</v>
      </c>
      <c r="S901" s="3" t="s">
        <v>37</v>
      </c>
      <c r="T901" s="3" t="s">
        <v>36</v>
      </c>
      <c r="U901" s="4" t="b">
        <v>1</v>
      </c>
      <c r="V901" s="3" t="s">
        <v>28</v>
      </c>
      <c r="W901" s="1"/>
      <c r="Y901" s="3" t="s">
        <v>29</v>
      </c>
      <c r="Z901" s="3" t="s">
        <v>29</v>
      </c>
      <c r="AA901" s="3"/>
      <c r="AB901" s="3"/>
      <c r="AC901" s="4" t="s">
        <v>30</v>
      </c>
      <c r="AD901" s="3"/>
      <c r="AE901" s="3" t="s">
        <v>4706</v>
      </c>
      <c r="AF901" s="4" t="s">
        <v>30</v>
      </c>
      <c r="AH901" s="4">
        <v>2</v>
      </c>
      <c r="AI901" s="3" t="s">
        <v>5215</v>
      </c>
      <c r="AJ901" s="4" t="s">
        <v>4704</v>
      </c>
      <c r="AK901" s="4"/>
      <c r="AL901" s="3"/>
    </row>
    <row r="902" spans="1:38" x14ac:dyDescent="0.35">
      <c r="A902" s="3" t="s">
        <v>5216</v>
      </c>
      <c r="B902" s="4" t="s">
        <v>5121</v>
      </c>
      <c r="C902" s="4">
        <f>VLOOKUP(A902, [1]Planilha1!$A$3:$B$1015,2,FALSE)</f>
        <v>5990</v>
      </c>
      <c r="D902" s="4">
        <f t="shared" si="14"/>
        <v>1.663888888888889</v>
      </c>
      <c r="E902" s="4" t="s">
        <v>1125</v>
      </c>
      <c r="F902" s="3" t="s">
        <v>5119</v>
      </c>
      <c r="G902" s="3" t="s">
        <v>1231</v>
      </c>
      <c r="H902" s="3" t="s">
        <v>44</v>
      </c>
      <c r="I902" s="3" t="s">
        <v>33</v>
      </c>
      <c r="J902" s="3" t="s">
        <v>41</v>
      </c>
      <c r="L902" s="1">
        <v>46028.462835648148</v>
      </c>
      <c r="M902" s="1">
        <v>46028.49050925926</v>
      </c>
      <c r="N902" s="1">
        <v>46028.525173611109</v>
      </c>
      <c r="O902" s="3" t="s">
        <v>43</v>
      </c>
      <c r="P902" s="3" t="s">
        <v>5121</v>
      </c>
      <c r="Q902" s="3" t="s">
        <v>42</v>
      </c>
      <c r="R902" s="3" t="s">
        <v>5120</v>
      </c>
      <c r="S902" s="3" t="s">
        <v>1234</v>
      </c>
      <c r="T902" s="3" t="s">
        <v>1233</v>
      </c>
      <c r="U902" s="4" t="b">
        <v>1</v>
      </c>
      <c r="V902" s="3" t="s">
        <v>31</v>
      </c>
      <c r="W902" s="1"/>
      <c r="Y902" s="3" t="s">
        <v>32</v>
      </c>
      <c r="Z902" s="3" t="s">
        <v>32</v>
      </c>
      <c r="AA902" s="3"/>
      <c r="AB902" s="3"/>
      <c r="AC902" s="4" t="s">
        <v>30</v>
      </c>
      <c r="AD902" s="3"/>
      <c r="AE902" s="3" t="s">
        <v>5121</v>
      </c>
      <c r="AF902" s="4" t="s">
        <v>30</v>
      </c>
      <c r="AH902" s="4">
        <v>1</v>
      </c>
      <c r="AI902" s="3" t="s">
        <v>5217</v>
      </c>
      <c r="AJ902" s="4" t="s">
        <v>5956</v>
      </c>
      <c r="AK902" s="4"/>
      <c r="AL902" s="3"/>
    </row>
    <row r="903" spans="1:38" x14ac:dyDescent="0.35">
      <c r="A903" s="3" t="s">
        <v>5218</v>
      </c>
      <c r="B903" s="4" t="s">
        <v>5224</v>
      </c>
      <c r="C903" s="4">
        <f>VLOOKUP(A903, [1]Planilha1!$A$3:$B$1015,2,FALSE)</f>
        <v>11748</v>
      </c>
      <c r="D903" s="4">
        <f t="shared" si="14"/>
        <v>3.2633333333333332</v>
      </c>
      <c r="E903" s="4" t="s">
        <v>1125</v>
      </c>
      <c r="F903" s="3" t="s">
        <v>5221</v>
      </c>
      <c r="G903" s="3" t="s">
        <v>5219</v>
      </c>
      <c r="H903" s="3" t="s">
        <v>224</v>
      </c>
      <c r="I903" s="3" t="s">
        <v>33</v>
      </c>
      <c r="J903" s="3" t="s">
        <v>41</v>
      </c>
      <c r="L903" s="1">
        <v>46028.458298611113</v>
      </c>
      <c r="M903" s="1">
        <v>46028.458298611113</v>
      </c>
      <c r="N903" s="1">
        <v>46028.526284722226</v>
      </c>
      <c r="O903" s="3" t="s">
        <v>223</v>
      </c>
      <c r="P903" s="3" t="s">
        <v>5224</v>
      </c>
      <c r="Q903" s="3" t="s">
        <v>42</v>
      </c>
      <c r="R903" s="3" t="s">
        <v>5223</v>
      </c>
      <c r="S903" s="3" t="s">
        <v>37</v>
      </c>
      <c r="T903" s="3" t="s">
        <v>36</v>
      </c>
      <c r="U903" s="4" t="b">
        <v>1</v>
      </c>
      <c r="V903" s="3" t="s">
        <v>28</v>
      </c>
      <c r="W903" s="1"/>
      <c r="Y903" s="3" t="s">
        <v>29</v>
      </c>
      <c r="Z903" s="3" t="s">
        <v>29</v>
      </c>
      <c r="AA903" s="3"/>
      <c r="AB903" s="3"/>
      <c r="AC903" s="4" t="s">
        <v>30</v>
      </c>
      <c r="AD903" s="3"/>
      <c r="AE903" s="3" t="s">
        <v>5224</v>
      </c>
      <c r="AF903" s="4" t="s">
        <v>30</v>
      </c>
      <c r="AH903" s="4">
        <v>1</v>
      </c>
      <c r="AI903" s="3" t="s">
        <v>5220</v>
      </c>
      <c r="AJ903" s="4" t="s">
        <v>5222</v>
      </c>
      <c r="AK903" s="4"/>
      <c r="AL903" s="3"/>
    </row>
    <row r="904" spans="1:38" x14ac:dyDescent="0.35">
      <c r="A904" s="3" t="s">
        <v>5225</v>
      </c>
      <c r="B904" s="4"/>
      <c r="C904" s="4">
        <f>VLOOKUP(A904, [1]Planilha1!$A$3:$B$1015,2,FALSE)</f>
        <v>2430</v>
      </c>
      <c r="D904" s="4">
        <f t="shared" si="14"/>
        <v>0.67500000000000004</v>
      </c>
      <c r="E904" s="4" t="s">
        <v>1125</v>
      </c>
      <c r="F904" s="3" t="s">
        <v>5227</v>
      </c>
      <c r="G904" s="3" t="s">
        <v>1231</v>
      </c>
      <c r="H904" s="3" t="s">
        <v>44</v>
      </c>
      <c r="I904" s="3" t="s">
        <v>33</v>
      </c>
      <c r="J904" s="3" t="s">
        <v>41</v>
      </c>
      <c r="L904" s="1">
        <v>46028.458009259259</v>
      </c>
      <c r="M904" s="1">
        <v>46028.460312499999</v>
      </c>
      <c r="N904" s="1">
        <v>46028.474386574075</v>
      </c>
      <c r="O904" s="3" t="s">
        <v>43</v>
      </c>
      <c r="Q904" s="3" t="s">
        <v>42</v>
      </c>
      <c r="R904" s="3" t="s">
        <v>5229</v>
      </c>
      <c r="S904" s="3" t="s">
        <v>1234</v>
      </c>
      <c r="T904" s="3" t="s">
        <v>1233</v>
      </c>
      <c r="U904" s="4" t="b">
        <v>1</v>
      </c>
      <c r="V904" s="3" t="s">
        <v>31</v>
      </c>
      <c r="W904" s="1"/>
      <c r="Y904" s="3" t="s">
        <v>32</v>
      </c>
      <c r="Z904" s="3" t="s">
        <v>32</v>
      </c>
      <c r="AA904" s="3"/>
      <c r="AB904" s="3"/>
      <c r="AC904" s="4" t="s">
        <v>30</v>
      </c>
      <c r="AD904" s="3"/>
      <c r="AE904" s="3"/>
      <c r="AF904" s="4" t="s">
        <v>30</v>
      </c>
      <c r="AH904" s="4">
        <v>1</v>
      </c>
      <c r="AI904" s="3" t="s">
        <v>5226</v>
      </c>
      <c r="AJ904" s="4" t="s">
        <v>5228</v>
      </c>
      <c r="AK904" s="4"/>
      <c r="AL904" s="3"/>
    </row>
    <row r="905" spans="1:38" x14ac:dyDescent="0.35">
      <c r="A905" s="3" t="s">
        <v>5230</v>
      </c>
      <c r="B905" s="4" t="s">
        <v>94</v>
      </c>
      <c r="C905" s="4">
        <f>VLOOKUP(A905, [1]Planilha1!$A$3:$B$1015,2,FALSE)</f>
        <v>3656</v>
      </c>
      <c r="D905" s="4">
        <f t="shared" si="14"/>
        <v>1.0155555555555555</v>
      </c>
      <c r="E905" s="4" t="s">
        <v>1125</v>
      </c>
      <c r="F905" s="3" t="s">
        <v>92</v>
      </c>
      <c r="G905" s="3" t="s">
        <v>5231</v>
      </c>
      <c r="H905" s="3" t="s">
        <v>622</v>
      </c>
      <c r="I905" s="3" t="s">
        <v>33</v>
      </c>
      <c r="J905" s="3" t="s">
        <v>41</v>
      </c>
      <c r="L905" s="1">
        <v>46028.457743055558</v>
      </c>
      <c r="M905" s="1">
        <v>46028.457743055558</v>
      </c>
      <c r="N905" s="1">
        <v>46028.478900462964</v>
      </c>
      <c r="O905" s="3" t="s">
        <v>621</v>
      </c>
      <c r="P905" s="3" t="s">
        <v>94</v>
      </c>
      <c r="Q905" s="3" t="s">
        <v>42</v>
      </c>
      <c r="R905" s="3" t="s">
        <v>93</v>
      </c>
      <c r="S905" s="3" t="s">
        <v>37</v>
      </c>
      <c r="T905" s="3" t="s">
        <v>36</v>
      </c>
      <c r="U905" s="4" t="b">
        <v>1</v>
      </c>
      <c r="V905" s="3" t="s">
        <v>28</v>
      </c>
      <c r="W905" s="1"/>
      <c r="Y905" s="3" t="s">
        <v>29</v>
      </c>
      <c r="Z905" s="3" t="s">
        <v>29</v>
      </c>
      <c r="AA905" s="3"/>
      <c r="AB905" s="3"/>
      <c r="AC905" s="4" t="s">
        <v>30</v>
      </c>
      <c r="AD905" s="3"/>
      <c r="AE905" s="3" t="s">
        <v>94</v>
      </c>
      <c r="AF905" s="4" t="s">
        <v>30</v>
      </c>
      <c r="AH905" s="4">
        <v>0</v>
      </c>
      <c r="AI905" s="3" t="s">
        <v>5232</v>
      </c>
      <c r="AJ905" s="4"/>
      <c r="AK905" s="4"/>
      <c r="AL905" s="3"/>
    </row>
    <row r="906" spans="1:38" x14ac:dyDescent="0.35">
      <c r="A906" s="3" t="s">
        <v>5233</v>
      </c>
      <c r="B906" s="4" t="s">
        <v>58</v>
      </c>
      <c r="C906" s="4">
        <f>VLOOKUP(A906, [1]Planilha1!$A$3:$B$1015,2,FALSE)</f>
        <v>4160</v>
      </c>
      <c r="D906" s="4">
        <f t="shared" si="14"/>
        <v>1.1555555555555554</v>
      </c>
      <c r="E906" s="4" t="s">
        <v>1125</v>
      </c>
      <c r="F906" s="3" t="s">
        <v>54</v>
      </c>
      <c r="G906" s="3" t="s">
        <v>5234</v>
      </c>
      <c r="H906" s="3" t="s">
        <v>53</v>
      </c>
      <c r="I906" s="3" t="s">
        <v>33</v>
      </c>
      <c r="J906" s="3" t="s">
        <v>152</v>
      </c>
      <c r="L906" s="1">
        <v>46028.452465277776</v>
      </c>
      <c r="M906" s="1">
        <v>46028.460763888892</v>
      </c>
      <c r="N906" s="1">
        <v>46028.564282407409</v>
      </c>
      <c r="O906" s="3" t="s">
        <v>3029</v>
      </c>
      <c r="P906" s="3" t="s">
        <v>57</v>
      </c>
      <c r="Q906" s="3" t="s">
        <v>52</v>
      </c>
      <c r="R906" s="3" t="s">
        <v>56</v>
      </c>
      <c r="S906" s="3" t="s">
        <v>64</v>
      </c>
      <c r="T906" s="3" t="s">
        <v>63</v>
      </c>
      <c r="U906" s="4" t="b">
        <v>0</v>
      </c>
      <c r="V906" s="3" t="s">
        <v>28</v>
      </c>
      <c r="W906" s="1"/>
      <c r="Y906" s="3" t="s">
        <v>29</v>
      </c>
      <c r="Z906" s="3" t="s">
        <v>29</v>
      </c>
      <c r="AA906" s="3" t="s">
        <v>2902</v>
      </c>
      <c r="AB906" s="3" t="s">
        <v>58</v>
      </c>
      <c r="AC906" s="4" t="s">
        <v>30</v>
      </c>
      <c r="AD906" s="3" t="s">
        <v>59</v>
      </c>
      <c r="AE906" s="3" t="s">
        <v>57</v>
      </c>
      <c r="AF906" s="4" t="s">
        <v>30</v>
      </c>
      <c r="AH906" s="4">
        <v>2</v>
      </c>
      <c r="AI906" s="3" t="s">
        <v>5235</v>
      </c>
      <c r="AJ906" s="4" t="s">
        <v>55</v>
      </c>
      <c r="AK906" s="4" t="s">
        <v>2903</v>
      </c>
      <c r="AL906" s="3"/>
    </row>
    <row r="907" spans="1:38" x14ac:dyDescent="0.35">
      <c r="A907" s="3" t="s">
        <v>5236</v>
      </c>
      <c r="B907" s="4" t="s">
        <v>5240</v>
      </c>
      <c r="C907" s="4">
        <f>VLOOKUP(A907, [1]Planilha1!$A$3:$B$1015,2,FALSE)</f>
        <v>0</v>
      </c>
      <c r="D907" s="4">
        <f t="shared" si="14"/>
        <v>0</v>
      </c>
      <c r="E907" s="4" t="s">
        <v>1125</v>
      </c>
      <c r="F907" s="3" t="s">
        <v>5238</v>
      </c>
      <c r="G907" s="3" t="s">
        <v>214</v>
      </c>
      <c r="H907" s="3" t="s">
        <v>44</v>
      </c>
      <c r="I907" s="3" t="s">
        <v>33</v>
      </c>
      <c r="J907" s="3" t="s">
        <v>60</v>
      </c>
      <c r="K907" s="3" t="s">
        <v>4972</v>
      </c>
      <c r="L907" s="1">
        <v>46028.437256944446</v>
      </c>
      <c r="M907" s="1">
        <v>46028.444618055553</v>
      </c>
      <c r="N907" s="1">
        <v>46031.458333333336</v>
      </c>
      <c r="O907" s="3" t="s">
        <v>43</v>
      </c>
      <c r="P907" s="3" t="s">
        <v>5240</v>
      </c>
      <c r="Q907" s="3" t="s">
        <v>35</v>
      </c>
      <c r="R907" s="3" t="s">
        <v>5239</v>
      </c>
      <c r="S907" s="3" t="s">
        <v>144</v>
      </c>
      <c r="T907" s="3" t="s">
        <v>143</v>
      </c>
      <c r="U907" s="4" t="b">
        <v>1</v>
      </c>
      <c r="V907" s="3" t="s">
        <v>31</v>
      </c>
      <c r="W907" s="1"/>
      <c r="Y907" s="3" t="s">
        <v>32</v>
      </c>
      <c r="Z907" s="3" t="s">
        <v>32</v>
      </c>
      <c r="AA907" s="3"/>
      <c r="AB907" s="3"/>
      <c r="AC907" s="4" t="s">
        <v>30</v>
      </c>
      <c r="AD907" s="3"/>
      <c r="AE907" s="3" t="s">
        <v>5240</v>
      </c>
      <c r="AF907" s="4" t="s">
        <v>30</v>
      </c>
      <c r="AH907" s="4">
        <v>0</v>
      </c>
      <c r="AI907" s="3" t="s">
        <v>5237</v>
      </c>
      <c r="AJ907" s="4" t="s">
        <v>5960</v>
      </c>
      <c r="AK907" s="4"/>
      <c r="AL907" s="3"/>
    </row>
    <row r="908" spans="1:38" x14ac:dyDescent="0.35">
      <c r="A908" s="3" t="s">
        <v>5241</v>
      </c>
      <c r="B908" s="4" t="s">
        <v>5246</v>
      </c>
      <c r="C908" s="4">
        <f>VLOOKUP(A908, [1]Planilha1!$A$3:$B$1015,2,FALSE)</f>
        <v>1944</v>
      </c>
      <c r="D908" s="4">
        <f t="shared" si="14"/>
        <v>0.54</v>
      </c>
      <c r="E908" s="4" t="s">
        <v>1125</v>
      </c>
      <c r="F908" s="3" t="s">
        <v>5243</v>
      </c>
      <c r="G908" s="3" t="s">
        <v>74</v>
      </c>
      <c r="H908" s="3" t="s">
        <v>44</v>
      </c>
      <c r="I908" s="3" t="s">
        <v>33</v>
      </c>
      <c r="J908" s="3" t="s">
        <v>41</v>
      </c>
      <c r="L908" s="1">
        <v>46028.430659722224</v>
      </c>
      <c r="M908" s="1">
        <v>46028.432685185187</v>
      </c>
      <c r="N908" s="1">
        <v>46028.443935185183</v>
      </c>
      <c r="O908" s="3" t="s">
        <v>43</v>
      </c>
      <c r="P908" s="3" t="s">
        <v>5246</v>
      </c>
      <c r="Q908" s="3" t="s">
        <v>42</v>
      </c>
      <c r="R908" s="3" t="s">
        <v>5245</v>
      </c>
      <c r="S908" s="3" t="s">
        <v>80</v>
      </c>
      <c r="T908" s="3" t="s">
        <v>79</v>
      </c>
      <c r="U908" s="4" t="b">
        <v>1</v>
      </c>
      <c r="V908" s="3" t="s">
        <v>31</v>
      </c>
      <c r="W908" s="1"/>
      <c r="Y908" s="3" t="s">
        <v>32</v>
      </c>
      <c r="Z908" s="3" t="s">
        <v>32</v>
      </c>
      <c r="AA908" s="3"/>
      <c r="AB908" s="3"/>
      <c r="AC908" s="4" t="s">
        <v>30</v>
      </c>
      <c r="AD908" s="3"/>
      <c r="AE908" s="3" t="s">
        <v>5246</v>
      </c>
      <c r="AF908" s="4" t="s">
        <v>30</v>
      </c>
      <c r="AH908" s="4">
        <v>1</v>
      </c>
      <c r="AI908" s="3" t="s">
        <v>5242</v>
      </c>
      <c r="AJ908" s="4" t="s">
        <v>5244</v>
      </c>
      <c r="AK908" s="4"/>
      <c r="AL908" s="3"/>
    </row>
    <row r="909" spans="1:38" x14ac:dyDescent="0.35">
      <c r="A909" s="3" t="s">
        <v>5247</v>
      </c>
      <c r="B909" s="4" t="s">
        <v>5253</v>
      </c>
      <c r="C909" s="4">
        <f>VLOOKUP(A909, [1]Planilha1!$A$3:$B$1015,2,FALSE)</f>
        <v>0</v>
      </c>
      <c r="D909" s="4">
        <f t="shared" si="14"/>
        <v>0</v>
      </c>
      <c r="E909" s="4" t="s">
        <v>1125</v>
      </c>
      <c r="F909" s="3" t="s">
        <v>5250</v>
      </c>
      <c r="G909" s="3" t="s">
        <v>134</v>
      </c>
      <c r="H909" s="3" t="s">
        <v>138</v>
      </c>
      <c r="I909" s="3" t="s">
        <v>33</v>
      </c>
      <c r="J909" s="3" t="s">
        <v>60</v>
      </c>
      <c r="K909" s="3" t="s">
        <v>5249</v>
      </c>
      <c r="L909" s="1">
        <v>46028.428240740737</v>
      </c>
      <c r="M909" s="1">
        <v>46028.434074074074</v>
      </c>
      <c r="N909" s="1">
        <v>46031.458333333336</v>
      </c>
      <c r="O909" s="3" t="s">
        <v>137</v>
      </c>
      <c r="P909" s="3" t="s">
        <v>5253</v>
      </c>
      <c r="Q909" s="3" t="s">
        <v>35</v>
      </c>
      <c r="R909" s="3" t="s">
        <v>5252</v>
      </c>
      <c r="S909" s="3" t="s">
        <v>144</v>
      </c>
      <c r="T909" s="3" t="s">
        <v>143</v>
      </c>
      <c r="U909" s="4" t="b">
        <v>1</v>
      </c>
      <c r="V909" s="3" t="s">
        <v>31</v>
      </c>
      <c r="W909" s="1"/>
      <c r="Y909" s="3" t="s">
        <v>32</v>
      </c>
      <c r="Z909" s="3" t="s">
        <v>32</v>
      </c>
      <c r="AA909" s="3"/>
      <c r="AB909" s="3"/>
      <c r="AC909" s="4" t="s">
        <v>30</v>
      </c>
      <c r="AD909" s="3"/>
      <c r="AE909" s="3" t="s">
        <v>5253</v>
      </c>
      <c r="AF909" s="4" t="s">
        <v>30</v>
      </c>
      <c r="AH909" s="4">
        <v>0</v>
      </c>
      <c r="AI909" s="3" t="s">
        <v>5248</v>
      </c>
      <c r="AJ909" s="4" t="s">
        <v>5251</v>
      </c>
      <c r="AK909" s="4"/>
      <c r="AL909" s="3"/>
    </row>
    <row r="910" spans="1:38" x14ac:dyDescent="0.35">
      <c r="A910" s="3" t="s">
        <v>5254</v>
      </c>
      <c r="B910" s="4" t="s">
        <v>5258</v>
      </c>
      <c r="C910" s="4">
        <f>VLOOKUP(A910, [1]Planilha1!$A$3:$B$1015,2,FALSE)</f>
        <v>5886</v>
      </c>
      <c r="D910" s="4">
        <f t="shared" si="14"/>
        <v>1.635</v>
      </c>
      <c r="E910" s="4" t="s">
        <v>1125</v>
      </c>
      <c r="F910" s="3" t="s">
        <v>5257</v>
      </c>
      <c r="G910" s="3" t="s">
        <v>5255</v>
      </c>
      <c r="H910" s="3" t="s">
        <v>138</v>
      </c>
      <c r="I910" s="3" t="s">
        <v>33</v>
      </c>
      <c r="J910" s="3" t="s">
        <v>41</v>
      </c>
      <c r="L910" s="1">
        <v>46028.420219907406</v>
      </c>
      <c r="M910" s="1">
        <v>46028.420219907406</v>
      </c>
      <c r="N910" s="1">
        <v>46028.442928240744</v>
      </c>
      <c r="O910" s="3" t="s">
        <v>137</v>
      </c>
      <c r="P910" s="3" t="s">
        <v>5258</v>
      </c>
      <c r="Q910" s="3" t="s">
        <v>42</v>
      </c>
      <c r="R910" s="3" t="s">
        <v>5239</v>
      </c>
      <c r="S910" s="3" t="s">
        <v>37</v>
      </c>
      <c r="T910" s="3" t="s">
        <v>36</v>
      </c>
      <c r="U910" s="4" t="b">
        <v>1</v>
      </c>
      <c r="V910" s="3" t="s">
        <v>28</v>
      </c>
      <c r="W910" s="1"/>
      <c r="Y910" s="3" t="s">
        <v>29</v>
      </c>
      <c r="Z910" s="3" t="s">
        <v>29</v>
      </c>
      <c r="AA910" s="3"/>
      <c r="AB910" s="3"/>
      <c r="AC910" s="4" t="s">
        <v>30</v>
      </c>
      <c r="AD910" s="3"/>
      <c r="AE910" s="3" t="s">
        <v>5258</v>
      </c>
      <c r="AF910" s="4" t="s">
        <v>30</v>
      </c>
      <c r="AH910" s="4">
        <v>0</v>
      </c>
      <c r="AI910" s="3" t="s">
        <v>5256</v>
      </c>
      <c r="AJ910" s="4" t="s">
        <v>5960</v>
      </c>
      <c r="AK910" s="4"/>
      <c r="AL910" s="3"/>
    </row>
    <row r="911" spans="1:38" x14ac:dyDescent="0.35">
      <c r="A911" s="3" t="s">
        <v>5259</v>
      </c>
      <c r="B911" s="4" t="s">
        <v>5262</v>
      </c>
      <c r="C911" s="4">
        <f>VLOOKUP(A911, [1]Planilha1!$A$3:$B$1015,2,FALSE)</f>
        <v>7611</v>
      </c>
      <c r="D911" s="4">
        <f t="shared" si="14"/>
        <v>2.1141666666666667</v>
      </c>
      <c r="E911" s="4" t="s">
        <v>1125</v>
      </c>
      <c r="F911" s="3" t="s">
        <v>5250</v>
      </c>
      <c r="G911" s="3" t="s">
        <v>5260</v>
      </c>
      <c r="H911" s="3" t="s">
        <v>138</v>
      </c>
      <c r="I911" s="3" t="s">
        <v>33</v>
      </c>
      <c r="J911" s="3" t="s">
        <v>41</v>
      </c>
      <c r="L911" s="1">
        <v>46028.409421296295</v>
      </c>
      <c r="M911" s="1">
        <v>46028.409421296295</v>
      </c>
      <c r="N911" s="1">
        <v>46028.438784722224</v>
      </c>
      <c r="O911" s="3" t="s">
        <v>137</v>
      </c>
      <c r="P911" s="3" t="s">
        <v>5262</v>
      </c>
      <c r="Q911" s="3" t="s">
        <v>42</v>
      </c>
      <c r="R911" s="3" t="s">
        <v>5252</v>
      </c>
      <c r="S911" s="3" t="s">
        <v>37</v>
      </c>
      <c r="T911" s="3" t="s">
        <v>36</v>
      </c>
      <c r="U911" s="4" t="b">
        <v>1</v>
      </c>
      <c r="V911" s="3" t="s">
        <v>28</v>
      </c>
      <c r="W911" s="1"/>
      <c r="Y911" s="3" t="s">
        <v>29</v>
      </c>
      <c r="Z911" s="3" t="s">
        <v>29</v>
      </c>
      <c r="AA911" s="3"/>
      <c r="AB911" s="3"/>
      <c r="AC911" s="4" t="s">
        <v>30</v>
      </c>
      <c r="AD911" s="3"/>
      <c r="AE911" s="3" t="s">
        <v>5262</v>
      </c>
      <c r="AF911" s="4" t="s">
        <v>30</v>
      </c>
      <c r="AH911" s="4">
        <v>0</v>
      </c>
      <c r="AI911" s="3" t="s">
        <v>5261</v>
      </c>
      <c r="AJ911" s="4" t="s">
        <v>5251</v>
      </c>
      <c r="AK911" s="4"/>
      <c r="AL911" s="3"/>
    </row>
    <row r="912" spans="1:38" x14ac:dyDescent="0.35">
      <c r="A912" s="3" t="s">
        <v>5267</v>
      </c>
      <c r="B912" s="4" t="s">
        <v>5273</v>
      </c>
      <c r="C912" s="4">
        <f>VLOOKUP(A912, [1]Planilha1!$A$3:$B$1015,2,FALSE)</f>
        <v>0</v>
      </c>
      <c r="D912" s="4">
        <f t="shared" si="14"/>
        <v>0</v>
      </c>
      <c r="E912" s="4" t="s">
        <v>1125</v>
      </c>
      <c r="F912" s="3" t="s">
        <v>5270</v>
      </c>
      <c r="G912" s="3" t="s">
        <v>134</v>
      </c>
      <c r="H912" s="3" t="s">
        <v>138</v>
      </c>
      <c r="I912" s="3" t="s">
        <v>33</v>
      </c>
      <c r="J912" s="3" t="s">
        <v>60</v>
      </c>
      <c r="K912" s="3" t="s">
        <v>5269</v>
      </c>
      <c r="L912" s="1">
        <v>46028.402673611112</v>
      </c>
      <c r="M912" s="1">
        <v>46028.42769675926</v>
      </c>
      <c r="N912" s="1">
        <v>46031.458333333336</v>
      </c>
      <c r="O912" s="3" t="s">
        <v>137</v>
      </c>
      <c r="P912" s="3" t="s">
        <v>5273</v>
      </c>
      <c r="Q912" s="3" t="s">
        <v>35</v>
      </c>
      <c r="R912" s="3" t="s">
        <v>5272</v>
      </c>
      <c r="S912" s="3" t="s">
        <v>144</v>
      </c>
      <c r="T912" s="3" t="s">
        <v>143</v>
      </c>
      <c r="U912" s="4" t="b">
        <v>1</v>
      </c>
      <c r="V912" s="3" t="s">
        <v>31</v>
      </c>
      <c r="W912" s="1"/>
      <c r="Y912" s="3" t="s">
        <v>32</v>
      </c>
      <c r="Z912" s="3" t="s">
        <v>32</v>
      </c>
      <c r="AA912" s="3"/>
      <c r="AB912" s="3"/>
      <c r="AC912" s="4" t="s">
        <v>30</v>
      </c>
      <c r="AD912" s="3"/>
      <c r="AE912" s="3" t="s">
        <v>5273</v>
      </c>
      <c r="AF912" s="4" t="s">
        <v>30</v>
      </c>
      <c r="AH912" s="4">
        <v>0</v>
      </c>
      <c r="AI912" s="3" t="s">
        <v>5268</v>
      </c>
      <c r="AJ912" s="4" t="s">
        <v>5271</v>
      </c>
      <c r="AK912" s="4"/>
      <c r="AL912" s="3"/>
    </row>
    <row r="913" spans="1:38" x14ac:dyDescent="0.35">
      <c r="A913" s="3" t="s">
        <v>5274</v>
      </c>
      <c r="B913" s="4" t="s">
        <v>94</v>
      </c>
      <c r="C913" s="4">
        <f>VLOOKUP(A913, [1]Planilha1!$A$3:$B$1015,2,FALSE)</f>
        <v>7830</v>
      </c>
      <c r="D913" s="4">
        <f t="shared" si="14"/>
        <v>2.1749999999999998</v>
      </c>
      <c r="E913" s="4" t="s">
        <v>1125</v>
      </c>
      <c r="F913" s="3" t="s">
        <v>92</v>
      </c>
      <c r="G913" s="3" t="s">
        <v>5231</v>
      </c>
      <c r="H913" s="3" t="s">
        <v>727</v>
      </c>
      <c r="I913" s="3" t="s">
        <v>33</v>
      </c>
      <c r="J913" s="3" t="s">
        <v>41</v>
      </c>
      <c r="L913" s="1">
        <v>46028.38957175926</v>
      </c>
      <c r="M913" s="1">
        <v>46028.38957175926</v>
      </c>
      <c r="N913" s="1">
        <v>46028.434884259259</v>
      </c>
      <c r="O913" s="3" t="s">
        <v>726</v>
      </c>
      <c r="P913" s="3" t="s">
        <v>94</v>
      </c>
      <c r="Q913" s="3" t="s">
        <v>42</v>
      </c>
      <c r="R913" s="3" t="s">
        <v>93</v>
      </c>
      <c r="S913" s="3" t="s">
        <v>37</v>
      </c>
      <c r="T913" s="3" t="s">
        <v>36</v>
      </c>
      <c r="U913" s="4" t="b">
        <v>1</v>
      </c>
      <c r="V913" s="3" t="s">
        <v>28</v>
      </c>
      <c r="W913" s="1"/>
      <c r="Y913" s="3" t="s">
        <v>29</v>
      </c>
      <c r="Z913" s="3" t="s">
        <v>29</v>
      </c>
      <c r="AA913" s="3"/>
      <c r="AB913" s="3"/>
      <c r="AC913" s="4" t="s">
        <v>30</v>
      </c>
      <c r="AD913" s="3"/>
      <c r="AE913" s="3" t="s">
        <v>94</v>
      </c>
      <c r="AF913" s="4" t="s">
        <v>30</v>
      </c>
      <c r="AH913" s="4">
        <v>0</v>
      </c>
      <c r="AI913" s="3" t="s">
        <v>5275</v>
      </c>
      <c r="AJ913" s="4"/>
      <c r="AK913" s="4"/>
      <c r="AL913" s="3"/>
    </row>
    <row r="914" spans="1:38" x14ac:dyDescent="0.35">
      <c r="A914" s="3" t="s">
        <v>5276</v>
      </c>
      <c r="B914" s="4" t="s">
        <v>94</v>
      </c>
      <c r="C914" s="4">
        <f>VLOOKUP(A914, [1]Planilha1!$A$3:$B$1015,2,FALSE)</f>
        <v>0</v>
      </c>
      <c r="D914" s="4">
        <f t="shared" si="14"/>
        <v>0</v>
      </c>
      <c r="E914" s="4" t="s">
        <v>1125</v>
      </c>
      <c r="F914" s="3" t="s">
        <v>92</v>
      </c>
      <c r="G914" s="3" t="s">
        <v>44</v>
      </c>
      <c r="H914" s="3" t="s">
        <v>44</v>
      </c>
      <c r="I914" s="3" t="s">
        <v>33</v>
      </c>
      <c r="J914" s="3" t="s">
        <v>60</v>
      </c>
      <c r="L914" s="1">
        <v>46028.382465277777</v>
      </c>
      <c r="M914" s="1">
        <v>46028.383761574078</v>
      </c>
      <c r="N914" s="1">
        <v>46031.416678240741</v>
      </c>
      <c r="O914" s="3" t="s">
        <v>43</v>
      </c>
      <c r="P914" s="3" t="s">
        <v>94</v>
      </c>
      <c r="Q914" s="3" t="s">
        <v>35</v>
      </c>
      <c r="R914" s="3" t="s">
        <v>93</v>
      </c>
      <c r="S914" s="3" t="s">
        <v>96</v>
      </c>
      <c r="T914" s="3" t="s">
        <v>95</v>
      </c>
      <c r="U914" s="4" t="b">
        <v>1</v>
      </c>
      <c r="V914" s="3" t="s">
        <v>31</v>
      </c>
      <c r="W914" s="1"/>
      <c r="Y914" s="3" t="s">
        <v>32</v>
      </c>
      <c r="Z914" s="3" t="s">
        <v>32</v>
      </c>
      <c r="AA914" s="3"/>
      <c r="AB914" s="3"/>
      <c r="AC914" s="4" t="s">
        <v>30</v>
      </c>
      <c r="AD914" s="3"/>
      <c r="AE914" s="3" t="s">
        <v>94</v>
      </c>
      <c r="AF914" s="4" t="s">
        <v>30</v>
      </c>
      <c r="AH914" s="4">
        <v>0</v>
      </c>
      <c r="AI914" s="3" t="s">
        <v>5277</v>
      </c>
      <c r="AJ914" s="4"/>
      <c r="AK914" s="4"/>
      <c r="AL914" s="3"/>
    </row>
    <row r="915" spans="1:38" x14ac:dyDescent="0.35">
      <c r="A915" s="3" t="s">
        <v>5278</v>
      </c>
      <c r="B915" s="4" t="s">
        <v>5284</v>
      </c>
      <c r="C915" s="4">
        <f>VLOOKUP(A915, [1]Planilha1!$A$3:$B$1015,2,FALSE)</f>
        <v>1744</v>
      </c>
      <c r="D915" s="4">
        <f t="shared" si="14"/>
        <v>0.48444444444444446</v>
      </c>
      <c r="E915" s="4" t="s">
        <v>1125</v>
      </c>
      <c r="F915" s="3" t="s">
        <v>5281</v>
      </c>
      <c r="G915" s="3" t="s">
        <v>214</v>
      </c>
      <c r="H915" s="3" t="s">
        <v>44</v>
      </c>
      <c r="I915" s="3" t="s">
        <v>33</v>
      </c>
      <c r="J915" s="3" t="s">
        <v>41</v>
      </c>
      <c r="K915" s="3" t="s">
        <v>5280</v>
      </c>
      <c r="L915" s="1">
        <v>46028.381412037037</v>
      </c>
      <c r="M915" s="1">
        <v>46028.421331018515</v>
      </c>
      <c r="N915" s="1">
        <v>46028.431423611109</v>
      </c>
      <c r="O915" s="3" t="s">
        <v>43</v>
      </c>
      <c r="P915" s="3" t="s">
        <v>5284</v>
      </c>
      <c r="Q915" s="3" t="s">
        <v>42</v>
      </c>
      <c r="R915" s="3" t="s">
        <v>5283</v>
      </c>
      <c r="S915" s="3" t="s">
        <v>144</v>
      </c>
      <c r="T915" s="3" t="s">
        <v>143</v>
      </c>
      <c r="U915" s="4" t="b">
        <v>1</v>
      </c>
      <c r="V915" s="3" t="s">
        <v>31</v>
      </c>
      <c r="W915" s="1"/>
      <c r="Y915" s="3" t="s">
        <v>32</v>
      </c>
      <c r="Z915" s="3" t="s">
        <v>32</v>
      </c>
      <c r="AA915" s="3"/>
      <c r="AB915" s="3"/>
      <c r="AC915" s="4" t="s">
        <v>30</v>
      </c>
      <c r="AD915" s="3"/>
      <c r="AE915" s="3" t="s">
        <v>5284</v>
      </c>
      <c r="AF915" s="4" t="s">
        <v>30</v>
      </c>
      <c r="AH915" s="4">
        <v>1</v>
      </c>
      <c r="AI915" s="3" t="s">
        <v>5279</v>
      </c>
      <c r="AJ915" s="4" t="s">
        <v>5282</v>
      </c>
      <c r="AK915" s="4"/>
      <c r="AL915" s="3"/>
    </row>
    <row r="916" spans="1:38" x14ac:dyDescent="0.35">
      <c r="A916" s="3" t="s">
        <v>5285</v>
      </c>
      <c r="B916" s="4" t="s">
        <v>5291</v>
      </c>
      <c r="C916" s="4">
        <f>VLOOKUP(A916, [1]Planilha1!$A$3:$B$1015,2,FALSE)</f>
        <v>2694</v>
      </c>
      <c r="D916" s="4">
        <f t="shared" si="14"/>
        <v>0.74833333333333329</v>
      </c>
      <c r="E916" s="4" t="s">
        <v>1125</v>
      </c>
      <c r="F916" s="3" t="s">
        <v>5288</v>
      </c>
      <c r="G916" s="3" t="s">
        <v>214</v>
      </c>
      <c r="H916" s="3" t="s">
        <v>44</v>
      </c>
      <c r="I916" s="3" t="s">
        <v>33</v>
      </c>
      <c r="J916" s="3" t="s">
        <v>41</v>
      </c>
      <c r="K916" s="3" t="s">
        <v>5287</v>
      </c>
      <c r="L916" s="1">
        <v>46028.378287037034</v>
      </c>
      <c r="M916" s="1">
        <v>46028.41165509259</v>
      </c>
      <c r="N916" s="1">
        <v>46028.427245370367</v>
      </c>
      <c r="O916" s="3" t="s">
        <v>43</v>
      </c>
      <c r="P916" s="3" t="s">
        <v>5291</v>
      </c>
      <c r="Q916" s="3" t="s">
        <v>42</v>
      </c>
      <c r="R916" s="3" t="s">
        <v>5290</v>
      </c>
      <c r="S916" s="3" t="s">
        <v>144</v>
      </c>
      <c r="T916" s="3" t="s">
        <v>143</v>
      </c>
      <c r="U916" s="4" t="b">
        <v>1</v>
      </c>
      <c r="V916" s="3" t="s">
        <v>31</v>
      </c>
      <c r="W916" s="1"/>
      <c r="Y916" s="3" t="s">
        <v>32</v>
      </c>
      <c r="Z916" s="3" t="s">
        <v>32</v>
      </c>
      <c r="AA916" s="3"/>
      <c r="AB916" s="3"/>
      <c r="AC916" s="4" t="s">
        <v>30</v>
      </c>
      <c r="AD916" s="3"/>
      <c r="AE916" s="3" t="s">
        <v>5291</v>
      </c>
      <c r="AF916" s="4" t="s">
        <v>30</v>
      </c>
      <c r="AH916" s="4">
        <v>1</v>
      </c>
      <c r="AI916" s="3" t="s">
        <v>5286</v>
      </c>
      <c r="AJ916" s="4" t="s">
        <v>5289</v>
      </c>
      <c r="AK916" s="4"/>
      <c r="AL916" s="3"/>
    </row>
    <row r="917" spans="1:38" x14ac:dyDescent="0.35">
      <c r="A917" s="3" t="s">
        <v>5292</v>
      </c>
      <c r="B917" s="4" t="s">
        <v>5297</v>
      </c>
      <c r="C917" s="4">
        <f>VLOOKUP(A917, [1]Planilha1!$A$3:$B$1015,2,FALSE)</f>
        <v>0</v>
      </c>
      <c r="D917" s="4">
        <f t="shared" si="14"/>
        <v>0</v>
      </c>
      <c r="E917" s="4" t="s">
        <v>1125</v>
      </c>
      <c r="F917" s="3" t="s">
        <v>5295</v>
      </c>
      <c r="G917" s="3" t="s">
        <v>134</v>
      </c>
      <c r="H917" s="3" t="s">
        <v>138</v>
      </c>
      <c r="I917" s="3" t="s">
        <v>33</v>
      </c>
      <c r="J917" s="3" t="s">
        <v>60</v>
      </c>
      <c r="K917" s="3" t="s">
        <v>5294</v>
      </c>
      <c r="L917" s="1">
        <v>46028.371296296296</v>
      </c>
      <c r="M917" s="1">
        <v>46028.377129629633</v>
      </c>
      <c r="N917" s="1">
        <v>46031.416678240741</v>
      </c>
      <c r="O917" s="3" t="s">
        <v>137</v>
      </c>
      <c r="P917" s="3" t="s">
        <v>5297</v>
      </c>
      <c r="Q917" s="3" t="s">
        <v>35</v>
      </c>
      <c r="R917" s="3" t="s">
        <v>5296</v>
      </c>
      <c r="S917" s="3" t="s">
        <v>144</v>
      </c>
      <c r="T917" s="3" t="s">
        <v>143</v>
      </c>
      <c r="U917" s="4" t="b">
        <v>1</v>
      </c>
      <c r="V917" s="3" t="s">
        <v>31</v>
      </c>
      <c r="W917" s="1"/>
      <c r="Y917" s="3" t="s">
        <v>32</v>
      </c>
      <c r="Z917" s="3" t="s">
        <v>32</v>
      </c>
      <c r="AA917" s="3"/>
      <c r="AB917" s="3"/>
      <c r="AC917" s="4" t="s">
        <v>30</v>
      </c>
      <c r="AD917" s="3"/>
      <c r="AE917" s="3" t="s">
        <v>5297</v>
      </c>
      <c r="AF917" s="4" t="s">
        <v>30</v>
      </c>
      <c r="AH917" s="4">
        <v>0</v>
      </c>
      <c r="AI917" s="3" t="s">
        <v>5293</v>
      </c>
      <c r="AJ917" s="4" t="s">
        <v>5961</v>
      </c>
      <c r="AK917" s="4"/>
      <c r="AL917" s="3"/>
    </row>
    <row r="918" spans="1:38" x14ac:dyDescent="0.35">
      <c r="A918" s="3" t="s">
        <v>5298</v>
      </c>
      <c r="B918" s="4" t="s">
        <v>1786</v>
      </c>
      <c r="C918" s="4">
        <f>VLOOKUP(A918, [1]Planilha1!$A$3:$B$1015,2,FALSE)</f>
        <v>8894</v>
      </c>
      <c r="D918" s="4">
        <f t="shared" si="14"/>
        <v>2.4705555555555554</v>
      </c>
      <c r="E918" s="4" t="s">
        <v>1125</v>
      </c>
      <c r="F918" s="3" t="s">
        <v>1783</v>
      </c>
      <c r="G918" s="3" t="s">
        <v>214</v>
      </c>
      <c r="H918" s="3" t="s">
        <v>44</v>
      </c>
      <c r="I918" s="3" t="s">
        <v>33</v>
      </c>
      <c r="J918" s="3" t="s">
        <v>41</v>
      </c>
      <c r="K918" s="3" t="s">
        <v>5300</v>
      </c>
      <c r="L918" s="1">
        <v>46028.353368055556</v>
      </c>
      <c r="M918" s="1">
        <v>46028.362129629626</v>
      </c>
      <c r="N918" s="1">
        <v>46028.426469907405</v>
      </c>
      <c r="O918" s="3" t="s">
        <v>43</v>
      </c>
      <c r="P918" s="3" t="s">
        <v>1786</v>
      </c>
      <c r="Q918" s="3" t="s">
        <v>42</v>
      </c>
      <c r="R918" s="3" t="s">
        <v>1785</v>
      </c>
      <c r="S918" s="3" t="s">
        <v>144</v>
      </c>
      <c r="T918" s="3" t="s">
        <v>143</v>
      </c>
      <c r="U918" s="4" t="b">
        <v>1</v>
      </c>
      <c r="V918" s="3" t="s">
        <v>31</v>
      </c>
      <c r="W918" s="1"/>
      <c r="Y918" s="3" t="s">
        <v>32</v>
      </c>
      <c r="Z918" s="3" t="s">
        <v>32</v>
      </c>
      <c r="AA918" s="3"/>
      <c r="AB918" s="3"/>
      <c r="AC918" s="4" t="s">
        <v>30</v>
      </c>
      <c r="AD918" s="3"/>
      <c r="AE918" s="3" t="s">
        <v>1786</v>
      </c>
      <c r="AF918" s="4" t="s">
        <v>30</v>
      </c>
      <c r="AH918" s="4">
        <v>1</v>
      </c>
      <c r="AI918" s="3" t="s">
        <v>5299</v>
      </c>
      <c r="AJ918" s="4" t="s">
        <v>1784</v>
      </c>
      <c r="AK918" s="4"/>
      <c r="AL918" s="3"/>
    </row>
    <row r="919" spans="1:38" x14ac:dyDescent="0.35">
      <c r="A919" s="3" t="s">
        <v>5301</v>
      </c>
      <c r="B919" s="4" t="s">
        <v>752</v>
      </c>
      <c r="C919" s="4">
        <f>VLOOKUP(A919, [1]Planilha1!$A$3:$B$1015,2,FALSE)</f>
        <v>0</v>
      </c>
      <c r="D919" s="4">
        <f t="shared" si="14"/>
        <v>0</v>
      </c>
      <c r="E919" s="4" t="s">
        <v>1125</v>
      </c>
      <c r="F919" s="3" t="s">
        <v>749</v>
      </c>
      <c r="G919" s="3" t="s">
        <v>700</v>
      </c>
      <c r="H919" s="3" t="s">
        <v>44</v>
      </c>
      <c r="I919" s="3" t="s">
        <v>33</v>
      </c>
      <c r="J919" s="3" t="s">
        <v>60</v>
      </c>
      <c r="L919" s="1">
        <v>46028.350381944445</v>
      </c>
      <c r="M919" s="1">
        <v>46028.35796296296</v>
      </c>
      <c r="N919" s="1">
        <v>46031.375011574077</v>
      </c>
      <c r="O919" s="3" t="s">
        <v>43</v>
      </c>
      <c r="P919" s="3" t="s">
        <v>752</v>
      </c>
      <c r="Q919" s="3" t="s">
        <v>35</v>
      </c>
      <c r="R919" s="3" t="s">
        <v>751</v>
      </c>
      <c r="S919" s="3" t="s">
        <v>190</v>
      </c>
      <c r="T919" s="3" t="s">
        <v>189</v>
      </c>
      <c r="U919" s="4" t="b">
        <v>1</v>
      </c>
      <c r="V919" s="3" t="s">
        <v>31</v>
      </c>
      <c r="W919" s="1"/>
      <c r="Y919" s="3" t="s">
        <v>32</v>
      </c>
      <c r="Z919" s="3" t="s">
        <v>32</v>
      </c>
      <c r="AA919" s="3"/>
      <c r="AB919" s="3"/>
      <c r="AC919" s="4" t="s">
        <v>30</v>
      </c>
      <c r="AD919" s="3"/>
      <c r="AE919" s="3" t="s">
        <v>752</v>
      </c>
      <c r="AF919" s="4" t="s">
        <v>30</v>
      </c>
      <c r="AH919" s="4">
        <v>0</v>
      </c>
      <c r="AI919" s="3" t="s">
        <v>5302</v>
      </c>
      <c r="AJ919" s="4" t="s">
        <v>750</v>
      </c>
      <c r="AK919" s="4"/>
      <c r="AL919" s="3"/>
    </row>
    <row r="920" spans="1:38" x14ac:dyDescent="0.35">
      <c r="A920" s="3" t="s">
        <v>5303</v>
      </c>
      <c r="B920" s="4" t="s">
        <v>5308</v>
      </c>
      <c r="C920" s="4">
        <f>VLOOKUP(A920, [1]Planilha1!$A$3:$B$1015,2,FALSE)</f>
        <v>0</v>
      </c>
      <c r="D920" s="4">
        <f t="shared" si="14"/>
        <v>0</v>
      </c>
      <c r="E920" s="4" t="s">
        <v>1125</v>
      </c>
      <c r="F920" s="3" t="s">
        <v>5305</v>
      </c>
      <c r="G920" s="3" t="s">
        <v>2348</v>
      </c>
      <c r="H920" s="3" t="s">
        <v>44</v>
      </c>
      <c r="I920" s="3" t="s">
        <v>33</v>
      </c>
      <c r="J920" s="3" t="s">
        <v>60</v>
      </c>
      <c r="L920" s="1">
        <v>46028.347222222219</v>
      </c>
      <c r="M920" s="1">
        <v>46028.350185185183</v>
      </c>
      <c r="N920" s="1">
        <v>46031.375011574077</v>
      </c>
      <c r="O920" s="3" t="s">
        <v>43</v>
      </c>
      <c r="P920" s="3" t="s">
        <v>5308</v>
      </c>
      <c r="Q920" s="3" t="s">
        <v>42</v>
      </c>
      <c r="R920" s="3" t="s">
        <v>5307</v>
      </c>
      <c r="S920" s="3" t="s">
        <v>708</v>
      </c>
      <c r="T920" s="3" t="s">
        <v>707</v>
      </c>
      <c r="U920" s="4" t="b">
        <v>1</v>
      </c>
      <c r="V920" s="3" t="s">
        <v>31</v>
      </c>
      <c r="W920" s="1"/>
      <c r="Y920" s="3" t="s">
        <v>32</v>
      </c>
      <c r="Z920" s="3" t="s">
        <v>32</v>
      </c>
      <c r="AA920" s="3"/>
      <c r="AB920" s="3"/>
      <c r="AC920" s="4" t="s">
        <v>30</v>
      </c>
      <c r="AD920" s="3"/>
      <c r="AE920" s="3" t="s">
        <v>5308</v>
      </c>
      <c r="AF920" s="4" t="s">
        <v>30</v>
      </c>
      <c r="AH920" s="4">
        <v>0</v>
      </c>
      <c r="AI920" s="3" t="s">
        <v>5304</v>
      </c>
      <c r="AJ920" s="4" t="s">
        <v>5306</v>
      </c>
      <c r="AK920" s="4"/>
      <c r="AL920" s="3"/>
    </row>
    <row r="921" spans="1:38" x14ac:dyDescent="0.35">
      <c r="A921" s="3" t="s">
        <v>5309</v>
      </c>
      <c r="B921" s="4" t="s">
        <v>5316</v>
      </c>
      <c r="C921" s="4">
        <f>VLOOKUP(A921, [1]Planilha1!$A$3:$B$1015,2,FALSE)</f>
        <v>6201</v>
      </c>
      <c r="D921" s="4">
        <f t="shared" si="14"/>
        <v>1.7224999999999999</v>
      </c>
      <c r="E921" s="4" t="s">
        <v>1125</v>
      </c>
      <c r="F921" s="3" t="s">
        <v>5313</v>
      </c>
      <c r="G921" s="3" t="s">
        <v>5310</v>
      </c>
      <c r="H921" s="3" t="s">
        <v>224</v>
      </c>
      <c r="I921" s="3" t="s">
        <v>33</v>
      </c>
      <c r="J921" s="3" t="s">
        <v>41</v>
      </c>
      <c r="K921" s="3" t="s">
        <v>5312</v>
      </c>
      <c r="L921" s="1">
        <v>46027.870381944442</v>
      </c>
      <c r="M921" s="1">
        <v>46027.870381944442</v>
      </c>
      <c r="N921" s="1">
        <v>46028.363437499997</v>
      </c>
      <c r="O921" s="3" t="s">
        <v>223</v>
      </c>
      <c r="P921" s="3" t="s">
        <v>5316</v>
      </c>
      <c r="Q921" s="3" t="s">
        <v>42</v>
      </c>
      <c r="R921" s="3" t="s">
        <v>5315</v>
      </c>
      <c r="S921" s="3" t="s">
        <v>37</v>
      </c>
      <c r="T921" s="3" t="s">
        <v>36</v>
      </c>
      <c r="U921" s="4" t="b">
        <v>1</v>
      </c>
      <c r="V921" s="3" t="s">
        <v>28</v>
      </c>
      <c r="W921" s="1"/>
      <c r="Y921" s="3" t="s">
        <v>29</v>
      </c>
      <c r="Z921" s="3" t="s">
        <v>29</v>
      </c>
      <c r="AA921" s="3"/>
      <c r="AB921" s="3"/>
      <c r="AC921" s="4" t="s">
        <v>30</v>
      </c>
      <c r="AD921" s="3"/>
      <c r="AE921" s="3" t="s">
        <v>5316</v>
      </c>
      <c r="AF921" s="4" t="s">
        <v>30</v>
      </c>
      <c r="AH921" s="4">
        <v>1</v>
      </c>
      <c r="AI921" s="3" t="s">
        <v>5311</v>
      </c>
      <c r="AJ921" s="4" t="s">
        <v>5314</v>
      </c>
      <c r="AK921" s="4"/>
      <c r="AL921" s="3"/>
    </row>
    <row r="922" spans="1:38" x14ac:dyDescent="0.35">
      <c r="A922" s="3" t="s">
        <v>5317</v>
      </c>
      <c r="B922" s="4" t="s">
        <v>5162</v>
      </c>
      <c r="C922" s="4">
        <f>VLOOKUP(A922, [1]Planilha1!$A$3:$B$1015,2,FALSE)</f>
        <v>7692</v>
      </c>
      <c r="D922" s="4">
        <f t="shared" si="14"/>
        <v>2.1366666666666667</v>
      </c>
      <c r="E922" s="4" t="s">
        <v>1125</v>
      </c>
      <c r="F922" s="3" t="s">
        <v>5159</v>
      </c>
      <c r="G922" s="3" t="s">
        <v>74</v>
      </c>
      <c r="H922" s="3" t="s">
        <v>44</v>
      </c>
      <c r="I922" s="3" t="s">
        <v>33</v>
      </c>
      <c r="J922" s="3" t="s">
        <v>41</v>
      </c>
      <c r="L922" s="1">
        <v>46027.703784722224</v>
      </c>
      <c r="M922" s="1">
        <v>46027.70548611111</v>
      </c>
      <c r="N922" s="1">
        <v>46028.325925925928</v>
      </c>
      <c r="O922" s="3" t="s">
        <v>43</v>
      </c>
      <c r="P922" s="3" t="s">
        <v>5162</v>
      </c>
      <c r="Q922" s="3" t="s">
        <v>42</v>
      </c>
      <c r="R922" s="3" t="s">
        <v>5161</v>
      </c>
      <c r="S922" s="3" t="s">
        <v>80</v>
      </c>
      <c r="T922" s="3" t="s">
        <v>79</v>
      </c>
      <c r="U922" s="4" t="b">
        <v>1</v>
      </c>
      <c r="V922" s="3" t="s">
        <v>31</v>
      </c>
      <c r="W922" s="1"/>
      <c r="Y922" s="3" t="s">
        <v>32</v>
      </c>
      <c r="Z922" s="3" t="s">
        <v>32</v>
      </c>
      <c r="AA922" s="3"/>
      <c r="AB922" s="3"/>
      <c r="AC922" s="4" t="s">
        <v>30</v>
      </c>
      <c r="AD922" s="3"/>
      <c r="AE922" s="3" t="s">
        <v>5162</v>
      </c>
      <c r="AF922" s="4" t="s">
        <v>30</v>
      </c>
      <c r="AH922" s="4">
        <v>1</v>
      </c>
      <c r="AI922" s="3" t="s">
        <v>5318</v>
      </c>
      <c r="AJ922" s="4" t="s">
        <v>5160</v>
      </c>
      <c r="AK922" s="4"/>
      <c r="AL922" s="3"/>
    </row>
    <row r="923" spans="1:38" x14ac:dyDescent="0.35">
      <c r="A923" s="3" t="s">
        <v>5319</v>
      </c>
      <c r="B923" s="4" t="s">
        <v>5326</v>
      </c>
      <c r="C923" s="4">
        <f>VLOOKUP(A923, [1]Planilha1!$A$3:$B$1015,2,FALSE)</f>
        <v>0</v>
      </c>
      <c r="D923" s="4">
        <f t="shared" si="14"/>
        <v>0</v>
      </c>
      <c r="E923" s="4" t="s">
        <v>1125</v>
      </c>
      <c r="F923" s="3" t="s">
        <v>5323</v>
      </c>
      <c r="G923" s="3" t="s">
        <v>5320</v>
      </c>
      <c r="H923" s="3" t="s">
        <v>457</v>
      </c>
      <c r="I923" s="3" t="s">
        <v>33</v>
      </c>
      <c r="J923" s="3" t="s">
        <v>60</v>
      </c>
      <c r="K923" s="3" t="s">
        <v>5322</v>
      </c>
      <c r="L923" s="1">
        <v>46027.685162037036</v>
      </c>
      <c r="M923" s="1">
        <v>46027.694374999999</v>
      </c>
      <c r="N923" s="1">
        <v>46030.708333333336</v>
      </c>
      <c r="O923" s="3" t="s">
        <v>460</v>
      </c>
      <c r="P923" s="3" t="s">
        <v>5326</v>
      </c>
      <c r="Q923" s="3" t="s">
        <v>42</v>
      </c>
      <c r="R923" s="3" t="s">
        <v>5325</v>
      </c>
      <c r="S923" s="3" t="s">
        <v>120</v>
      </c>
      <c r="T923" s="3" t="s">
        <v>119</v>
      </c>
      <c r="U923" s="4" t="b">
        <v>1</v>
      </c>
      <c r="V923" s="3" t="s">
        <v>31</v>
      </c>
      <c r="W923" s="1"/>
      <c r="Y923" s="3" t="s">
        <v>32</v>
      </c>
      <c r="Z923" s="3" t="s">
        <v>32</v>
      </c>
      <c r="AA923" s="3"/>
      <c r="AB923" s="3"/>
      <c r="AC923" s="4" t="s">
        <v>30</v>
      </c>
      <c r="AD923" s="3"/>
      <c r="AE923" s="3" t="s">
        <v>5326</v>
      </c>
      <c r="AF923" s="4" t="s">
        <v>30</v>
      </c>
      <c r="AH923" s="4">
        <v>0</v>
      </c>
      <c r="AI923" s="3" t="s">
        <v>5321</v>
      </c>
      <c r="AJ923" s="4" t="s">
        <v>5324</v>
      </c>
      <c r="AK923" s="4"/>
      <c r="AL923" s="3"/>
    </row>
    <row r="924" spans="1:38" x14ac:dyDescent="0.35">
      <c r="A924" s="3" t="s">
        <v>5327</v>
      </c>
      <c r="B924" s="4" t="s">
        <v>5332</v>
      </c>
      <c r="C924" s="4">
        <f>VLOOKUP(A924, [1]Planilha1!$A$3:$B$1015,2,FALSE)</f>
        <v>14656</v>
      </c>
      <c r="D924" s="4">
        <f t="shared" si="14"/>
        <v>4.0711111111111107</v>
      </c>
      <c r="E924" s="4" t="s">
        <v>1125</v>
      </c>
      <c r="F924" s="3" t="s">
        <v>5329</v>
      </c>
      <c r="G924" s="3" t="s">
        <v>74</v>
      </c>
      <c r="H924" s="3" t="s">
        <v>44</v>
      </c>
      <c r="I924" s="3" t="s">
        <v>33</v>
      </c>
      <c r="J924" s="3" t="s">
        <v>41</v>
      </c>
      <c r="L924" s="1">
        <v>46027.660254629627</v>
      </c>
      <c r="M924" s="1">
        <v>46027.665185185186</v>
      </c>
      <c r="N924" s="1">
        <v>46028.331493055557</v>
      </c>
      <c r="O924" s="3" t="s">
        <v>43</v>
      </c>
      <c r="P924" s="3" t="s">
        <v>5332</v>
      </c>
      <c r="Q924" s="3" t="s">
        <v>42</v>
      </c>
      <c r="R924" s="3" t="s">
        <v>5331</v>
      </c>
      <c r="S924" s="3" t="s">
        <v>80</v>
      </c>
      <c r="T924" s="3" t="s">
        <v>79</v>
      </c>
      <c r="U924" s="4" t="b">
        <v>1</v>
      </c>
      <c r="V924" s="3" t="s">
        <v>31</v>
      </c>
      <c r="W924" s="1"/>
      <c r="Y924" s="3" t="s">
        <v>32</v>
      </c>
      <c r="Z924" s="3" t="s">
        <v>32</v>
      </c>
      <c r="AA924" s="3"/>
      <c r="AB924" s="3"/>
      <c r="AC924" s="4" t="s">
        <v>30</v>
      </c>
      <c r="AD924" s="3"/>
      <c r="AE924" s="3" t="s">
        <v>5332</v>
      </c>
      <c r="AF924" s="4" t="s">
        <v>30</v>
      </c>
      <c r="AH924" s="4">
        <v>1</v>
      </c>
      <c r="AI924" s="3" t="s">
        <v>5328</v>
      </c>
      <c r="AJ924" s="4" t="s">
        <v>5330</v>
      </c>
      <c r="AK924" s="4"/>
      <c r="AL924" s="3"/>
    </row>
    <row r="925" spans="1:38" x14ac:dyDescent="0.35">
      <c r="A925" s="3" t="s">
        <v>5333</v>
      </c>
      <c r="B925" s="4" t="s">
        <v>5338</v>
      </c>
      <c r="C925" s="4">
        <f>VLOOKUP(A925, [1]Planilha1!$A$3:$B$1015,2,FALSE)</f>
        <v>17850</v>
      </c>
      <c r="D925" s="4">
        <f t="shared" si="14"/>
        <v>4.958333333333333</v>
      </c>
      <c r="E925" s="4" t="s">
        <v>1125</v>
      </c>
      <c r="F925" s="3" t="s">
        <v>5335</v>
      </c>
      <c r="G925" s="3" t="s">
        <v>74</v>
      </c>
      <c r="H925" s="3" t="s">
        <v>44</v>
      </c>
      <c r="I925" s="3" t="s">
        <v>33</v>
      </c>
      <c r="J925" s="3" t="s">
        <v>41</v>
      </c>
      <c r="L925" s="1">
        <v>46027.644826388889</v>
      </c>
      <c r="M925" s="1">
        <v>46027.646701388891</v>
      </c>
      <c r="N925" s="1">
        <v>46028.33079861111</v>
      </c>
      <c r="O925" s="3" t="s">
        <v>43</v>
      </c>
      <c r="P925" s="3" t="s">
        <v>5338</v>
      </c>
      <c r="Q925" s="3" t="s">
        <v>42</v>
      </c>
      <c r="R925" s="3" t="s">
        <v>5337</v>
      </c>
      <c r="S925" s="3" t="s">
        <v>80</v>
      </c>
      <c r="T925" s="3" t="s">
        <v>79</v>
      </c>
      <c r="U925" s="4" t="b">
        <v>1</v>
      </c>
      <c r="V925" s="3" t="s">
        <v>31</v>
      </c>
      <c r="W925" s="1"/>
      <c r="Y925" s="3" t="s">
        <v>32</v>
      </c>
      <c r="Z925" s="3" t="s">
        <v>32</v>
      </c>
      <c r="AA925" s="3"/>
      <c r="AB925" s="3"/>
      <c r="AC925" s="4" t="s">
        <v>30</v>
      </c>
      <c r="AD925" s="3"/>
      <c r="AE925" s="3" t="s">
        <v>5338</v>
      </c>
      <c r="AF925" s="4" t="s">
        <v>30</v>
      </c>
      <c r="AH925" s="4">
        <v>1</v>
      </c>
      <c r="AI925" s="3" t="s">
        <v>5334</v>
      </c>
      <c r="AJ925" s="4" t="s">
        <v>5336</v>
      </c>
      <c r="AK925" s="4"/>
      <c r="AL925" s="3"/>
    </row>
    <row r="926" spans="1:38" x14ac:dyDescent="0.35">
      <c r="A926" s="3" t="s">
        <v>5339</v>
      </c>
      <c r="B926" s="4" t="s">
        <v>5345</v>
      </c>
      <c r="C926" s="4">
        <f>VLOOKUP(A926, [1]Planilha1!$A$3:$B$1015,2,FALSE)</f>
        <v>1170</v>
      </c>
      <c r="D926" s="4">
        <f t="shared" si="14"/>
        <v>0.32500000000000001</v>
      </c>
      <c r="E926" s="4" t="s">
        <v>1125</v>
      </c>
      <c r="F926" s="3" t="s">
        <v>5342</v>
      </c>
      <c r="G926" s="3" t="s">
        <v>5340</v>
      </c>
      <c r="H926" s="3" t="s">
        <v>171</v>
      </c>
      <c r="I926" s="3" t="s">
        <v>33</v>
      </c>
      <c r="J926" s="3" t="s">
        <v>41</v>
      </c>
      <c r="L926" s="1">
        <v>46027.638391203705</v>
      </c>
      <c r="M926" s="1">
        <v>46027.638391203705</v>
      </c>
      <c r="N926" s="1">
        <v>46027.645162037035</v>
      </c>
      <c r="O926" s="3" t="s">
        <v>170</v>
      </c>
      <c r="P926" s="3" t="s">
        <v>5345</v>
      </c>
      <c r="Q926" s="3" t="s">
        <v>42</v>
      </c>
      <c r="R926" s="3" t="s">
        <v>5344</v>
      </c>
      <c r="S926" s="3" t="s">
        <v>37</v>
      </c>
      <c r="T926" s="3" t="s">
        <v>36</v>
      </c>
      <c r="U926" s="4" t="b">
        <v>1</v>
      </c>
      <c r="V926" s="3" t="s">
        <v>28</v>
      </c>
      <c r="W926" s="1"/>
      <c r="Y926" s="3" t="s">
        <v>29</v>
      </c>
      <c r="Z926" s="3" t="s">
        <v>29</v>
      </c>
      <c r="AA926" s="3"/>
      <c r="AB926" s="3"/>
      <c r="AC926" s="4" t="s">
        <v>30</v>
      </c>
      <c r="AD926" s="3"/>
      <c r="AE926" s="3" t="s">
        <v>5345</v>
      </c>
      <c r="AF926" s="4" t="s">
        <v>30</v>
      </c>
      <c r="AH926" s="4">
        <v>1</v>
      </c>
      <c r="AI926" s="3" t="s">
        <v>5341</v>
      </c>
      <c r="AJ926" s="4" t="s">
        <v>5343</v>
      </c>
      <c r="AK926" s="4"/>
      <c r="AL926" s="3"/>
    </row>
    <row r="927" spans="1:38" x14ac:dyDescent="0.35">
      <c r="A927" s="3" t="s">
        <v>5346</v>
      </c>
      <c r="B927" s="4" t="s">
        <v>5351</v>
      </c>
      <c r="C927" s="4">
        <f>VLOOKUP(A927, [1]Planilha1!$A$3:$B$1015,2,FALSE)</f>
        <v>8872</v>
      </c>
      <c r="D927" s="4">
        <f t="shared" si="14"/>
        <v>2.4644444444444447</v>
      </c>
      <c r="E927" s="4" t="s">
        <v>1125</v>
      </c>
      <c r="F927" s="3" t="s">
        <v>5348</v>
      </c>
      <c r="G927" s="3" t="s">
        <v>2401</v>
      </c>
      <c r="H927" s="3" t="s">
        <v>44</v>
      </c>
      <c r="I927" s="3" t="s">
        <v>33</v>
      </c>
      <c r="J927" s="3" t="s">
        <v>41</v>
      </c>
      <c r="L927" s="1">
        <v>46027.634375000001</v>
      </c>
      <c r="M927" s="1">
        <v>46027.640092592592</v>
      </c>
      <c r="N927" s="1">
        <v>46028.631701388891</v>
      </c>
      <c r="O927" s="3" t="s">
        <v>43</v>
      </c>
      <c r="P927" s="3" t="s">
        <v>5351</v>
      </c>
      <c r="Q927" s="3" t="s">
        <v>42</v>
      </c>
      <c r="R927" s="3" t="s">
        <v>5350</v>
      </c>
      <c r="S927" s="3" t="s">
        <v>80</v>
      </c>
      <c r="T927" s="3" t="s">
        <v>79</v>
      </c>
      <c r="U927" s="4" t="b">
        <v>1</v>
      </c>
      <c r="V927" s="3" t="s">
        <v>31</v>
      </c>
      <c r="W927" s="1"/>
      <c r="Y927" s="3" t="s">
        <v>32</v>
      </c>
      <c r="Z927" s="3" t="s">
        <v>32</v>
      </c>
      <c r="AA927" s="3"/>
      <c r="AB927" s="3"/>
      <c r="AC927" s="4" t="s">
        <v>30</v>
      </c>
      <c r="AD927" s="3"/>
      <c r="AE927" s="3" t="s">
        <v>5351</v>
      </c>
      <c r="AF927" s="4" t="s">
        <v>30</v>
      </c>
      <c r="AH927" s="4">
        <v>1</v>
      </c>
      <c r="AI927" s="3" t="s">
        <v>5347</v>
      </c>
      <c r="AJ927" s="4" t="s">
        <v>5349</v>
      </c>
      <c r="AK927" s="4"/>
      <c r="AL927" s="3"/>
    </row>
    <row r="928" spans="1:38" x14ac:dyDescent="0.35">
      <c r="A928" s="3" t="s">
        <v>5352</v>
      </c>
      <c r="B928" s="4" t="s">
        <v>5102</v>
      </c>
      <c r="C928" s="4">
        <f>VLOOKUP(A928, [1]Planilha1!$A$3:$B$1015,2,FALSE)</f>
        <v>6616</v>
      </c>
      <c r="D928" s="4">
        <f t="shared" si="14"/>
        <v>1.8377777777777777</v>
      </c>
      <c r="E928" s="4" t="s">
        <v>1125</v>
      </c>
      <c r="F928" s="3" t="s">
        <v>5354</v>
      </c>
      <c r="G928" s="3" t="s">
        <v>4752</v>
      </c>
      <c r="H928" s="3" t="s">
        <v>44</v>
      </c>
      <c r="I928" s="3" t="s">
        <v>33</v>
      </c>
      <c r="J928" s="3" t="s">
        <v>41</v>
      </c>
      <c r="L928" s="1">
        <v>46027.627372685187</v>
      </c>
      <c r="M928" s="1">
        <v>46027.632407407407</v>
      </c>
      <c r="N928" s="1">
        <v>46027.670694444445</v>
      </c>
      <c r="O928" s="3" t="s">
        <v>43</v>
      </c>
      <c r="P928" s="3" t="s">
        <v>5102</v>
      </c>
      <c r="Q928" s="3" t="s">
        <v>42</v>
      </c>
      <c r="R928" s="3" t="s">
        <v>5356</v>
      </c>
      <c r="S928" s="3" t="s">
        <v>62</v>
      </c>
      <c r="T928" s="3" t="s">
        <v>61</v>
      </c>
      <c r="U928" s="4" t="b">
        <v>1</v>
      </c>
      <c r="V928" s="3" t="s">
        <v>31</v>
      </c>
      <c r="W928" s="1"/>
      <c r="Y928" s="3" t="s">
        <v>32</v>
      </c>
      <c r="Z928" s="3" t="s">
        <v>32</v>
      </c>
      <c r="AA928" s="3"/>
      <c r="AB928" s="3"/>
      <c r="AC928" s="4" t="s">
        <v>30</v>
      </c>
      <c r="AD928" s="3"/>
      <c r="AE928" s="3" t="s">
        <v>5102</v>
      </c>
      <c r="AF928" s="4" t="s">
        <v>30</v>
      </c>
      <c r="AH928" s="4">
        <v>1</v>
      </c>
      <c r="AI928" s="3" t="s">
        <v>5353</v>
      </c>
      <c r="AJ928" s="4" t="s">
        <v>5355</v>
      </c>
      <c r="AK928" s="4"/>
      <c r="AL928" s="3"/>
    </row>
    <row r="929" spans="1:38" x14ac:dyDescent="0.35">
      <c r="A929" s="3" t="s">
        <v>5357</v>
      </c>
      <c r="B929" s="4" t="s">
        <v>4480</v>
      </c>
      <c r="C929" s="4">
        <f>VLOOKUP(A929, [1]Planilha1!$A$3:$B$1015,2,FALSE)</f>
        <v>6306</v>
      </c>
      <c r="D929" s="4">
        <f t="shared" si="14"/>
        <v>1.7516666666666667</v>
      </c>
      <c r="E929" s="4" t="s">
        <v>1125</v>
      </c>
      <c r="F929" s="3" t="s">
        <v>4477</v>
      </c>
      <c r="G929" s="3" t="s">
        <v>214</v>
      </c>
      <c r="H929" s="3" t="s">
        <v>44</v>
      </c>
      <c r="I929" s="3" t="s">
        <v>33</v>
      </c>
      <c r="J929" s="3" t="s">
        <v>41</v>
      </c>
      <c r="K929" s="3" t="s">
        <v>5359</v>
      </c>
      <c r="L929" s="1">
        <v>46027.621944444443</v>
      </c>
      <c r="M929" s="1">
        <v>46027.630393518521</v>
      </c>
      <c r="N929" s="1">
        <v>46027.666886574072</v>
      </c>
      <c r="O929" s="3" t="s">
        <v>43</v>
      </c>
      <c r="P929" s="3" t="s">
        <v>4480</v>
      </c>
      <c r="Q929" s="3" t="s">
        <v>42</v>
      </c>
      <c r="R929" s="3" t="s">
        <v>4479</v>
      </c>
      <c r="S929" s="3" t="s">
        <v>144</v>
      </c>
      <c r="T929" s="3" t="s">
        <v>143</v>
      </c>
      <c r="U929" s="4" t="b">
        <v>1</v>
      </c>
      <c r="V929" s="3" t="s">
        <v>31</v>
      </c>
      <c r="W929" s="1"/>
      <c r="Y929" s="3" t="s">
        <v>32</v>
      </c>
      <c r="Z929" s="3" t="s">
        <v>32</v>
      </c>
      <c r="AA929" s="3"/>
      <c r="AB929" s="3"/>
      <c r="AC929" s="4" t="s">
        <v>30</v>
      </c>
      <c r="AD929" s="3"/>
      <c r="AE929" s="3" t="s">
        <v>4480</v>
      </c>
      <c r="AF929" s="4" t="s">
        <v>30</v>
      </c>
      <c r="AH929" s="4">
        <v>1</v>
      </c>
      <c r="AI929" s="3" t="s">
        <v>5358</v>
      </c>
      <c r="AJ929" s="4" t="s">
        <v>4478</v>
      </c>
      <c r="AK929" s="4"/>
      <c r="AL929" s="3"/>
    </row>
    <row r="930" spans="1:38" x14ac:dyDescent="0.35">
      <c r="A930" s="3" t="s">
        <v>5360</v>
      </c>
      <c r="B930" s="4" t="s">
        <v>5366</v>
      </c>
      <c r="C930" s="4">
        <f>VLOOKUP(A930, [1]Planilha1!$A$3:$B$1015,2,FALSE)</f>
        <v>538</v>
      </c>
      <c r="D930" s="4">
        <f t="shared" si="14"/>
        <v>0.14944444444444444</v>
      </c>
      <c r="E930" s="4" t="s">
        <v>1125</v>
      </c>
      <c r="F930" s="3" t="s">
        <v>5364</v>
      </c>
      <c r="G930" s="3" t="s">
        <v>72</v>
      </c>
      <c r="H930" s="3" t="s">
        <v>131</v>
      </c>
      <c r="I930" s="3" t="s">
        <v>33</v>
      </c>
      <c r="J930" s="3" t="s">
        <v>60</v>
      </c>
      <c r="K930" s="3" t="s">
        <v>5362</v>
      </c>
      <c r="L930" s="1">
        <v>46027.619652777779</v>
      </c>
      <c r="M930" s="1">
        <v>46027.619652777779</v>
      </c>
      <c r="N930" s="1">
        <v>46030.625</v>
      </c>
      <c r="O930" s="3" t="s">
        <v>5363</v>
      </c>
      <c r="P930" s="3" t="s">
        <v>5366</v>
      </c>
      <c r="Q930" s="3" t="s">
        <v>35</v>
      </c>
      <c r="R930" s="3" t="s">
        <v>5365</v>
      </c>
      <c r="S930" s="3" t="s">
        <v>37</v>
      </c>
      <c r="T930" s="3" t="s">
        <v>36</v>
      </c>
      <c r="U930" s="4" t="b">
        <v>1</v>
      </c>
      <c r="V930" s="3" t="s">
        <v>28</v>
      </c>
      <c r="W930" s="1"/>
      <c r="Y930" s="3" t="s">
        <v>29</v>
      </c>
      <c r="Z930" s="3" t="s">
        <v>29</v>
      </c>
      <c r="AA930" s="3"/>
      <c r="AB930" s="3"/>
      <c r="AC930" s="4" t="s">
        <v>30</v>
      </c>
      <c r="AD930" s="3"/>
      <c r="AE930" s="3" t="s">
        <v>5366</v>
      </c>
      <c r="AF930" s="4" t="s">
        <v>30</v>
      </c>
      <c r="AH930" s="4">
        <v>0</v>
      </c>
      <c r="AI930" s="3" t="s">
        <v>5361</v>
      </c>
      <c r="AJ930" s="4" t="s">
        <v>5962</v>
      </c>
      <c r="AK930" s="4"/>
      <c r="AL930" s="3"/>
    </row>
    <row r="931" spans="1:38" x14ac:dyDescent="0.35">
      <c r="A931" s="3" t="s">
        <v>5367</v>
      </c>
      <c r="B931" s="4" t="s">
        <v>5266</v>
      </c>
      <c r="C931" s="4">
        <f>VLOOKUP(A931, [1]Planilha1!$A$3:$B$1015,2,FALSE)</f>
        <v>4268</v>
      </c>
      <c r="D931" s="4">
        <f t="shared" si="14"/>
        <v>1.1855555555555555</v>
      </c>
      <c r="E931" s="4" t="s">
        <v>1125</v>
      </c>
      <c r="F931" s="3" t="s">
        <v>5264</v>
      </c>
      <c r="G931" s="3" t="s">
        <v>214</v>
      </c>
      <c r="H931" s="3" t="s">
        <v>44</v>
      </c>
      <c r="I931" s="3" t="s">
        <v>33</v>
      </c>
      <c r="J931" s="3" t="s">
        <v>41</v>
      </c>
      <c r="K931" s="3" t="s">
        <v>5263</v>
      </c>
      <c r="L931" s="1">
        <v>46027.612500000003</v>
      </c>
      <c r="M931" s="1">
        <v>46027.62122685185</v>
      </c>
      <c r="N931" s="1">
        <v>46027.645925925928</v>
      </c>
      <c r="O931" s="3" t="s">
        <v>43</v>
      </c>
      <c r="P931" s="3" t="s">
        <v>5266</v>
      </c>
      <c r="Q931" s="3" t="s">
        <v>42</v>
      </c>
      <c r="R931" s="3" t="s">
        <v>5265</v>
      </c>
      <c r="S931" s="3" t="s">
        <v>144</v>
      </c>
      <c r="T931" s="3" t="s">
        <v>143</v>
      </c>
      <c r="U931" s="4" t="b">
        <v>1</v>
      </c>
      <c r="V931" s="3" t="s">
        <v>31</v>
      </c>
      <c r="W931" s="1"/>
      <c r="Y931" s="3" t="s">
        <v>32</v>
      </c>
      <c r="Z931" s="3" t="s">
        <v>32</v>
      </c>
      <c r="AA931" s="3"/>
      <c r="AB931" s="3"/>
      <c r="AC931" s="4" t="s">
        <v>30</v>
      </c>
      <c r="AD931" s="3"/>
      <c r="AE931" s="3" t="s">
        <v>5266</v>
      </c>
      <c r="AF931" s="4" t="s">
        <v>30</v>
      </c>
      <c r="AH931" s="4">
        <v>1</v>
      </c>
      <c r="AI931" s="3" t="s">
        <v>5368</v>
      </c>
      <c r="AJ931" s="4" t="s">
        <v>5963</v>
      </c>
      <c r="AK931" s="4"/>
      <c r="AL931" s="3"/>
    </row>
    <row r="932" spans="1:38" x14ac:dyDescent="0.35">
      <c r="A932" s="3" t="s">
        <v>5369</v>
      </c>
      <c r="B932" s="4" t="s">
        <v>5375</v>
      </c>
      <c r="C932" s="4">
        <f>VLOOKUP(A932, [1]Planilha1!$A$3:$B$1015,2,FALSE)</f>
        <v>4542</v>
      </c>
      <c r="D932" s="4">
        <f t="shared" si="14"/>
        <v>1.2616666666666667</v>
      </c>
      <c r="E932" s="4" t="s">
        <v>1125</v>
      </c>
      <c r="F932" s="3" t="s">
        <v>5372</v>
      </c>
      <c r="G932" s="3" t="s">
        <v>5370</v>
      </c>
      <c r="H932" s="3" t="s">
        <v>428</v>
      </c>
      <c r="I932" s="3" t="s">
        <v>33</v>
      </c>
      <c r="J932" s="3" t="s">
        <v>41</v>
      </c>
      <c r="L932" s="1">
        <v>46027.606574074074</v>
      </c>
      <c r="M932" s="1">
        <v>46027.606574074074</v>
      </c>
      <c r="N932" s="1">
        <v>46027.6328587963</v>
      </c>
      <c r="O932" s="3" t="s">
        <v>427</v>
      </c>
      <c r="P932" s="3" t="s">
        <v>5375</v>
      </c>
      <c r="Q932" s="3" t="s">
        <v>42</v>
      </c>
      <c r="R932" s="3" t="s">
        <v>5374</v>
      </c>
      <c r="S932" s="3" t="s">
        <v>37</v>
      </c>
      <c r="T932" s="3" t="s">
        <v>36</v>
      </c>
      <c r="U932" s="4" t="b">
        <v>1</v>
      </c>
      <c r="V932" s="3" t="s">
        <v>28</v>
      </c>
      <c r="W932" s="1"/>
      <c r="Y932" s="3" t="s">
        <v>29</v>
      </c>
      <c r="Z932" s="3" t="s">
        <v>29</v>
      </c>
      <c r="AA932" s="3"/>
      <c r="AB932" s="3"/>
      <c r="AC932" s="4" t="s">
        <v>30</v>
      </c>
      <c r="AD932" s="3"/>
      <c r="AE932" s="3" t="s">
        <v>5375</v>
      </c>
      <c r="AF932" s="4" t="s">
        <v>30</v>
      </c>
      <c r="AH932" s="4">
        <v>1</v>
      </c>
      <c r="AI932" s="3" t="s">
        <v>5371</v>
      </c>
      <c r="AJ932" s="4" t="s">
        <v>5373</v>
      </c>
      <c r="AK932" s="4"/>
      <c r="AL932" s="3"/>
    </row>
    <row r="933" spans="1:38" x14ac:dyDescent="0.35">
      <c r="A933" s="3" t="s">
        <v>5376</v>
      </c>
      <c r="B933" s="4" t="s">
        <v>5381</v>
      </c>
      <c r="C933" s="4">
        <f>VLOOKUP(A933, [1]Planilha1!$A$3:$B$1015,2,FALSE)</f>
        <v>5162</v>
      </c>
      <c r="D933" s="4">
        <f t="shared" si="14"/>
        <v>1.433888888888889</v>
      </c>
      <c r="E933" s="4" t="s">
        <v>1125</v>
      </c>
      <c r="F933" s="3" t="s">
        <v>5378</v>
      </c>
      <c r="G933" s="3" t="s">
        <v>74</v>
      </c>
      <c r="H933" s="3" t="s">
        <v>44</v>
      </c>
      <c r="I933" s="3" t="s">
        <v>33</v>
      </c>
      <c r="J933" s="3" t="s">
        <v>41</v>
      </c>
      <c r="L933" s="1">
        <v>46027.586608796293</v>
      </c>
      <c r="M933" s="1">
        <v>46027.588287037041</v>
      </c>
      <c r="N933" s="1">
        <v>46027.618159722224</v>
      </c>
      <c r="O933" s="3" t="s">
        <v>43</v>
      </c>
      <c r="P933" s="3" t="s">
        <v>5381</v>
      </c>
      <c r="Q933" s="3" t="s">
        <v>42</v>
      </c>
      <c r="R933" s="3" t="s">
        <v>5380</v>
      </c>
      <c r="S933" s="3" t="s">
        <v>80</v>
      </c>
      <c r="T933" s="3" t="s">
        <v>79</v>
      </c>
      <c r="U933" s="4" t="b">
        <v>1</v>
      </c>
      <c r="V933" s="3" t="s">
        <v>31</v>
      </c>
      <c r="W933" s="1"/>
      <c r="Y933" s="3" t="s">
        <v>32</v>
      </c>
      <c r="Z933" s="3" t="s">
        <v>32</v>
      </c>
      <c r="AA933" s="3"/>
      <c r="AB933" s="3"/>
      <c r="AC933" s="4" t="s">
        <v>30</v>
      </c>
      <c r="AD933" s="3"/>
      <c r="AE933" s="3" t="s">
        <v>5381</v>
      </c>
      <c r="AF933" s="4" t="s">
        <v>30</v>
      </c>
      <c r="AH933" s="4">
        <v>1</v>
      </c>
      <c r="AI933" s="3" t="s">
        <v>5377</v>
      </c>
      <c r="AJ933" s="4" t="s">
        <v>5379</v>
      </c>
      <c r="AK933" s="4"/>
      <c r="AL933" s="3"/>
    </row>
    <row r="934" spans="1:38" x14ac:dyDescent="0.35">
      <c r="A934" s="3" t="s">
        <v>5382</v>
      </c>
      <c r="B934" s="4" t="s">
        <v>5388</v>
      </c>
      <c r="C934" s="4">
        <f>VLOOKUP(A934, [1]Planilha1!$A$3:$B$1015,2,FALSE)</f>
        <v>0</v>
      </c>
      <c r="D934" s="4">
        <f t="shared" si="14"/>
        <v>0</v>
      </c>
      <c r="E934" s="4" t="s">
        <v>1125</v>
      </c>
      <c r="F934" s="3" t="s">
        <v>5385</v>
      </c>
      <c r="G934" s="3" t="s">
        <v>134</v>
      </c>
      <c r="H934" s="3" t="s">
        <v>138</v>
      </c>
      <c r="I934" s="3" t="s">
        <v>33</v>
      </c>
      <c r="J934" s="3" t="s">
        <v>60</v>
      </c>
      <c r="K934" s="3" t="s">
        <v>5384</v>
      </c>
      <c r="L934" s="1">
        <v>46027.585173611114</v>
      </c>
      <c r="M934" s="1">
        <v>46027.598275462966</v>
      </c>
      <c r="N934" s="1">
        <v>46030.625</v>
      </c>
      <c r="O934" s="3" t="s">
        <v>137</v>
      </c>
      <c r="P934" s="3" t="s">
        <v>5388</v>
      </c>
      <c r="Q934" s="3" t="s">
        <v>35</v>
      </c>
      <c r="R934" s="3" t="s">
        <v>5387</v>
      </c>
      <c r="S934" s="3" t="s">
        <v>144</v>
      </c>
      <c r="T934" s="3" t="s">
        <v>143</v>
      </c>
      <c r="U934" s="4" t="b">
        <v>1</v>
      </c>
      <c r="V934" s="3" t="s">
        <v>31</v>
      </c>
      <c r="W934" s="1"/>
      <c r="Y934" s="3" t="s">
        <v>32</v>
      </c>
      <c r="Z934" s="3" t="s">
        <v>32</v>
      </c>
      <c r="AA934" s="3"/>
      <c r="AB934" s="3"/>
      <c r="AC934" s="4" t="s">
        <v>30</v>
      </c>
      <c r="AD934" s="3"/>
      <c r="AE934" s="3" t="s">
        <v>5388</v>
      </c>
      <c r="AF934" s="4" t="s">
        <v>30</v>
      </c>
      <c r="AH934" s="4">
        <v>0</v>
      </c>
      <c r="AI934" s="3" t="s">
        <v>5383</v>
      </c>
      <c r="AJ934" s="4" t="s">
        <v>5386</v>
      </c>
      <c r="AK934" s="4"/>
      <c r="AL934" s="3"/>
    </row>
    <row r="935" spans="1:38" x14ac:dyDescent="0.35">
      <c r="A935" s="3" t="s">
        <v>5389</v>
      </c>
      <c r="B935" s="4" t="s">
        <v>5388</v>
      </c>
      <c r="C935" s="4">
        <f>VLOOKUP(A935, [1]Planilha1!$A$3:$B$1015,2,FALSE)</f>
        <v>0</v>
      </c>
      <c r="D935" s="4">
        <f t="shared" si="14"/>
        <v>0</v>
      </c>
      <c r="E935" s="4" t="s">
        <v>1125</v>
      </c>
      <c r="F935" s="3" t="s">
        <v>5385</v>
      </c>
      <c r="G935" s="3" t="s">
        <v>134</v>
      </c>
      <c r="H935" s="3" t="s">
        <v>138</v>
      </c>
      <c r="I935" s="3" t="s">
        <v>33</v>
      </c>
      <c r="J935" s="3" t="s">
        <v>60</v>
      </c>
      <c r="K935" s="3" t="s">
        <v>5384</v>
      </c>
      <c r="L935" s="1">
        <v>46027.582060185188</v>
      </c>
      <c r="M935" s="1">
        <v>46027.598310185182</v>
      </c>
      <c r="N935" s="1">
        <v>46030.625</v>
      </c>
      <c r="O935" s="3" t="s">
        <v>137</v>
      </c>
      <c r="P935" s="3" t="s">
        <v>5388</v>
      </c>
      <c r="Q935" s="3" t="s">
        <v>35</v>
      </c>
      <c r="R935" s="3" t="s">
        <v>5387</v>
      </c>
      <c r="S935" s="3" t="s">
        <v>144</v>
      </c>
      <c r="T935" s="3" t="s">
        <v>143</v>
      </c>
      <c r="U935" s="4" t="b">
        <v>1</v>
      </c>
      <c r="V935" s="3" t="s">
        <v>31</v>
      </c>
      <c r="W935" s="1"/>
      <c r="Y935" s="3" t="s">
        <v>32</v>
      </c>
      <c r="Z935" s="3" t="s">
        <v>32</v>
      </c>
      <c r="AA935" s="3"/>
      <c r="AB935" s="3"/>
      <c r="AC935" s="4" t="s">
        <v>30</v>
      </c>
      <c r="AD935" s="3"/>
      <c r="AE935" s="3" t="s">
        <v>5388</v>
      </c>
      <c r="AF935" s="4" t="s">
        <v>30</v>
      </c>
      <c r="AH935" s="4">
        <v>0</v>
      </c>
      <c r="AI935" s="3" t="s">
        <v>5390</v>
      </c>
      <c r="AJ935" s="4" t="s">
        <v>5386</v>
      </c>
      <c r="AK935" s="4"/>
      <c r="AL935" s="3"/>
    </row>
    <row r="936" spans="1:38" x14ac:dyDescent="0.35">
      <c r="A936" s="3" t="s">
        <v>5391</v>
      </c>
      <c r="B936" s="4" t="s">
        <v>5396</v>
      </c>
      <c r="C936" s="4">
        <f>VLOOKUP(A936, [1]Planilha1!$A$3:$B$1015,2,FALSE)</f>
        <v>0</v>
      </c>
      <c r="D936" s="4">
        <f t="shared" si="14"/>
        <v>0</v>
      </c>
      <c r="E936" s="4" t="s">
        <v>1125</v>
      </c>
      <c r="F936" s="3" t="s">
        <v>5394</v>
      </c>
      <c r="G936" s="3" t="s">
        <v>1874</v>
      </c>
      <c r="H936" s="3" t="s">
        <v>224</v>
      </c>
      <c r="I936" s="3" t="s">
        <v>33</v>
      </c>
      <c r="J936" s="3" t="s">
        <v>60</v>
      </c>
      <c r="K936" s="3" t="s">
        <v>5393</v>
      </c>
      <c r="L936" s="1">
        <v>46027.572685185187</v>
      </c>
      <c r="M936" s="1">
        <v>46027.581284722219</v>
      </c>
      <c r="N936" s="1">
        <v>46030.583344907405</v>
      </c>
      <c r="O936" s="3" t="s">
        <v>223</v>
      </c>
      <c r="P936" s="3" t="s">
        <v>5396</v>
      </c>
      <c r="Q936" s="3" t="s">
        <v>35</v>
      </c>
      <c r="R936" s="3" t="s">
        <v>5395</v>
      </c>
      <c r="S936" s="3" t="s">
        <v>144</v>
      </c>
      <c r="T936" s="3" t="s">
        <v>143</v>
      </c>
      <c r="U936" s="4" t="b">
        <v>1</v>
      </c>
      <c r="V936" s="3" t="s">
        <v>31</v>
      </c>
      <c r="W936" s="1"/>
      <c r="Y936" s="3" t="s">
        <v>32</v>
      </c>
      <c r="Z936" s="3" t="s">
        <v>32</v>
      </c>
      <c r="AA936" s="3"/>
      <c r="AB936" s="3"/>
      <c r="AC936" s="4" t="s">
        <v>30</v>
      </c>
      <c r="AD936" s="3"/>
      <c r="AE936" s="3" t="s">
        <v>5396</v>
      </c>
      <c r="AF936" s="4" t="s">
        <v>30</v>
      </c>
      <c r="AH936" s="4">
        <v>0</v>
      </c>
      <c r="AI936" s="3" t="s">
        <v>5392</v>
      </c>
      <c r="AJ936" s="4" t="s">
        <v>5964</v>
      </c>
      <c r="AK936" s="4"/>
      <c r="AL936" s="3"/>
    </row>
    <row r="937" spans="1:38" x14ac:dyDescent="0.35">
      <c r="A937" s="3" t="s">
        <v>5397</v>
      </c>
      <c r="B937" s="4" t="s">
        <v>5401</v>
      </c>
      <c r="C937" s="4">
        <f>VLOOKUP(A937, [1]Planilha1!$A$3:$B$1015,2,FALSE)</f>
        <v>1236</v>
      </c>
      <c r="D937" s="4">
        <f t="shared" si="14"/>
        <v>0.34333333333333332</v>
      </c>
      <c r="E937" s="4" t="s">
        <v>1125</v>
      </c>
      <c r="F937" s="3" t="s">
        <v>5399</v>
      </c>
      <c r="G937" s="3" t="s">
        <v>700</v>
      </c>
      <c r="H937" s="3" t="s">
        <v>44</v>
      </c>
      <c r="I937" s="3" t="s">
        <v>33</v>
      </c>
      <c r="J937" s="3" t="s">
        <v>60</v>
      </c>
      <c r="L937" s="1">
        <v>46027.571319444447</v>
      </c>
      <c r="M937" s="1">
        <v>46027.571319444447</v>
      </c>
      <c r="N937" s="1">
        <v>46030.583344907405</v>
      </c>
      <c r="O937" s="3" t="s">
        <v>43</v>
      </c>
      <c r="P937" s="3" t="s">
        <v>5401</v>
      </c>
      <c r="Q937" s="3" t="s">
        <v>35</v>
      </c>
      <c r="R937" s="3" t="s">
        <v>970</v>
      </c>
      <c r="S937" s="3" t="s">
        <v>37</v>
      </c>
      <c r="T937" s="3" t="s">
        <v>36</v>
      </c>
      <c r="U937" s="4" t="b">
        <v>1</v>
      </c>
      <c r="V937" s="3" t="s">
        <v>28</v>
      </c>
      <c r="W937" s="1"/>
      <c r="Y937" s="3" t="s">
        <v>29</v>
      </c>
      <c r="Z937" s="3" t="s">
        <v>29</v>
      </c>
      <c r="AA937" s="3"/>
      <c r="AB937" s="3"/>
      <c r="AC937" s="4" t="s">
        <v>30</v>
      </c>
      <c r="AD937" s="3"/>
      <c r="AE937" s="3" t="s">
        <v>5401</v>
      </c>
      <c r="AF937" s="4" t="s">
        <v>30</v>
      </c>
      <c r="AH937" s="4">
        <v>0</v>
      </c>
      <c r="AI937" s="3" t="s">
        <v>5398</v>
      </c>
      <c r="AJ937" s="4" t="s">
        <v>5400</v>
      </c>
      <c r="AK937" s="4"/>
      <c r="AL937" s="3"/>
    </row>
    <row r="938" spans="1:38" x14ac:dyDescent="0.35">
      <c r="A938" s="3" t="s">
        <v>5402</v>
      </c>
      <c r="B938" s="4" t="s">
        <v>5407</v>
      </c>
      <c r="C938" s="4">
        <f>VLOOKUP(A938, [1]Planilha1!$A$3:$B$1015,2,FALSE)</f>
        <v>0</v>
      </c>
      <c r="D938" s="4">
        <f t="shared" si="14"/>
        <v>0</v>
      </c>
      <c r="E938" s="4" t="s">
        <v>1125</v>
      </c>
      <c r="F938" s="3" t="s">
        <v>5405</v>
      </c>
      <c r="G938" s="3" t="s">
        <v>134</v>
      </c>
      <c r="H938" s="3" t="s">
        <v>138</v>
      </c>
      <c r="I938" s="3" t="s">
        <v>33</v>
      </c>
      <c r="J938" s="3" t="s">
        <v>60</v>
      </c>
      <c r="K938" s="3" t="s">
        <v>5404</v>
      </c>
      <c r="L938" s="1">
        <v>46027.565092592595</v>
      </c>
      <c r="M938" s="1">
        <v>46027.571759259263</v>
      </c>
      <c r="N938" s="1">
        <v>46030.583344907405</v>
      </c>
      <c r="O938" s="3" t="s">
        <v>137</v>
      </c>
      <c r="P938" s="3" t="s">
        <v>5407</v>
      </c>
      <c r="Q938" s="3" t="s">
        <v>35</v>
      </c>
      <c r="R938" s="3" t="s">
        <v>5406</v>
      </c>
      <c r="S938" s="3" t="s">
        <v>144</v>
      </c>
      <c r="T938" s="3" t="s">
        <v>143</v>
      </c>
      <c r="U938" s="4" t="b">
        <v>1</v>
      </c>
      <c r="V938" s="3" t="s">
        <v>31</v>
      </c>
      <c r="W938" s="1"/>
      <c r="Y938" s="3" t="s">
        <v>32</v>
      </c>
      <c r="Z938" s="3" t="s">
        <v>32</v>
      </c>
      <c r="AA938" s="3"/>
      <c r="AB938" s="3"/>
      <c r="AC938" s="4" t="s">
        <v>30</v>
      </c>
      <c r="AD938" s="3"/>
      <c r="AE938" s="3" t="s">
        <v>5407</v>
      </c>
      <c r="AF938" s="4" t="s">
        <v>30</v>
      </c>
      <c r="AH938" s="4">
        <v>0</v>
      </c>
      <c r="AI938" s="3" t="s">
        <v>5403</v>
      </c>
      <c r="AJ938" s="4" t="s">
        <v>5965</v>
      </c>
      <c r="AK938" s="4"/>
      <c r="AL938" s="3"/>
    </row>
    <row r="939" spans="1:38" x14ac:dyDescent="0.35">
      <c r="A939" s="3" t="s">
        <v>5408</v>
      </c>
      <c r="B939" s="4" t="s">
        <v>4654</v>
      </c>
      <c r="C939" s="4">
        <f>VLOOKUP(A939, [1]Planilha1!$A$3:$B$1015,2,FALSE)</f>
        <v>38761</v>
      </c>
      <c r="D939" s="4">
        <f t="shared" si="14"/>
        <v>10.766944444444444</v>
      </c>
      <c r="E939" s="4" t="s">
        <v>1125</v>
      </c>
      <c r="F939" s="3" t="s">
        <v>4651</v>
      </c>
      <c r="G939" s="3" t="s">
        <v>5409</v>
      </c>
      <c r="H939" s="3" t="s">
        <v>44</v>
      </c>
      <c r="I939" s="3" t="s">
        <v>33</v>
      </c>
      <c r="J939" s="3" t="s">
        <v>41</v>
      </c>
      <c r="L939" s="1">
        <v>46027.560277777775</v>
      </c>
      <c r="M939" s="1">
        <v>46027.560277777775</v>
      </c>
      <c r="N939" s="1">
        <v>46028.329872685186</v>
      </c>
      <c r="O939" s="3" t="s">
        <v>43</v>
      </c>
      <c r="P939" s="3" t="s">
        <v>4654</v>
      </c>
      <c r="Q939" s="3" t="s">
        <v>42</v>
      </c>
      <c r="R939" s="3" t="s">
        <v>4653</v>
      </c>
      <c r="S939" s="3" t="s">
        <v>37</v>
      </c>
      <c r="T939" s="3" t="s">
        <v>36</v>
      </c>
      <c r="U939" s="4" t="b">
        <v>1</v>
      </c>
      <c r="V939" s="3" t="s">
        <v>28</v>
      </c>
      <c r="W939" s="1"/>
      <c r="Y939" s="3" t="s">
        <v>29</v>
      </c>
      <c r="Z939" s="3" t="s">
        <v>29</v>
      </c>
      <c r="AA939" s="3"/>
      <c r="AB939" s="3"/>
      <c r="AC939" s="4" t="s">
        <v>30</v>
      </c>
      <c r="AD939" s="3"/>
      <c r="AE939" s="3" t="s">
        <v>4654</v>
      </c>
      <c r="AF939" s="4" t="s">
        <v>30</v>
      </c>
      <c r="AH939" s="4">
        <v>4</v>
      </c>
      <c r="AI939" s="3" t="s">
        <v>5410</v>
      </c>
      <c r="AJ939" s="4" t="s">
        <v>4652</v>
      </c>
      <c r="AK939" s="4"/>
      <c r="AL939" s="3"/>
    </row>
    <row r="940" spans="1:38" x14ac:dyDescent="0.35">
      <c r="A940" s="3" t="s">
        <v>5411</v>
      </c>
      <c r="B940" s="4" t="s">
        <v>5417</v>
      </c>
      <c r="C940" s="4">
        <f>VLOOKUP(A940, [1]Planilha1!$A$3:$B$1015,2,FALSE)</f>
        <v>0</v>
      </c>
      <c r="D940" s="4">
        <f t="shared" si="14"/>
        <v>0</v>
      </c>
      <c r="E940" s="4" t="s">
        <v>1125</v>
      </c>
      <c r="F940" s="3" t="s">
        <v>5414</v>
      </c>
      <c r="G940" s="3" t="s">
        <v>214</v>
      </c>
      <c r="H940" s="3" t="s">
        <v>44</v>
      </c>
      <c r="I940" s="3" t="s">
        <v>33</v>
      </c>
      <c r="J940" s="3" t="s">
        <v>60</v>
      </c>
      <c r="K940" s="3" t="s">
        <v>5413</v>
      </c>
      <c r="L940" s="1">
        <v>46027.543356481481</v>
      </c>
      <c r="M940" s="1">
        <v>46027.587777777779</v>
      </c>
      <c r="N940" s="1">
        <v>46030.625</v>
      </c>
      <c r="O940" s="3" t="s">
        <v>43</v>
      </c>
      <c r="P940" s="3" t="s">
        <v>5417</v>
      </c>
      <c r="Q940" s="3" t="s">
        <v>35</v>
      </c>
      <c r="R940" s="3" t="s">
        <v>5416</v>
      </c>
      <c r="S940" s="3" t="s">
        <v>144</v>
      </c>
      <c r="T940" s="3" t="s">
        <v>143</v>
      </c>
      <c r="U940" s="4" t="b">
        <v>1</v>
      </c>
      <c r="V940" s="3" t="s">
        <v>31</v>
      </c>
      <c r="W940" s="1"/>
      <c r="Y940" s="3" t="s">
        <v>32</v>
      </c>
      <c r="Z940" s="3" t="s">
        <v>32</v>
      </c>
      <c r="AA940" s="3"/>
      <c r="AB940" s="3"/>
      <c r="AC940" s="4" t="s">
        <v>30</v>
      </c>
      <c r="AD940" s="3"/>
      <c r="AE940" s="3" t="s">
        <v>5417</v>
      </c>
      <c r="AF940" s="4" t="s">
        <v>30</v>
      </c>
      <c r="AH940" s="4">
        <v>0</v>
      </c>
      <c r="AI940" s="3" t="s">
        <v>5412</v>
      </c>
      <c r="AJ940" s="4" t="s">
        <v>5415</v>
      </c>
      <c r="AK940" s="4"/>
      <c r="AL940" s="3"/>
    </row>
    <row r="941" spans="1:38" x14ac:dyDescent="0.35">
      <c r="A941" s="3" t="s">
        <v>5418</v>
      </c>
      <c r="B941" s="4" t="s">
        <v>5424</v>
      </c>
      <c r="C941" s="4">
        <f>VLOOKUP(A941, [1]Planilha1!$A$3:$B$1015,2,FALSE)</f>
        <v>13818</v>
      </c>
      <c r="D941" s="4">
        <f t="shared" si="14"/>
        <v>3.8383333333333334</v>
      </c>
      <c r="E941" s="4" t="s">
        <v>1125</v>
      </c>
      <c r="F941" s="3" t="s">
        <v>5421</v>
      </c>
      <c r="G941" s="3" t="s">
        <v>214</v>
      </c>
      <c r="H941" s="3" t="s">
        <v>44</v>
      </c>
      <c r="I941" s="3" t="s">
        <v>33</v>
      </c>
      <c r="J941" s="3" t="s">
        <v>41</v>
      </c>
      <c r="K941" s="3" t="s">
        <v>5420</v>
      </c>
      <c r="L941" s="1">
        <v>46027.533125000002</v>
      </c>
      <c r="M941" s="1">
        <v>46027.54047453704</v>
      </c>
      <c r="N941" s="1">
        <v>46027.620439814818</v>
      </c>
      <c r="O941" s="3" t="s">
        <v>43</v>
      </c>
      <c r="P941" s="3" t="s">
        <v>5424</v>
      </c>
      <c r="Q941" s="3" t="s">
        <v>42</v>
      </c>
      <c r="R941" s="3" t="s">
        <v>5423</v>
      </c>
      <c r="S941" s="3" t="s">
        <v>144</v>
      </c>
      <c r="T941" s="3" t="s">
        <v>143</v>
      </c>
      <c r="U941" s="4" t="b">
        <v>1</v>
      </c>
      <c r="V941" s="3" t="s">
        <v>31</v>
      </c>
      <c r="W941" s="1"/>
      <c r="Y941" s="3" t="s">
        <v>32</v>
      </c>
      <c r="Z941" s="3" t="s">
        <v>32</v>
      </c>
      <c r="AA941" s="3"/>
      <c r="AB941" s="3"/>
      <c r="AC941" s="4" t="s">
        <v>30</v>
      </c>
      <c r="AD941" s="3"/>
      <c r="AE941" s="3" t="s">
        <v>5424</v>
      </c>
      <c r="AF941" s="4" t="s">
        <v>30</v>
      </c>
      <c r="AH941" s="4">
        <v>1</v>
      </c>
      <c r="AI941" s="3" t="s">
        <v>5419</v>
      </c>
      <c r="AJ941" s="4" t="s">
        <v>5422</v>
      </c>
      <c r="AK941" s="4"/>
      <c r="AL941" s="3"/>
    </row>
    <row r="942" spans="1:38" x14ac:dyDescent="0.35">
      <c r="A942" s="3" t="s">
        <v>5425</v>
      </c>
      <c r="B942" s="4" t="s">
        <v>5173</v>
      </c>
      <c r="C942" s="4">
        <f>VLOOKUP(A942, [1]Planilha1!$A$3:$B$1015,2,FALSE)</f>
        <v>15678</v>
      </c>
      <c r="D942" s="4">
        <f t="shared" si="14"/>
        <v>4.3550000000000004</v>
      </c>
      <c r="E942" s="4" t="s">
        <v>1125</v>
      </c>
      <c r="F942" s="3" t="s">
        <v>5170</v>
      </c>
      <c r="G942" s="3" t="s">
        <v>214</v>
      </c>
      <c r="H942" s="3" t="s">
        <v>44</v>
      </c>
      <c r="I942" s="3" t="s">
        <v>33</v>
      </c>
      <c r="J942" s="3" t="s">
        <v>41</v>
      </c>
      <c r="K942" s="3" t="s">
        <v>5427</v>
      </c>
      <c r="L942" s="1">
        <v>46027.523379629631</v>
      </c>
      <c r="M942" s="1">
        <v>46027.528344907405</v>
      </c>
      <c r="N942" s="1">
        <v>46027.619074074071</v>
      </c>
      <c r="O942" s="3" t="s">
        <v>43</v>
      </c>
      <c r="P942" s="3" t="s">
        <v>5173</v>
      </c>
      <c r="Q942" s="3" t="s">
        <v>42</v>
      </c>
      <c r="R942" s="3" t="s">
        <v>5172</v>
      </c>
      <c r="S942" s="3" t="s">
        <v>144</v>
      </c>
      <c r="T942" s="3" t="s">
        <v>143</v>
      </c>
      <c r="U942" s="4" t="b">
        <v>1</v>
      </c>
      <c r="V942" s="3" t="s">
        <v>31</v>
      </c>
      <c r="W942" s="1"/>
      <c r="Y942" s="3" t="s">
        <v>32</v>
      </c>
      <c r="Z942" s="3" t="s">
        <v>32</v>
      </c>
      <c r="AA942" s="3"/>
      <c r="AB942" s="3"/>
      <c r="AC942" s="4" t="s">
        <v>30</v>
      </c>
      <c r="AD942" s="3"/>
      <c r="AE942" s="3" t="s">
        <v>5173</v>
      </c>
      <c r="AF942" s="4" t="s">
        <v>30</v>
      </c>
      <c r="AH942" s="4">
        <v>1</v>
      </c>
      <c r="AI942" s="3" t="s">
        <v>5426</v>
      </c>
      <c r="AJ942" s="4" t="s">
        <v>5171</v>
      </c>
      <c r="AK942" s="4"/>
      <c r="AL942" s="3"/>
    </row>
    <row r="943" spans="1:38" x14ac:dyDescent="0.35">
      <c r="A943" s="3" t="s">
        <v>5428</v>
      </c>
      <c r="B943" s="4" t="s">
        <v>5433</v>
      </c>
      <c r="C943" s="4">
        <f>VLOOKUP(A943, [1]Planilha1!$A$3:$B$1015,2,FALSE)</f>
        <v>968</v>
      </c>
      <c r="D943" s="4">
        <f t="shared" si="14"/>
        <v>0.2688888888888889</v>
      </c>
      <c r="E943" s="4" t="s">
        <v>1125</v>
      </c>
      <c r="F943" s="3" t="s">
        <v>5430</v>
      </c>
      <c r="G943" s="3" t="s">
        <v>74</v>
      </c>
      <c r="H943" s="3" t="s">
        <v>44</v>
      </c>
      <c r="I943" s="3" t="s">
        <v>33</v>
      </c>
      <c r="J943" s="3" t="s">
        <v>41</v>
      </c>
      <c r="L943" s="1">
        <v>46027.516967592594</v>
      </c>
      <c r="M943" s="1">
        <v>46027.518599537034</v>
      </c>
      <c r="N943" s="1">
        <v>46027.524201388886</v>
      </c>
      <c r="O943" s="3" t="s">
        <v>43</v>
      </c>
      <c r="P943" s="3" t="s">
        <v>5433</v>
      </c>
      <c r="Q943" s="3" t="s">
        <v>42</v>
      </c>
      <c r="R943" s="3" t="s">
        <v>5432</v>
      </c>
      <c r="S943" s="3" t="s">
        <v>80</v>
      </c>
      <c r="T943" s="3" t="s">
        <v>79</v>
      </c>
      <c r="U943" s="4" t="b">
        <v>1</v>
      </c>
      <c r="V943" s="3" t="s">
        <v>31</v>
      </c>
      <c r="W943" s="1"/>
      <c r="Y943" s="3" t="s">
        <v>32</v>
      </c>
      <c r="Z943" s="3" t="s">
        <v>32</v>
      </c>
      <c r="AA943" s="3"/>
      <c r="AB943" s="3"/>
      <c r="AC943" s="4" t="s">
        <v>30</v>
      </c>
      <c r="AD943" s="3"/>
      <c r="AE943" s="3" t="s">
        <v>5433</v>
      </c>
      <c r="AF943" s="4" t="s">
        <v>30</v>
      </c>
      <c r="AH943" s="4">
        <v>1</v>
      </c>
      <c r="AI943" s="3" t="s">
        <v>5429</v>
      </c>
      <c r="AJ943" s="4" t="s">
        <v>5431</v>
      </c>
      <c r="AK943" s="4"/>
      <c r="AL943" s="3"/>
    </row>
    <row r="944" spans="1:38" x14ac:dyDescent="0.35">
      <c r="A944" s="3" t="s">
        <v>5434</v>
      </c>
      <c r="B944" s="4" t="s">
        <v>4749</v>
      </c>
      <c r="C944" s="4">
        <f>VLOOKUP(A944, [1]Planilha1!$A$3:$B$1015,2,FALSE)</f>
        <v>1982</v>
      </c>
      <c r="D944" s="4">
        <f t="shared" si="14"/>
        <v>0.55055555555555558</v>
      </c>
      <c r="E944" s="4" t="s">
        <v>1125</v>
      </c>
      <c r="F944" s="3" t="s">
        <v>4746</v>
      </c>
      <c r="G944" s="3" t="s">
        <v>74</v>
      </c>
      <c r="H944" s="3" t="s">
        <v>44</v>
      </c>
      <c r="I944" s="3" t="s">
        <v>33</v>
      </c>
      <c r="J944" s="3" t="s">
        <v>41</v>
      </c>
      <c r="L944" s="1">
        <v>46027.483229166668</v>
      </c>
      <c r="M944" s="1">
        <v>46027.490763888891</v>
      </c>
      <c r="N944" s="1">
        <v>46030.541666666664</v>
      </c>
      <c r="O944" s="3" t="s">
        <v>43</v>
      </c>
      <c r="P944" s="3" t="s">
        <v>4749</v>
      </c>
      <c r="Q944" s="3" t="s">
        <v>35</v>
      </c>
      <c r="R944" s="3" t="s">
        <v>4748</v>
      </c>
      <c r="S944" s="3" t="s">
        <v>80</v>
      </c>
      <c r="T944" s="3" t="s">
        <v>79</v>
      </c>
      <c r="U944" s="4" t="b">
        <v>0</v>
      </c>
      <c r="V944" s="3" t="s">
        <v>31</v>
      </c>
      <c r="W944" s="1"/>
      <c r="Y944" s="3" t="s">
        <v>32</v>
      </c>
      <c r="Z944" s="3" t="s">
        <v>32</v>
      </c>
      <c r="AA944" s="3"/>
      <c r="AB944" s="3"/>
      <c r="AC944" s="4" t="s">
        <v>30</v>
      </c>
      <c r="AD944" s="3"/>
      <c r="AE944" s="3" t="s">
        <v>4749</v>
      </c>
      <c r="AF944" s="4" t="s">
        <v>30</v>
      </c>
      <c r="AH944" s="4">
        <v>1</v>
      </c>
      <c r="AI944" s="3" t="s">
        <v>5435</v>
      </c>
      <c r="AJ944" s="4" t="s">
        <v>4747</v>
      </c>
      <c r="AK944" s="4"/>
      <c r="AL944" s="3"/>
    </row>
    <row r="945" spans="1:38" x14ac:dyDescent="0.35">
      <c r="A945" s="3" t="s">
        <v>5436</v>
      </c>
      <c r="B945" s="4" t="s">
        <v>5388</v>
      </c>
      <c r="C945" s="4">
        <f>VLOOKUP(A945, [1]Planilha1!$A$3:$B$1015,2,FALSE)</f>
        <v>3638</v>
      </c>
      <c r="D945" s="4">
        <f t="shared" si="14"/>
        <v>1.0105555555555557</v>
      </c>
      <c r="E945" s="4" t="s">
        <v>1125</v>
      </c>
      <c r="F945" s="3" t="s">
        <v>5385</v>
      </c>
      <c r="G945" s="3" t="s">
        <v>800</v>
      </c>
      <c r="H945" s="3" t="s">
        <v>44</v>
      </c>
      <c r="I945" s="3" t="s">
        <v>33</v>
      </c>
      <c r="J945" s="3" t="s">
        <v>34</v>
      </c>
      <c r="L945" s="1">
        <v>46027.477569444447</v>
      </c>
      <c r="M945" s="1">
        <v>46027.482442129629</v>
      </c>
      <c r="N945" s="1">
        <v>46030.541666666664</v>
      </c>
      <c r="O945" s="3" t="s">
        <v>43</v>
      </c>
      <c r="P945" s="3" t="s">
        <v>5388</v>
      </c>
      <c r="Q945" s="3" t="s">
        <v>35</v>
      </c>
      <c r="R945" s="3" t="s">
        <v>5387</v>
      </c>
      <c r="S945" s="3" t="s">
        <v>80</v>
      </c>
      <c r="T945" s="3" t="s">
        <v>79</v>
      </c>
      <c r="U945" s="4" t="b">
        <v>0</v>
      </c>
      <c r="V945" s="3" t="s">
        <v>31</v>
      </c>
      <c r="W945" s="1"/>
      <c r="Y945" s="3" t="s">
        <v>32</v>
      </c>
      <c r="Z945" s="3" t="s">
        <v>32</v>
      </c>
      <c r="AA945" s="3"/>
      <c r="AB945" s="3"/>
      <c r="AC945" s="4" t="s">
        <v>30</v>
      </c>
      <c r="AD945" s="3"/>
      <c r="AE945" s="3" t="s">
        <v>5388</v>
      </c>
      <c r="AF945" s="4" t="s">
        <v>30</v>
      </c>
      <c r="AH945" s="4">
        <v>1</v>
      </c>
      <c r="AI945" s="3" t="s">
        <v>5437</v>
      </c>
      <c r="AJ945" s="4" t="s">
        <v>5386</v>
      </c>
      <c r="AK945" s="4"/>
      <c r="AL945" s="3"/>
    </row>
    <row r="946" spans="1:38" x14ac:dyDescent="0.35">
      <c r="A946" s="3" t="s">
        <v>5438</v>
      </c>
      <c r="B946" s="4" t="s">
        <v>4572</v>
      </c>
      <c r="C946" s="4">
        <f>VLOOKUP(A946, [1]Planilha1!$A$3:$B$1015,2,FALSE)</f>
        <v>7420</v>
      </c>
      <c r="D946" s="4">
        <f t="shared" si="14"/>
        <v>2.0611111111111109</v>
      </c>
      <c r="E946" s="4" t="s">
        <v>1125</v>
      </c>
      <c r="F946" s="3" t="s">
        <v>5440</v>
      </c>
      <c r="G946" s="3" t="s">
        <v>816</v>
      </c>
      <c r="H946" s="3" t="s">
        <v>44</v>
      </c>
      <c r="I946" s="3" t="s">
        <v>33</v>
      </c>
      <c r="J946" s="3" t="s">
        <v>41</v>
      </c>
      <c r="L946" s="1">
        <v>46027.475624999999</v>
      </c>
      <c r="M946" s="1">
        <v>46027.479699074072</v>
      </c>
      <c r="N946" s="1">
        <v>46027.522638888891</v>
      </c>
      <c r="O946" s="3" t="s">
        <v>43</v>
      </c>
      <c r="P946" s="3" t="s">
        <v>4572</v>
      </c>
      <c r="Q946" s="3" t="s">
        <v>42</v>
      </c>
      <c r="R946" s="3" t="s">
        <v>5441</v>
      </c>
      <c r="S946" s="3" t="s">
        <v>62</v>
      </c>
      <c r="T946" s="3" t="s">
        <v>61</v>
      </c>
      <c r="U946" s="4" t="b">
        <v>1</v>
      </c>
      <c r="V946" s="3" t="s">
        <v>31</v>
      </c>
      <c r="W946" s="1"/>
      <c r="Y946" s="3" t="s">
        <v>32</v>
      </c>
      <c r="Z946" s="3" t="s">
        <v>32</v>
      </c>
      <c r="AA946" s="3"/>
      <c r="AB946" s="3"/>
      <c r="AC946" s="4" t="s">
        <v>30</v>
      </c>
      <c r="AD946" s="3"/>
      <c r="AE946" s="3" t="s">
        <v>4572</v>
      </c>
      <c r="AF946" s="4" t="s">
        <v>30</v>
      </c>
      <c r="AH946" s="4">
        <v>1</v>
      </c>
      <c r="AI946" s="3" t="s">
        <v>5439</v>
      </c>
      <c r="AJ946" s="4" t="s">
        <v>5966</v>
      </c>
      <c r="AK946" s="4"/>
      <c r="AL946" s="3"/>
    </row>
    <row r="947" spans="1:38" x14ac:dyDescent="0.35">
      <c r="A947" s="3" t="s">
        <v>5442</v>
      </c>
      <c r="B947" s="4" t="s">
        <v>5447</v>
      </c>
      <c r="C947" s="4">
        <f>VLOOKUP(A947, [1]Planilha1!$A$3:$B$1015,2,FALSE)</f>
        <v>8516</v>
      </c>
      <c r="D947" s="4">
        <f t="shared" si="14"/>
        <v>2.3655555555555554</v>
      </c>
      <c r="E947" s="4" t="s">
        <v>1125</v>
      </c>
      <c r="F947" s="3" t="s">
        <v>5444</v>
      </c>
      <c r="G947" s="3" t="s">
        <v>74</v>
      </c>
      <c r="H947" s="3" t="s">
        <v>44</v>
      </c>
      <c r="I947" s="3" t="s">
        <v>33</v>
      </c>
      <c r="J947" s="3" t="s">
        <v>41</v>
      </c>
      <c r="L947" s="1">
        <v>46027.469872685186</v>
      </c>
      <c r="M947" s="1">
        <v>46027.473946759259</v>
      </c>
      <c r="N947" s="1">
        <v>46027.523229166669</v>
      </c>
      <c r="O947" s="3" t="s">
        <v>43</v>
      </c>
      <c r="P947" s="3" t="s">
        <v>5447</v>
      </c>
      <c r="Q947" s="3" t="s">
        <v>42</v>
      </c>
      <c r="R947" s="3" t="s">
        <v>5446</v>
      </c>
      <c r="S947" s="3" t="s">
        <v>80</v>
      </c>
      <c r="T947" s="3" t="s">
        <v>79</v>
      </c>
      <c r="U947" s="4" t="b">
        <v>1</v>
      </c>
      <c r="V947" s="3" t="s">
        <v>31</v>
      </c>
      <c r="W947" s="1"/>
      <c r="Y947" s="3" t="s">
        <v>32</v>
      </c>
      <c r="Z947" s="3" t="s">
        <v>32</v>
      </c>
      <c r="AA947" s="3"/>
      <c r="AB947" s="3"/>
      <c r="AC947" s="4" t="s">
        <v>30</v>
      </c>
      <c r="AD947" s="3"/>
      <c r="AE947" s="3" t="s">
        <v>5447</v>
      </c>
      <c r="AF947" s="4" t="s">
        <v>30</v>
      </c>
      <c r="AH947" s="4">
        <v>1</v>
      </c>
      <c r="AI947" s="3" t="s">
        <v>5443</v>
      </c>
      <c r="AJ947" s="4" t="s">
        <v>5445</v>
      </c>
      <c r="AK947" s="4"/>
      <c r="AL947" s="3"/>
    </row>
    <row r="948" spans="1:38" x14ac:dyDescent="0.35">
      <c r="A948" s="3" t="s">
        <v>5448</v>
      </c>
      <c r="B948" s="4" t="s">
        <v>5453</v>
      </c>
      <c r="C948" s="4">
        <f>VLOOKUP(A948, [1]Planilha1!$A$3:$B$1015,2,FALSE)</f>
        <v>856</v>
      </c>
      <c r="D948" s="4">
        <f t="shared" si="14"/>
        <v>0.23777777777777778</v>
      </c>
      <c r="E948" s="4" t="s">
        <v>1125</v>
      </c>
      <c r="F948" s="3" t="s">
        <v>5450</v>
      </c>
      <c r="G948" s="3" t="s">
        <v>42</v>
      </c>
      <c r="H948" s="3" t="s">
        <v>44</v>
      </c>
      <c r="I948" s="3" t="s">
        <v>33</v>
      </c>
      <c r="J948" s="3" t="s">
        <v>41</v>
      </c>
      <c r="L948" s="1">
        <v>46027.461226851854</v>
      </c>
      <c r="M948" s="1">
        <v>46027.469421296293</v>
      </c>
      <c r="N948" s="1">
        <v>46027.479328703703</v>
      </c>
      <c r="O948" s="3" t="s">
        <v>43</v>
      </c>
      <c r="P948" s="3" t="s">
        <v>5453</v>
      </c>
      <c r="Q948" s="3" t="s">
        <v>42</v>
      </c>
      <c r="R948" s="3" t="s">
        <v>5452</v>
      </c>
      <c r="S948" s="3" t="s">
        <v>82</v>
      </c>
      <c r="T948" s="3" t="s">
        <v>81</v>
      </c>
      <c r="U948" s="4" t="b">
        <v>1</v>
      </c>
      <c r="V948" s="3" t="s">
        <v>31</v>
      </c>
      <c r="W948" s="1"/>
      <c r="Y948" s="3" t="s">
        <v>32</v>
      </c>
      <c r="Z948" s="3" t="s">
        <v>32</v>
      </c>
      <c r="AA948" s="3"/>
      <c r="AB948" s="3"/>
      <c r="AC948" s="4" t="s">
        <v>30</v>
      </c>
      <c r="AD948" s="3"/>
      <c r="AE948" s="3" t="s">
        <v>5453</v>
      </c>
      <c r="AF948" s="4" t="s">
        <v>30</v>
      </c>
      <c r="AH948" s="4">
        <v>1</v>
      </c>
      <c r="AI948" s="3" t="s">
        <v>5449</v>
      </c>
      <c r="AJ948" s="4" t="s">
        <v>5451</v>
      </c>
      <c r="AK948" s="4"/>
      <c r="AL948" s="3"/>
    </row>
    <row r="949" spans="1:38" x14ac:dyDescent="0.35">
      <c r="A949" s="3" t="s">
        <v>5454</v>
      </c>
      <c r="B949" s="4" t="s">
        <v>1199</v>
      </c>
      <c r="C949" s="4">
        <f>VLOOKUP(A949, [1]Planilha1!$A$3:$B$1015,2,FALSE)</f>
        <v>29344</v>
      </c>
      <c r="D949" s="4">
        <f t="shared" si="14"/>
        <v>8.1511111111111116</v>
      </c>
      <c r="E949" s="4" t="s">
        <v>1125</v>
      </c>
      <c r="F949" s="3" t="s">
        <v>1196</v>
      </c>
      <c r="G949" s="3" t="s">
        <v>5455</v>
      </c>
      <c r="H949" s="3" t="s">
        <v>171</v>
      </c>
      <c r="I949" s="3" t="s">
        <v>33</v>
      </c>
      <c r="J949" s="3" t="s">
        <v>41</v>
      </c>
      <c r="K949" s="3" t="s">
        <v>5457</v>
      </c>
      <c r="L949" s="1">
        <v>46027.457476851851</v>
      </c>
      <c r="M949" s="1">
        <v>46027.457476851851</v>
      </c>
      <c r="N949" s="1">
        <v>46027.627291666664</v>
      </c>
      <c r="O949" s="3" t="s">
        <v>170</v>
      </c>
      <c r="P949" s="3" t="s">
        <v>1199</v>
      </c>
      <c r="Q949" s="3" t="s">
        <v>42</v>
      </c>
      <c r="R949" s="3" t="s">
        <v>1198</v>
      </c>
      <c r="S949" s="3" t="s">
        <v>37</v>
      </c>
      <c r="T949" s="3" t="s">
        <v>36</v>
      </c>
      <c r="U949" s="4" t="b">
        <v>1</v>
      </c>
      <c r="V949" s="3" t="s">
        <v>28</v>
      </c>
      <c r="W949" s="1"/>
      <c r="Y949" s="3" t="s">
        <v>29</v>
      </c>
      <c r="Z949" s="3" t="s">
        <v>29</v>
      </c>
      <c r="AA949" s="3"/>
      <c r="AB949" s="3"/>
      <c r="AC949" s="4" t="s">
        <v>30</v>
      </c>
      <c r="AD949" s="3"/>
      <c r="AE949" s="3" t="s">
        <v>1199</v>
      </c>
      <c r="AF949" s="4" t="s">
        <v>30</v>
      </c>
      <c r="AH949" s="4">
        <v>1</v>
      </c>
      <c r="AI949" s="3" t="s">
        <v>5456</v>
      </c>
      <c r="AJ949" s="4" t="s">
        <v>1197</v>
      </c>
      <c r="AK949" s="4"/>
      <c r="AL949" s="3"/>
    </row>
    <row r="950" spans="1:38" x14ac:dyDescent="0.35">
      <c r="A950" s="3" t="s">
        <v>5458</v>
      </c>
      <c r="B950" s="4" t="s">
        <v>5463</v>
      </c>
      <c r="C950" s="4">
        <f>VLOOKUP(A950, [1]Planilha1!$A$3:$B$1015,2,FALSE)</f>
        <v>2800</v>
      </c>
      <c r="D950" s="4">
        <f t="shared" si="14"/>
        <v>0.77777777777777779</v>
      </c>
      <c r="E950" s="4" t="s">
        <v>1125</v>
      </c>
      <c r="F950" s="3" t="s">
        <v>5460</v>
      </c>
      <c r="G950" s="3" t="s">
        <v>74</v>
      </c>
      <c r="H950" s="3" t="s">
        <v>44</v>
      </c>
      <c r="I950" s="3" t="s">
        <v>33</v>
      </c>
      <c r="J950" s="3" t="s">
        <v>41</v>
      </c>
      <c r="L950" s="1">
        <v>46027.44672453704</v>
      </c>
      <c r="M950" s="1">
        <v>46027.448506944442</v>
      </c>
      <c r="N950" s="1">
        <v>46027.46471064815</v>
      </c>
      <c r="O950" s="3" t="s">
        <v>43</v>
      </c>
      <c r="P950" s="3" t="s">
        <v>5463</v>
      </c>
      <c r="Q950" s="3" t="s">
        <v>42</v>
      </c>
      <c r="R950" s="3" t="s">
        <v>5462</v>
      </c>
      <c r="S950" s="3" t="s">
        <v>80</v>
      </c>
      <c r="T950" s="3" t="s">
        <v>79</v>
      </c>
      <c r="U950" s="4" t="b">
        <v>1</v>
      </c>
      <c r="V950" s="3" t="s">
        <v>31</v>
      </c>
      <c r="W950" s="1"/>
      <c r="Y950" s="3" t="s">
        <v>32</v>
      </c>
      <c r="Z950" s="3" t="s">
        <v>32</v>
      </c>
      <c r="AA950" s="3"/>
      <c r="AB950" s="3"/>
      <c r="AC950" s="4" t="s">
        <v>30</v>
      </c>
      <c r="AD950" s="3"/>
      <c r="AE950" s="3" t="s">
        <v>5463</v>
      </c>
      <c r="AF950" s="4" t="s">
        <v>30</v>
      </c>
      <c r="AH950" s="4">
        <v>1</v>
      </c>
      <c r="AI950" s="3" t="s">
        <v>5459</v>
      </c>
      <c r="AJ950" s="4" t="s">
        <v>5461</v>
      </c>
      <c r="AK950" s="4"/>
      <c r="AL950" s="3"/>
    </row>
    <row r="951" spans="1:38" x14ac:dyDescent="0.35">
      <c r="A951" s="3" t="s">
        <v>5464</v>
      </c>
      <c r="B951" s="4" t="s">
        <v>5469</v>
      </c>
      <c r="C951" s="4">
        <f>VLOOKUP(A951, [1]Planilha1!$A$3:$B$1015,2,FALSE)</f>
        <v>1974</v>
      </c>
      <c r="D951" s="4">
        <f t="shared" si="14"/>
        <v>0.54833333333333334</v>
      </c>
      <c r="E951" s="4" t="s">
        <v>1125</v>
      </c>
      <c r="F951" s="3" t="s">
        <v>5466</v>
      </c>
      <c r="G951" s="3" t="s">
        <v>100</v>
      </c>
      <c r="H951" s="3" t="s">
        <v>44</v>
      </c>
      <c r="I951" s="3" t="s">
        <v>33</v>
      </c>
      <c r="J951" s="3" t="s">
        <v>41</v>
      </c>
      <c r="L951" s="1">
        <v>46027.440625000003</v>
      </c>
      <c r="M951" s="1">
        <v>46027.454780092594</v>
      </c>
      <c r="N951" s="1">
        <v>46027.466203703705</v>
      </c>
      <c r="O951" s="3" t="s">
        <v>43</v>
      </c>
      <c r="P951" s="3" t="s">
        <v>5469</v>
      </c>
      <c r="Q951" s="3" t="s">
        <v>42</v>
      </c>
      <c r="R951" s="3" t="s">
        <v>5468</v>
      </c>
      <c r="S951" s="3" t="s">
        <v>190</v>
      </c>
      <c r="T951" s="3" t="s">
        <v>189</v>
      </c>
      <c r="U951" s="4" t="b">
        <v>1</v>
      </c>
      <c r="V951" s="3" t="s">
        <v>31</v>
      </c>
      <c r="W951" s="1"/>
      <c r="Y951" s="3" t="s">
        <v>32</v>
      </c>
      <c r="Z951" s="3" t="s">
        <v>32</v>
      </c>
      <c r="AA951" s="3"/>
      <c r="AB951" s="3"/>
      <c r="AC951" s="4" t="s">
        <v>30</v>
      </c>
      <c r="AD951" s="3"/>
      <c r="AE951" s="3" t="s">
        <v>5469</v>
      </c>
      <c r="AF951" s="4" t="s">
        <v>30</v>
      </c>
      <c r="AH951" s="4">
        <v>1</v>
      </c>
      <c r="AI951" s="3" t="s">
        <v>5465</v>
      </c>
      <c r="AJ951" s="4" t="s">
        <v>5467</v>
      </c>
      <c r="AK951" s="4"/>
      <c r="AL951" s="3"/>
    </row>
    <row r="952" spans="1:38" x14ac:dyDescent="0.35">
      <c r="A952" s="3" t="s">
        <v>5470</v>
      </c>
      <c r="B952" s="4" t="s">
        <v>5475</v>
      </c>
      <c r="C952" s="4">
        <f>VLOOKUP(A952, [1]Planilha1!$A$3:$B$1015,2,FALSE)</f>
        <v>1760</v>
      </c>
      <c r="D952" s="4">
        <f t="shared" si="14"/>
        <v>0.48888888888888887</v>
      </c>
      <c r="E952" s="4" t="s">
        <v>1125</v>
      </c>
      <c r="F952" s="3" t="s">
        <v>5473</v>
      </c>
      <c r="G952" s="3" t="s">
        <v>214</v>
      </c>
      <c r="H952" s="3" t="s">
        <v>44</v>
      </c>
      <c r="I952" s="3" t="s">
        <v>33</v>
      </c>
      <c r="J952" s="3" t="s">
        <v>41</v>
      </c>
      <c r="K952" s="3" t="s">
        <v>5472</v>
      </c>
      <c r="L952" s="1">
        <v>46027.437789351854</v>
      </c>
      <c r="M952" s="1">
        <v>46027.457881944443</v>
      </c>
      <c r="N952" s="1">
        <v>46027.46806712963</v>
      </c>
      <c r="O952" s="3" t="s">
        <v>43</v>
      </c>
      <c r="P952" s="3" t="s">
        <v>5475</v>
      </c>
      <c r="Q952" s="3" t="s">
        <v>42</v>
      </c>
      <c r="R952" s="3" t="s">
        <v>5474</v>
      </c>
      <c r="S952" s="3" t="s">
        <v>144</v>
      </c>
      <c r="T952" s="3" t="s">
        <v>143</v>
      </c>
      <c r="U952" s="4" t="b">
        <v>1</v>
      </c>
      <c r="V952" s="3" t="s">
        <v>31</v>
      </c>
      <c r="W952" s="1"/>
      <c r="Y952" s="3" t="s">
        <v>32</v>
      </c>
      <c r="Z952" s="3" t="s">
        <v>32</v>
      </c>
      <c r="AA952" s="3"/>
      <c r="AB952" s="3"/>
      <c r="AC952" s="4" t="s">
        <v>30</v>
      </c>
      <c r="AD952" s="3"/>
      <c r="AE952" s="3" t="s">
        <v>5475</v>
      </c>
      <c r="AF952" s="4" t="s">
        <v>30</v>
      </c>
      <c r="AH952" s="4">
        <v>1</v>
      </c>
      <c r="AI952" s="3" t="s">
        <v>5471</v>
      </c>
      <c r="AJ952" s="4" t="s">
        <v>5967</v>
      </c>
      <c r="AK952" s="4"/>
      <c r="AL952" s="3"/>
    </row>
    <row r="953" spans="1:38" x14ac:dyDescent="0.35">
      <c r="A953" s="3" t="s">
        <v>5476</v>
      </c>
      <c r="B953" s="4" t="s">
        <v>5482</v>
      </c>
      <c r="C953" s="4">
        <f>VLOOKUP(A953, [1]Planilha1!$A$3:$B$1015,2,FALSE)</f>
        <v>4644</v>
      </c>
      <c r="D953" s="4">
        <f t="shared" si="14"/>
        <v>1.29</v>
      </c>
      <c r="E953" s="4" t="s">
        <v>1125</v>
      </c>
      <c r="F953" s="3" t="s">
        <v>5479</v>
      </c>
      <c r="G953" s="3" t="s">
        <v>5219</v>
      </c>
      <c r="H953" s="3" t="s">
        <v>171</v>
      </c>
      <c r="I953" s="3" t="s">
        <v>33</v>
      </c>
      <c r="J953" s="3" t="s">
        <v>41</v>
      </c>
      <c r="K953" s="3" t="s">
        <v>5478</v>
      </c>
      <c r="L953" s="1">
        <v>46027.43476851852</v>
      </c>
      <c r="M953" s="1">
        <v>46027.43476851852</v>
      </c>
      <c r="N953" s="1">
        <v>46027.461655092593</v>
      </c>
      <c r="O953" s="3" t="s">
        <v>170</v>
      </c>
      <c r="P953" s="3" t="s">
        <v>5482</v>
      </c>
      <c r="Q953" s="3" t="s">
        <v>42</v>
      </c>
      <c r="R953" s="3" t="s">
        <v>5481</v>
      </c>
      <c r="S953" s="3" t="s">
        <v>37</v>
      </c>
      <c r="T953" s="3" t="s">
        <v>36</v>
      </c>
      <c r="U953" s="4" t="b">
        <v>1</v>
      </c>
      <c r="V953" s="3" t="s">
        <v>28</v>
      </c>
      <c r="W953" s="1"/>
      <c r="Y953" s="3" t="s">
        <v>29</v>
      </c>
      <c r="Z953" s="3" t="s">
        <v>29</v>
      </c>
      <c r="AA953" s="3"/>
      <c r="AB953" s="3"/>
      <c r="AC953" s="4" t="s">
        <v>30</v>
      </c>
      <c r="AD953" s="3"/>
      <c r="AE953" s="3" t="s">
        <v>5482</v>
      </c>
      <c r="AF953" s="4" t="s">
        <v>30</v>
      </c>
      <c r="AH953" s="4">
        <v>1</v>
      </c>
      <c r="AI953" s="3" t="s">
        <v>5477</v>
      </c>
      <c r="AJ953" s="4" t="s">
        <v>5480</v>
      </c>
      <c r="AK953" s="4"/>
      <c r="AL953" s="3"/>
    </row>
    <row r="954" spans="1:38" x14ac:dyDescent="0.35">
      <c r="A954" s="3" t="s">
        <v>5483</v>
      </c>
      <c r="B954" s="4" t="s">
        <v>5488</v>
      </c>
      <c r="C954" s="4">
        <f>VLOOKUP(A954, [1]Planilha1!$A$3:$B$1015,2,FALSE)</f>
        <v>0</v>
      </c>
      <c r="D954" s="4">
        <f t="shared" si="14"/>
        <v>0</v>
      </c>
      <c r="E954" s="4" t="s">
        <v>1125</v>
      </c>
      <c r="F954" s="3" t="s">
        <v>5485</v>
      </c>
      <c r="G954" s="3" t="s">
        <v>44</v>
      </c>
      <c r="H954" s="3" t="s">
        <v>44</v>
      </c>
      <c r="I954" s="3" t="s">
        <v>33</v>
      </c>
      <c r="J954" s="3" t="s">
        <v>60</v>
      </c>
      <c r="L954" s="1">
        <v>46027.434108796297</v>
      </c>
      <c r="M954" s="1">
        <v>46027.437939814816</v>
      </c>
      <c r="N954" s="1">
        <v>46030.458333333336</v>
      </c>
      <c r="O954" s="3" t="s">
        <v>43</v>
      </c>
      <c r="P954" s="3" t="s">
        <v>5488</v>
      </c>
      <c r="Q954" s="3" t="s">
        <v>35</v>
      </c>
      <c r="R954" s="3" t="s">
        <v>5487</v>
      </c>
      <c r="S954" s="3" t="s">
        <v>62</v>
      </c>
      <c r="T954" s="3" t="s">
        <v>61</v>
      </c>
      <c r="U954" s="4" t="b">
        <v>1</v>
      </c>
      <c r="V954" s="3" t="s">
        <v>31</v>
      </c>
      <c r="W954" s="1"/>
      <c r="Y954" s="3" t="s">
        <v>32</v>
      </c>
      <c r="Z954" s="3" t="s">
        <v>32</v>
      </c>
      <c r="AA954" s="3"/>
      <c r="AB954" s="3"/>
      <c r="AC954" s="4" t="s">
        <v>30</v>
      </c>
      <c r="AD954" s="3"/>
      <c r="AE954" s="3" t="s">
        <v>5488</v>
      </c>
      <c r="AF954" s="4" t="s">
        <v>30</v>
      </c>
      <c r="AH954" s="4">
        <v>0</v>
      </c>
      <c r="AI954" s="3" t="s">
        <v>5484</v>
      </c>
      <c r="AJ954" s="4" t="s">
        <v>5486</v>
      </c>
      <c r="AK954" s="4"/>
      <c r="AL954" s="3"/>
    </row>
    <row r="955" spans="1:38" x14ac:dyDescent="0.35">
      <c r="A955" s="3" t="s">
        <v>5489</v>
      </c>
      <c r="B955" s="4" t="s">
        <v>5494</v>
      </c>
      <c r="C955" s="4">
        <f>VLOOKUP(A955, [1]Planilha1!$A$3:$B$1015,2,FALSE)</f>
        <v>5814</v>
      </c>
      <c r="D955" s="4">
        <f t="shared" si="14"/>
        <v>1.615</v>
      </c>
      <c r="E955" s="4" t="s">
        <v>1125</v>
      </c>
      <c r="F955" s="3" t="s">
        <v>5491</v>
      </c>
      <c r="G955" s="3" t="s">
        <v>74</v>
      </c>
      <c r="H955" s="3" t="s">
        <v>44</v>
      </c>
      <c r="I955" s="3" t="s">
        <v>33</v>
      </c>
      <c r="J955" s="3" t="s">
        <v>41</v>
      </c>
      <c r="L955" s="1">
        <v>46027.430590277778</v>
      </c>
      <c r="M955" s="1">
        <v>46027.43178240741</v>
      </c>
      <c r="N955" s="1">
        <v>46027.465428240743</v>
      </c>
      <c r="O955" s="3" t="s">
        <v>43</v>
      </c>
      <c r="P955" s="3" t="s">
        <v>5494</v>
      </c>
      <c r="Q955" s="3" t="s">
        <v>42</v>
      </c>
      <c r="R955" s="3" t="s">
        <v>5493</v>
      </c>
      <c r="S955" s="3" t="s">
        <v>80</v>
      </c>
      <c r="T955" s="3" t="s">
        <v>79</v>
      </c>
      <c r="U955" s="4" t="b">
        <v>1</v>
      </c>
      <c r="V955" s="3" t="s">
        <v>31</v>
      </c>
      <c r="W955" s="1"/>
      <c r="Y955" s="3" t="s">
        <v>32</v>
      </c>
      <c r="Z955" s="3" t="s">
        <v>32</v>
      </c>
      <c r="AA955" s="3"/>
      <c r="AB955" s="3"/>
      <c r="AC955" s="4" t="s">
        <v>30</v>
      </c>
      <c r="AD955" s="3"/>
      <c r="AE955" s="3" t="s">
        <v>5494</v>
      </c>
      <c r="AF955" s="4" t="s">
        <v>30</v>
      </c>
      <c r="AH955" s="4">
        <v>1</v>
      </c>
      <c r="AI955" s="3" t="s">
        <v>5490</v>
      </c>
      <c r="AJ955" s="4" t="s">
        <v>5492</v>
      </c>
      <c r="AK955" s="4"/>
      <c r="AL955" s="3"/>
    </row>
    <row r="956" spans="1:38" x14ac:dyDescent="0.35">
      <c r="A956" s="3" t="s">
        <v>5495</v>
      </c>
      <c r="B956" s="4" t="s">
        <v>5500</v>
      </c>
      <c r="C956" s="4">
        <f>VLOOKUP(A956, [1]Planilha1!$A$3:$B$1015,2,FALSE)</f>
        <v>0</v>
      </c>
      <c r="D956" s="4">
        <f t="shared" si="14"/>
        <v>0</v>
      </c>
      <c r="E956" s="4" t="s">
        <v>1125</v>
      </c>
      <c r="F956" s="3" t="s">
        <v>5498</v>
      </c>
      <c r="G956" s="3" t="s">
        <v>134</v>
      </c>
      <c r="H956" s="3" t="s">
        <v>138</v>
      </c>
      <c r="I956" s="3" t="s">
        <v>33</v>
      </c>
      <c r="J956" s="3" t="s">
        <v>60</v>
      </c>
      <c r="K956" s="3" t="s">
        <v>5497</v>
      </c>
      <c r="L956" s="1">
        <v>46027.402708333335</v>
      </c>
      <c r="M956" s="1">
        <v>46027.433333333334</v>
      </c>
      <c r="N956" s="1">
        <v>46030.458333333336</v>
      </c>
      <c r="O956" s="3" t="s">
        <v>137</v>
      </c>
      <c r="P956" s="3" t="s">
        <v>5500</v>
      </c>
      <c r="Q956" s="3" t="s">
        <v>35</v>
      </c>
      <c r="R956" s="3" t="s">
        <v>5499</v>
      </c>
      <c r="S956" s="3" t="s">
        <v>144</v>
      </c>
      <c r="T956" s="3" t="s">
        <v>143</v>
      </c>
      <c r="U956" s="4" t="b">
        <v>1</v>
      </c>
      <c r="V956" s="3" t="s">
        <v>31</v>
      </c>
      <c r="W956" s="1"/>
      <c r="Y956" s="3" t="s">
        <v>32</v>
      </c>
      <c r="Z956" s="3" t="s">
        <v>32</v>
      </c>
      <c r="AA956" s="3"/>
      <c r="AB956" s="3"/>
      <c r="AC956" s="4" t="s">
        <v>30</v>
      </c>
      <c r="AD956" s="3"/>
      <c r="AE956" s="3" t="s">
        <v>5500</v>
      </c>
      <c r="AF956" s="4" t="s">
        <v>30</v>
      </c>
      <c r="AH956" s="4">
        <v>0</v>
      </c>
      <c r="AI956" s="3" t="s">
        <v>5496</v>
      </c>
      <c r="AJ956" s="4"/>
      <c r="AK956" s="4"/>
      <c r="AL956" s="3"/>
    </row>
    <row r="957" spans="1:38" x14ac:dyDescent="0.35">
      <c r="A957" s="3" t="s">
        <v>5501</v>
      </c>
      <c r="B957" s="4" t="s">
        <v>5507</v>
      </c>
      <c r="C957" s="4">
        <f>VLOOKUP(A957, [1]Planilha1!$A$3:$B$1015,2,FALSE)</f>
        <v>6746</v>
      </c>
      <c r="D957" s="4">
        <f t="shared" si="14"/>
        <v>1.8738888888888889</v>
      </c>
      <c r="E957" s="4" t="s">
        <v>1125</v>
      </c>
      <c r="F957" s="3" t="s">
        <v>5504</v>
      </c>
      <c r="G957" s="3" t="s">
        <v>5502</v>
      </c>
      <c r="H957" s="3" t="s">
        <v>224</v>
      </c>
      <c r="I957" s="3" t="s">
        <v>33</v>
      </c>
      <c r="J957" s="3" t="s">
        <v>41</v>
      </c>
      <c r="L957" s="1">
        <v>46027.399918981479</v>
      </c>
      <c r="M957" s="1">
        <v>46027.399918981479</v>
      </c>
      <c r="N957" s="1">
        <v>46027.438958333332</v>
      </c>
      <c r="O957" s="3" t="s">
        <v>223</v>
      </c>
      <c r="P957" s="3" t="s">
        <v>5507</v>
      </c>
      <c r="Q957" s="3" t="s">
        <v>42</v>
      </c>
      <c r="R957" s="3" t="s">
        <v>5506</v>
      </c>
      <c r="S957" s="3" t="s">
        <v>37</v>
      </c>
      <c r="T957" s="3" t="s">
        <v>36</v>
      </c>
      <c r="U957" s="4" t="b">
        <v>1</v>
      </c>
      <c r="V957" s="3" t="s">
        <v>28</v>
      </c>
      <c r="W957" s="1"/>
      <c r="Y957" s="3" t="s">
        <v>29</v>
      </c>
      <c r="Z957" s="3" t="s">
        <v>29</v>
      </c>
      <c r="AA957" s="3"/>
      <c r="AB957" s="3"/>
      <c r="AC957" s="4" t="s">
        <v>30</v>
      </c>
      <c r="AD957" s="3"/>
      <c r="AE957" s="3" t="s">
        <v>5507</v>
      </c>
      <c r="AF957" s="4" t="s">
        <v>30</v>
      </c>
      <c r="AH957" s="4">
        <v>1</v>
      </c>
      <c r="AI957" s="3" t="s">
        <v>5503</v>
      </c>
      <c r="AJ957" s="4" t="s">
        <v>5505</v>
      </c>
      <c r="AK957" s="4"/>
      <c r="AL957" s="3"/>
    </row>
    <row r="958" spans="1:38" x14ac:dyDescent="0.35">
      <c r="A958" s="3" t="s">
        <v>5508</v>
      </c>
      <c r="B958" s="4" t="s">
        <v>5514</v>
      </c>
      <c r="C958" s="4">
        <f>VLOOKUP(A958, [1]Planilha1!$A$3:$B$1015,2,FALSE)</f>
        <v>4850</v>
      </c>
      <c r="D958" s="4">
        <f t="shared" si="14"/>
        <v>1.3472222222222223</v>
      </c>
      <c r="E958" s="4" t="s">
        <v>1125</v>
      </c>
      <c r="F958" s="3" t="s">
        <v>5511</v>
      </c>
      <c r="G958" s="3" t="s">
        <v>214</v>
      </c>
      <c r="H958" s="3" t="s">
        <v>44</v>
      </c>
      <c r="I958" s="3" t="s">
        <v>33</v>
      </c>
      <c r="J958" s="3" t="s">
        <v>41</v>
      </c>
      <c r="K958" s="3" t="s">
        <v>5510</v>
      </c>
      <c r="L958" s="1">
        <v>46027.394988425927</v>
      </c>
      <c r="M958" s="1">
        <v>46027.435914351852</v>
      </c>
      <c r="N958" s="1">
        <v>46027.46398148148</v>
      </c>
      <c r="O958" s="3" t="s">
        <v>43</v>
      </c>
      <c r="P958" s="3" t="s">
        <v>5514</v>
      </c>
      <c r="Q958" s="3" t="s">
        <v>42</v>
      </c>
      <c r="R958" s="3" t="s">
        <v>5513</v>
      </c>
      <c r="S958" s="3" t="s">
        <v>144</v>
      </c>
      <c r="T958" s="3" t="s">
        <v>143</v>
      </c>
      <c r="U958" s="4" t="b">
        <v>1</v>
      </c>
      <c r="V958" s="3" t="s">
        <v>31</v>
      </c>
      <c r="W958" s="1"/>
      <c r="Y958" s="3" t="s">
        <v>32</v>
      </c>
      <c r="Z958" s="3" t="s">
        <v>32</v>
      </c>
      <c r="AA958" s="3"/>
      <c r="AB958" s="3"/>
      <c r="AC958" s="4" t="s">
        <v>30</v>
      </c>
      <c r="AD958" s="3"/>
      <c r="AE958" s="3" t="s">
        <v>5514</v>
      </c>
      <c r="AF958" s="4" t="s">
        <v>30</v>
      </c>
      <c r="AH958" s="4">
        <v>1</v>
      </c>
      <c r="AI958" s="3" t="s">
        <v>5509</v>
      </c>
      <c r="AJ958" s="4" t="s">
        <v>5512</v>
      </c>
      <c r="AK958" s="4"/>
      <c r="AL958" s="3"/>
    </row>
    <row r="959" spans="1:38" x14ac:dyDescent="0.35">
      <c r="A959" s="3" t="s">
        <v>5515</v>
      </c>
      <c r="B959" s="4" t="s">
        <v>5521</v>
      </c>
      <c r="C959" s="4">
        <f>VLOOKUP(A959, [1]Planilha1!$A$3:$B$1015,2,FALSE)</f>
        <v>4646</v>
      </c>
      <c r="D959" s="4">
        <f t="shared" si="14"/>
        <v>1.2905555555555555</v>
      </c>
      <c r="E959" s="4" t="s">
        <v>1125</v>
      </c>
      <c r="F959" s="3" t="s">
        <v>5518</v>
      </c>
      <c r="G959" s="3" t="s">
        <v>100</v>
      </c>
      <c r="H959" s="3" t="s">
        <v>44</v>
      </c>
      <c r="I959" s="3" t="s">
        <v>33</v>
      </c>
      <c r="J959" s="3" t="s">
        <v>41</v>
      </c>
      <c r="K959" s="3" t="s">
        <v>5517</v>
      </c>
      <c r="L959" s="1">
        <v>46027.393425925926</v>
      </c>
      <c r="M959" s="1">
        <v>46027.440497685187</v>
      </c>
      <c r="N959" s="1">
        <v>46027.46738425926</v>
      </c>
      <c r="O959" s="3" t="s">
        <v>43</v>
      </c>
      <c r="P959" s="3" t="s">
        <v>5521</v>
      </c>
      <c r="Q959" s="3" t="s">
        <v>42</v>
      </c>
      <c r="R959" s="3" t="s">
        <v>5520</v>
      </c>
      <c r="S959" s="3" t="s">
        <v>190</v>
      </c>
      <c r="T959" s="3" t="s">
        <v>189</v>
      </c>
      <c r="U959" s="4" t="b">
        <v>1</v>
      </c>
      <c r="V959" s="3" t="s">
        <v>31</v>
      </c>
      <c r="W959" s="1"/>
      <c r="Y959" s="3" t="s">
        <v>32</v>
      </c>
      <c r="Z959" s="3" t="s">
        <v>32</v>
      </c>
      <c r="AA959" s="3"/>
      <c r="AB959" s="3"/>
      <c r="AC959" s="4" t="s">
        <v>30</v>
      </c>
      <c r="AD959" s="3"/>
      <c r="AE959" s="3" t="s">
        <v>5521</v>
      </c>
      <c r="AF959" s="4" t="s">
        <v>30</v>
      </c>
      <c r="AH959" s="4">
        <v>1</v>
      </c>
      <c r="AI959" s="3" t="s">
        <v>5516</v>
      </c>
      <c r="AJ959" s="4" t="s">
        <v>5519</v>
      </c>
      <c r="AK959" s="4"/>
      <c r="AL959" s="3"/>
    </row>
    <row r="960" spans="1:38" x14ac:dyDescent="0.35">
      <c r="A960" s="3" t="s">
        <v>5522</v>
      </c>
      <c r="B960" s="4" t="s">
        <v>5396</v>
      </c>
      <c r="C960" s="4">
        <f>VLOOKUP(A960, [1]Planilha1!$A$3:$B$1015,2,FALSE)</f>
        <v>1994</v>
      </c>
      <c r="D960" s="4">
        <f t="shared" si="14"/>
        <v>0.55388888888888888</v>
      </c>
      <c r="E960" s="4" t="s">
        <v>1125</v>
      </c>
      <c r="F960" s="3" t="s">
        <v>5394</v>
      </c>
      <c r="G960" s="3" t="s">
        <v>214</v>
      </c>
      <c r="H960" s="3" t="s">
        <v>44</v>
      </c>
      <c r="I960" s="3" t="s">
        <v>33</v>
      </c>
      <c r="J960" s="3" t="s">
        <v>41</v>
      </c>
      <c r="K960" s="3" t="s">
        <v>5393</v>
      </c>
      <c r="L960" s="1">
        <v>46027.391469907408</v>
      </c>
      <c r="M960" s="1">
        <v>46027.420173611114</v>
      </c>
      <c r="N960" s="1">
        <v>46027.431712962964</v>
      </c>
      <c r="O960" s="3" t="s">
        <v>43</v>
      </c>
      <c r="P960" s="3" t="s">
        <v>5396</v>
      </c>
      <c r="Q960" s="3" t="s">
        <v>42</v>
      </c>
      <c r="R960" s="3" t="s">
        <v>5395</v>
      </c>
      <c r="S960" s="3" t="s">
        <v>144</v>
      </c>
      <c r="T960" s="3" t="s">
        <v>143</v>
      </c>
      <c r="U960" s="4" t="b">
        <v>1</v>
      </c>
      <c r="V960" s="3" t="s">
        <v>31</v>
      </c>
      <c r="W960" s="1"/>
      <c r="Y960" s="3" t="s">
        <v>32</v>
      </c>
      <c r="Z960" s="3" t="s">
        <v>32</v>
      </c>
      <c r="AA960" s="3"/>
      <c r="AB960" s="3"/>
      <c r="AC960" s="4" t="s">
        <v>30</v>
      </c>
      <c r="AD960" s="3"/>
      <c r="AE960" s="3" t="s">
        <v>5396</v>
      </c>
      <c r="AF960" s="4" t="s">
        <v>30</v>
      </c>
      <c r="AH960" s="4">
        <v>1</v>
      </c>
      <c r="AI960" s="3" t="s">
        <v>5523</v>
      </c>
      <c r="AJ960" s="4" t="s">
        <v>5964</v>
      </c>
      <c r="AK960" s="4"/>
      <c r="AL960" s="3"/>
    </row>
    <row r="961" spans="1:38" x14ac:dyDescent="0.35">
      <c r="A961" s="3" t="s">
        <v>5524</v>
      </c>
      <c r="B961" s="4" t="s">
        <v>5530</v>
      </c>
      <c r="C961" s="4">
        <f>VLOOKUP(A961, [1]Planilha1!$A$3:$B$1015,2,FALSE)</f>
        <v>0</v>
      </c>
      <c r="D961" s="4">
        <f t="shared" si="14"/>
        <v>0</v>
      </c>
      <c r="E961" s="4" t="s">
        <v>1125</v>
      </c>
      <c r="F961" s="3" t="s">
        <v>5527</v>
      </c>
      <c r="G961" s="3" t="s">
        <v>214</v>
      </c>
      <c r="H961" s="3" t="s">
        <v>44</v>
      </c>
      <c r="I961" s="3" t="s">
        <v>33</v>
      </c>
      <c r="J961" s="3" t="s">
        <v>60</v>
      </c>
      <c r="K961" s="3" t="s">
        <v>5526</v>
      </c>
      <c r="L961" s="1">
        <v>46027.365347222221</v>
      </c>
      <c r="M961" s="1">
        <v>46027.3903587963</v>
      </c>
      <c r="N961" s="1">
        <v>46030.416666666664</v>
      </c>
      <c r="O961" s="3" t="s">
        <v>43</v>
      </c>
      <c r="P961" s="3" t="s">
        <v>5530</v>
      </c>
      <c r="Q961" s="3" t="s">
        <v>35</v>
      </c>
      <c r="R961" s="3" t="s">
        <v>5529</v>
      </c>
      <c r="S961" s="3" t="s">
        <v>144</v>
      </c>
      <c r="T961" s="3" t="s">
        <v>143</v>
      </c>
      <c r="U961" s="4" t="b">
        <v>1</v>
      </c>
      <c r="V961" s="3" t="s">
        <v>31</v>
      </c>
      <c r="W961" s="1"/>
      <c r="Y961" s="3" t="s">
        <v>32</v>
      </c>
      <c r="Z961" s="3" t="s">
        <v>32</v>
      </c>
      <c r="AA961" s="3"/>
      <c r="AB961" s="3"/>
      <c r="AC961" s="4" t="s">
        <v>30</v>
      </c>
      <c r="AD961" s="3"/>
      <c r="AE961" s="3" t="s">
        <v>5530</v>
      </c>
      <c r="AF961" s="4" t="s">
        <v>30</v>
      </c>
      <c r="AH961" s="4">
        <v>0</v>
      </c>
      <c r="AI961" s="3" t="s">
        <v>5525</v>
      </c>
      <c r="AJ961" s="4" t="s">
        <v>5528</v>
      </c>
      <c r="AK961" s="4"/>
      <c r="AL961" s="3"/>
    </row>
    <row r="962" spans="1:38" x14ac:dyDescent="0.35">
      <c r="A962" s="3" t="s">
        <v>5531</v>
      </c>
      <c r="B962" s="4" t="s">
        <v>3300</v>
      </c>
      <c r="C962" s="4">
        <f>VLOOKUP(A962, [1]Planilha1!$A$3:$B$1015,2,FALSE)</f>
        <v>13609</v>
      </c>
      <c r="D962" s="4">
        <f t="shared" si="14"/>
        <v>3.7802777777777776</v>
      </c>
      <c r="E962" s="4" t="s">
        <v>1125</v>
      </c>
      <c r="F962" s="3" t="s">
        <v>3297</v>
      </c>
      <c r="G962" s="3" t="s">
        <v>5532</v>
      </c>
      <c r="H962" s="3" t="s">
        <v>163</v>
      </c>
      <c r="I962" s="3" t="s">
        <v>33</v>
      </c>
      <c r="J962" s="3" t="s">
        <v>41</v>
      </c>
      <c r="L962" s="1">
        <v>46027.348437499997</v>
      </c>
      <c r="M962" s="1">
        <v>46027.348437499997</v>
      </c>
      <c r="N962" s="1">
        <v>46027.440474537034</v>
      </c>
      <c r="O962" s="3" t="s">
        <v>162</v>
      </c>
      <c r="P962" s="3" t="s">
        <v>3300</v>
      </c>
      <c r="Q962" s="3" t="s">
        <v>35</v>
      </c>
      <c r="R962" s="3" t="s">
        <v>3299</v>
      </c>
      <c r="S962" s="3" t="s">
        <v>37</v>
      </c>
      <c r="T962" s="3" t="s">
        <v>36</v>
      </c>
      <c r="U962" s="4" t="b">
        <v>1</v>
      </c>
      <c r="V962" s="3" t="s">
        <v>28</v>
      </c>
      <c r="W962" s="1"/>
      <c r="Y962" s="3" t="s">
        <v>29</v>
      </c>
      <c r="Z962" s="3" t="s">
        <v>29</v>
      </c>
      <c r="AA962" s="3"/>
      <c r="AB962" s="3"/>
      <c r="AC962" s="4" t="s">
        <v>30</v>
      </c>
      <c r="AD962" s="3"/>
      <c r="AE962" s="3" t="s">
        <v>3300</v>
      </c>
      <c r="AF962" s="4" t="s">
        <v>30</v>
      </c>
      <c r="AH962" s="4">
        <v>1</v>
      </c>
      <c r="AI962" s="3" t="s">
        <v>5533</v>
      </c>
      <c r="AJ962" s="4" t="s">
        <v>3298</v>
      </c>
      <c r="AK962" s="4"/>
      <c r="AL962" s="3"/>
    </row>
    <row r="963" spans="1:38" x14ac:dyDescent="0.35">
      <c r="A963" s="3" t="s">
        <v>5534</v>
      </c>
      <c r="B963" s="4" t="s">
        <v>4332</v>
      </c>
      <c r="C963" s="4">
        <f>VLOOKUP(A963, [1]Planilha1!$A$3:$B$1015,2,FALSE)</f>
        <v>16418</v>
      </c>
      <c r="D963" s="4">
        <f t="shared" ref="D963:D1013" si="15">C963/3600</f>
        <v>4.5605555555555553</v>
      </c>
      <c r="E963" s="4" t="s">
        <v>1125</v>
      </c>
      <c r="F963" s="3" t="s">
        <v>5537</v>
      </c>
      <c r="G963" s="3" t="s">
        <v>5535</v>
      </c>
      <c r="H963" s="3" t="s">
        <v>44</v>
      </c>
      <c r="I963" s="3" t="s">
        <v>33</v>
      </c>
      <c r="J963" s="3" t="s">
        <v>41</v>
      </c>
      <c r="L963" s="1">
        <v>46027.324166666665</v>
      </c>
      <c r="M963" s="1">
        <v>46027.324166666665</v>
      </c>
      <c r="N963" s="1">
        <v>46027.444594907407</v>
      </c>
      <c r="O963" s="3" t="s">
        <v>43</v>
      </c>
      <c r="P963" s="3" t="s">
        <v>4332</v>
      </c>
      <c r="Q963" s="3" t="s">
        <v>42</v>
      </c>
      <c r="R963" s="3" t="s">
        <v>5539</v>
      </c>
      <c r="S963" s="3" t="s">
        <v>37</v>
      </c>
      <c r="T963" s="3" t="s">
        <v>36</v>
      </c>
      <c r="U963" s="4" t="b">
        <v>1</v>
      </c>
      <c r="V963" s="3" t="s">
        <v>28</v>
      </c>
      <c r="W963" s="1"/>
      <c r="Y963" s="3" t="s">
        <v>29</v>
      </c>
      <c r="Z963" s="3" t="s">
        <v>29</v>
      </c>
      <c r="AA963" s="3"/>
      <c r="AB963" s="3"/>
      <c r="AC963" s="4" t="s">
        <v>30</v>
      </c>
      <c r="AD963" s="3"/>
      <c r="AE963" s="3" t="s">
        <v>4332</v>
      </c>
      <c r="AF963" s="4" t="s">
        <v>30</v>
      </c>
      <c r="AH963" s="4">
        <v>1</v>
      </c>
      <c r="AI963" s="3" t="s">
        <v>5536</v>
      </c>
      <c r="AJ963" s="4" t="s">
        <v>5538</v>
      </c>
      <c r="AK963" s="4"/>
      <c r="AL963" s="3"/>
    </row>
    <row r="964" spans="1:38" x14ac:dyDescent="0.35">
      <c r="A964" s="3" t="s">
        <v>5540</v>
      </c>
      <c r="B964" s="4" t="s">
        <v>5546</v>
      </c>
      <c r="C964" s="4">
        <f>VLOOKUP(A964, [1]Planilha1!$A$3:$B$1015,2,FALSE)</f>
        <v>3057</v>
      </c>
      <c r="D964" s="4">
        <f t="shared" si="15"/>
        <v>0.84916666666666663</v>
      </c>
      <c r="E964" s="4" t="s">
        <v>1125</v>
      </c>
      <c r="F964" s="3" t="s">
        <v>5543</v>
      </c>
      <c r="G964" s="3" t="s">
        <v>5541</v>
      </c>
      <c r="H964" s="3" t="s">
        <v>138</v>
      </c>
      <c r="I964" s="3" t="s">
        <v>33</v>
      </c>
      <c r="J964" s="3" t="s">
        <v>41</v>
      </c>
      <c r="L964" s="1">
        <v>46026.399409722224</v>
      </c>
      <c r="M964" s="1">
        <v>46026.399409722224</v>
      </c>
      <c r="N964" s="1">
        <v>46027.327048611114</v>
      </c>
      <c r="O964" s="3" t="s">
        <v>137</v>
      </c>
      <c r="P964" s="3" t="s">
        <v>5546</v>
      </c>
      <c r="Q964" s="3" t="s">
        <v>42</v>
      </c>
      <c r="R964" s="3" t="s">
        <v>5545</v>
      </c>
      <c r="S964" s="3" t="s">
        <v>37</v>
      </c>
      <c r="T964" s="3" t="s">
        <v>36</v>
      </c>
      <c r="U964" s="4" t="b">
        <v>1</v>
      </c>
      <c r="V964" s="3" t="s">
        <v>28</v>
      </c>
      <c r="W964" s="1"/>
      <c r="Y964" s="3" t="s">
        <v>29</v>
      </c>
      <c r="Z964" s="3" t="s">
        <v>29</v>
      </c>
      <c r="AA964" s="3"/>
      <c r="AB964" s="3"/>
      <c r="AC964" s="4" t="s">
        <v>30</v>
      </c>
      <c r="AD964" s="3"/>
      <c r="AE964" s="3" t="s">
        <v>5546</v>
      </c>
      <c r="AF964" s="4" t="s">
        <v>30</v>
      </c>
      <c r="AH964" s="4">
        <v>0</v>
      </c>
      <c r="AI964" s="3" t="s">
        <v>5542</v>
      </c>
      <c r="AJ964" s="4" t="s">
        <v>5544</v>
      </c>
      <c r="AK964" s="4"/>
      <c r="AL964" s="3"/>
    </row>
    <row r="965" spans="1:38" x14ac:dyDescent="0.35">
      <c r="A965" s="3" t="s">
        <v>5547</v>
      </c>
      <c r="B965" s="4" t="s">
        <v>5554</v>
      </c>
      <c r="C965" s="4">
        <f>VLOOKUP(A965, [1]Planilha1!$A$3:$B$1015,2,FALSE)</f>
        <v>17152</v>
      </c>
      <c r="D965" s="4">
        <f t="shared" si="15"/>
        <v>4.764444444444444</v>
      </c>
      <c r="E965" s="4" t="s">
        <v>1125</v>
      </c>
      <c r="F965" s="3" t="s">
        <v>5551</v>
      </c>
      <c r="G965" s="3" t="s">
        <v>5548</v>
      </c>
      <c r="H965" s="3" t="s">
        <v>428</v>
      </c>
      <c r="I965" s="3" t="s">
        <v>33</v>
      </c>
      <c r="J965" s="3" t="s">
        <v>41</v>
      </c>
      <c r="K965" s="3" t="s">
        <v>5550</v>
      </c>
      <c r="L965" s="1">
        <v>46024.696898148148</v>
      </c>
      <c r="M965" s="1">
        <v>46024.70239583333</v>
      </c>
      <c r="N965" s="1">
        <v>46028.737905092596</v>
      </c>
      <c r="O965" s="3" t="s">
        <v>427</v>
      </c>
      <c r="P965" s="3" t="s">
        <v>5554</v>
      </c>
      <c r="Q965" s="3" t="s">
        <v>42</v>
      </c>
      <c r="R965" s="3" t="s">
        <v>5553</v>
      </c>
      <c r="S965" s="3" t="s">
        <v>80</v>
      </c>
      <c r="T965" s="3" t="s">
        <v>79</v>
      </c>
      <c r="U965" s="4" t="b">
        <v>1</v>
      </c>
      <c r="V965" s="3" t="s">
        <v>31</v>
      </c>
      <c r="W965" s="1"/>
      <c r="Y965" s="3" t="s">
        <v>32</v>
      </c>
      <c r="Z965" s="3" t="s">
        <v>32</v>
      </c>
      <c r="AA965" s="3"/>
      <c r="AB965" s="3"/>
      <c r="AC965" s="4" t="s">
        <v>30</v>
      </c>
      <c r="AD965" s="3"/>
      <c r="AE965" s="3" t="s">
        <v>5554</v>
      </c>
      <c r="AF965" s="4" t="s">
        <v>30</v>
      </c>
      <c r="AH965" s="4">
        <v>3</v>
      </c>
      <c r="AI965" s="3" t="s">
        <v>5549</v>
      </c>
      <c r="AJ965" s="4" t="s">
        <v>5552</v>
      </c>
      <c r="AK965" s="4"/>
      <c r="AL965" s="3"/>
    </row>
    <row r="966" spans="1:38" x14ac:dyDescent="0.35">
      <c r="A966" s="3" t="s">
        <v>5555</v>
      </c>
      <c r="B966" s="4" t="s">
        <v>5144</v>
      </c>
      <c r="C966" s="4">
        <f>VLOOKUP(A966, [1]Planilha1!$A$3:$B$1015,2,FALSE)</f>
        <v>36210</v>
      </c>
      <c r="D966" s="4">
        <f t="shared" si="15"/>
        <v>10.058333333333334</v>
      </c>
      <c r="E966" s="4" t="s">
        <v>1125</v>
      </c>
      <c r="F966" s="3" t="s">
        <v>5558</v>
      </c>
      <c r="G966" s="3" t="s">
        <v>5556</v>
      </c>
      <c r="H966" s="3" t="s">
        <v>428</v>
      </c>
      <c r="I966" s="3" t="s">
        <v>33</v>
      </c>
      <c r="J966" s="3" t="s">
        <v>41</v>
      </c>
      <c r="L966" s="1">
        <v>46024.686273148145</v>
      </c>
      <c r="M966" s="1">
        <v>46024.686273148145</v>
      </c>
      <c r="N966" s="1">
        <v>46027.458321759259</v>
      </c>
      <c r="O966" s="3" t="s">
        <v>427</v>
      </c>
      <c r="P966" s="3" t="s">
        <v>5144</v>
      </c>
      <c r="Q966" s="3" t="s">
        <v>35</v>
      </c>
      <c r="R966" s="3" t="s">
        <v>5560</v>
      </c>
      <c r="S966" s="3" t="s">
        <v>37</v>
      </c>
      <c r="T966" s="3" t="s">
        <v>36</v>
      </c>
      <c r="U966" s="4" t="b">
        <v>1</v>
      </c>
      <c r="V966" s="3" t="s">
        <v>28</v>
      </c>
      <c r="W966" s="1"/>
      <c r="Y966" s="3" t="s">
        <v>29</v>
      </c>
      <c r="Z966" s="3" t="s">
        <v>29</v>
      </c>
      <c r="AA966" s="3"/>
      <c r="AB966" s="3"/>
      <c r="AC966" s="4" t="s">
        <v>30</v>
      </c>
      <c r="AD966" s="3"/>
      <c r="AE966" s="3" t="s">
        <v>5144</v>
      </c>
      <c r="AF966" s="4" t="s">
        <v>30</v>
      </c>
      <c r="AH966" s="4">
        <v>1</v>
      </c>
      <c r="AI966" s="3" t="s">
        <v>5557</v>
      </c>
      <c r="AJ966" s="4" t="s">
        <v>5559</v>
      </c>
      <c r="AK966" s="4"/>
      <c r="AL966" s="3"/>
    </row>
    <row r="967" spans="1:38" x14ac:dyDescent="0.35">
      <c r="A967" s="3" t="s">
        <v>5561</v>
      </c>
      <c r="B967" s="4" t="s">
        <v>1631</v>
      </c>
      <c r="C967" s="4">
        <f>VLOOKUP(A967, [1]Planilha1!$A$3:$B$1015,2,FALSE)</f>
        <v>1238</v>
      </c>
      <c r="D967" s="4">
        <f t="shared" si="15"/>
        <v>0.34388888888888891</v>
      </c>
      <c r="E967" s="4" t="s">
        <v>1125</v>
      </c>
      <c r="F967" s="3" t="s">
        <v>1628</v>
      </c>
      <c r="G967" s="3" t="s">
        <v>100</v>
      </c>
      <c r="H967" s="3" t="s">
        <v>44</v>
      </c>
      <c r="I967" s="3" t="s">
        <v>33</v>
      </c>
      <c r="J967" s="3" t="s">
        <v>41</v>
      </c>
      <c r="K967" s="3" t="s">
        <v>5563</v>
      </c>
      <c r="L967" s="1">
        <v>46024.641296296293</v>
      </c>
      <c r="M967" s="1">
        <v>46024.646249999998</v>
      </c>
      <c r="N967" s="1">
        <v>46024.653414351851</v>
      </c>
      <c r="O967" s="3" t="s">
        <v>43</v>
      </c>
      <c r="P967" s="3" t="s">
        <v>1631</v>
      </c>
      <c r="Q967" s="3" t="s">
        <v>42</v>
      </c>
      <c r="R967" s="3" t="s">
        <v>1630</v>
      </c>
      <c r="S967" s="3" t="s">
        <v>190</v>
      </c>
      <c r="T967" s="3" t="s">
        <v>189</v>
      </c>
      <c r="U967" s="4" t="b">
        <v>1</v>
      </c>
      <c r="V967" s="3" t="s">
        <v>31</v>
      </c>
      <c r="W967" s="1"/>
      <c r="Y967" s="3" t="s">
        <v>32</v>
      </c>
      <c r="Z967" s="3" t="s">
        <v>32</v>
      </c>
      <c r="AA967" s="3"/>
      <c r="AB967" s="3"/>
      <c r="AC967" s="4" t="s">
        <v>30</v>
      </c>
      <c r="AD967" s="3"/>
      <c r="AE967" s="3" t="s">
        <v>1631</v>
      </c>
      <c r="AF967" s="4" t="s">
        <v>30</v>
      </c>
      <c r="AH967" s="4">
        <v>1</v>
      </c>
      <c r="AI967" s="3" t="s">
        <v>5562</v>
      </c>
      <c r="AJ967" s="4" t="s">
        <v>1629</v>
      </c>
      <c r="AK967" s="4"/>
      <c r="AL967" s="3"/>
    </row>
    <row r="968" spans="1:38" x14ac:dyDescent="0.35">
      <c r="A968" s="3" t="s">
        <v>5564</v>
      </c>
      <c r="B968" s="4" t="s">
        <v>5568</v>
      </c>
      <c r="C968" s="4">
        <f>VLOOKUP(A968, [1]Planilha1!$A$3:$B$1015,2,FALSE)</f>
        <v>3440</v>
      </c>
      <c r="D968" s="4">
        <f t="shared" si="15"/>
        <v>0.9555555555555556</v>
      </c>
      <c r="E968" s="4" t="s">
        <v>1125</v>
      </c>
      <c r="F968" s="3" t="s">
        <v>5566</v>
      </c>
      <c r="G968" s="3" t="s">
        <v>44</v>
      </c>
      <c r="H968" s="3" t="s">
        <v>44</v>
      </c>
      <c r="I968" s="3" t="s">
        <v>33</v>
      </c>
      <c r="J968" s="3" t="s">
        <v>41</v>
      </c>
      <c r="L968" s="1">
        <v>46024.631215277775</v>
      </c>
      <c r="M968" s="1">
        <v>46024.632824074077</v>
      </c>
      <c r="N968" s="1">
        <v>46024.652731481481</v>
      </c>
      <c r="O968" s="3" t="s">
        <v>43</v>
      </c>
      <c r="P968" s="3" t="s">
        <v>5568</v>
      </c>
      <c r="Q968" s="3" t="s">
        <v>42</v>
      </c>
      <c r="R968" s="3" t="s">
        <v>5567</v>
      </c>
      <c r="S968" s="3" t="s">
        <v>96</v>
      </c>
      <c r="T968" s="3" t="s">
        <v>95</v>
      </c>
      <c r="U968" s="4" t="b">
        <v>1</v>
      </c>
      <c r="V968" s="3" t="s">
        <v>31</v>
      </c>
      <c r="W968" s="1"/>
      <c r="Y968" s="3" t="s">
        <v>32</v>
      </c>
      <c r="Z968" s="3" t="s">
        <v>32</v>
      </c>
      <c r="AA968" s="3"/>
      <c r="AB968" s="3"/>
      <c r="AC968" s="4" t="s">
        <v>30</v>
      </c>
      <c r="AD968" s="3"/>
      <c r="AE968" s="3" t="s">
        <v>5568</v>
      </c>
      <c r="AF968" s="4" t="s">
        <v>30</v>
      </c>
      <c r="AH968" s="4">
        <v>1</v>
      </c>
      <c r="AI968" s="3" t="s">
        <v>5565</v>
      </c>
      <c r="AJ968" s="4"/>
      <c r="AK968" s="4"/>
      <c r="AL968" s="3"/>
    </row>
    <row r="969" spans="1:38" x14ac:dyDescent="0.35">
      <c r="A969" s="3" t="s">
        <v>5569</v>
      </c>
      <c r="B969" s="4" t="s">
        <v>94</v>
      </c>
      <c r="C969" s="4">
        <f>VLOOKUP(A969, [1]Planilha1!$A$3:$B$1015,2,FALSE)</f>
        <v>0</v>
      </c>
      <c r="D969" s="4">
        <f t="shared" si="15"/>
        <v>0</v>
      </c>
      <c r="E969" s="4" t="s">
        <v>1125</v>
      </c>
      <c r="F969" s="3" t="s">
        <v>92</v>
      </c>
      <c r="G969" s="3" t="s">
        <v>5570</v>
      </c>
      <c r="H969" s="3" t="s">
        <v>44</v>
      </c>
      <c r="I969" s="3" t="s">
        <v>33</v>
      </c>
      <c r="J969" s="3" t="s">
        <v>60</v>
      </c>
      <c r="L969" s="1">
        <v>46024.622673611113</v>
      </c>
      <c r="M969" s="1">
        <v>46024.624606481484</v>
      </c>
      <c r="N969" s="1">
        <v>46027.625011574077</v>
      </c>
      <c r="O969" s="3" t="s">
        <v>43</v>
      </c>
      <c r="P969" s="3" t="s">
        <v>94</v>
      </c>
      <c r="Q969" s="3" t="s">
        <v>35</v>
      </c>
      <c r="R969" s="3" t="s">
        <v>93</v>
      </c>
      <c r="S969" s="3" t="s">
        <v>190</v>
      </c>
      <c r="T969" s="3" t="s">
        <v>189</v>
      </c>
      <c r="U969" s="4" t="b">
        <v>1</v>
      </c>
      <c r="V969" s="3" t="s">
        <v>31</v>
      </c>
      <c r="W969" s="1"/>
      <c r="Y969" s="3" t="s">
        <v>32</v>
      </c>
      <c r="Z969" s="3" t="s">
        <v>32</v>
      </c>
      <c r="AA969" s="3"/>
      <c r="AB969" s="3"/>
      <c r="AC969" s="4" t="s">
        <v>30</v>
      </c>
      <c r="AD969" s="3"/>
      <c r="AE969" s="3" t="s">
        <v>94</v>
      </c>
      <c r="AF969" s="4" t="s">
        <v>30</v>
      </c>
      <c r="AH969" s="4">
        <v>0</v>
      </c>
      <c r="AI969" s="3" t="s">
        <v>5571</v>
      </c>
      <c r="AJ969" s="4"/>
      <c r="AK969" s="4"/>
      <c r="AL969" s="3"/>
    </row>
    <row r="970" spans="1:38" x14ac:dyDescent="0.35">
      <c r="A970" s="3" t="s">
        <v>5572</v>
      </c>
      <c r="B970" s="4" t="s">
        <v>5577</v>
      </c>
      <c r="C970" s="4">
        <f>VLOOKUP(A970, [1]Planilha1!$A$3:$B$1015,2,FALSE)</f>
        <v>3085</v>
      </c>
      <c r="D970" s="4">
        <f t="shared" si="15"/>
        <v>0.8569444444444444</v>
      </c>
      <c r="E970" s="4" t="s">
        <v>1125</v>
      </c>
      <c r="F970" s="3" t="s">
        <v>5574</v>
      </c>
      <c r="G970" s="3" t="s">
        <v>2255</v>
      </c>
      <c r="H970" s="3" t="s">
        <v>44</v>
      </c>
      <c r="I970" s="3" t="s">
        <v>33</v>
      </c>
      <c r="J970" s="3" t="s">
        <v>41</v>
      </c>
      <c r="L970" s="1">
        <v>46024.618171296293</v>
      </c>
      <c r="M970" s="1">
        <v>46024.618171296293</v>
      </c>
      <c r="N970" s="1">
        <v>46024.634629629632</v>
      </c>
      <c r="O970" s="3" t="s">
        <v>43</v>
      </c>
      <c r="P970" s="3" t="s">
        <v>5577</v>
      </c>
      <c r="Q970" s="3" t="s">
        <v>42</v>
      </c>
      <c r="R970" s="3" t="s">
        <v>5576</v>
      </c>
      <c r="S970" s="3" t="s">
        <v>37</v>
      </c>
      <c r="T970" s="3" t="s">
        <v>36</v>
      </c>
      <c r="U970" s="4" t="b">
        <v>1</v>
      </c>
      <c r="V970" s="3" t="s">
        <v>28</v>
      </c>
      <c r="W970" s="1"/>
      <c r="Y970" s="3" t="s">
        <v>29</v>
      </c>
      <c r="Z970" s="3" t="s">
        <v>29</v>
      </c>
      <c r="AA970" s="3"/>
      <c r="AB970" s="3"/>
      <c r="AC970" s="4" t="s">
        <v>30</v>
      </c>
      <c r="AD970" s="3"/>
      <c r="AE970" s="3" t="s">
        <v>5577</v>
      </c>
      <c r="AF970" s="4" t="s">
        <v>30</v>
      </c>
      <c r="AH970" s="4">
        <v>2</v>
      </c>
      <c r="AI970" s="3" t="s">
        <v>5573</v>
      </c>
      <c r="AJ970" s="4" t="s">
        <v>5575</v>
      </c>
      <c r="AK970" s="4"/>
      <c r="AL970" s="3"/>
    </row>
    <row r="971" spans="1:38" x14ac:dyDescent="0.35">
      <c r="A971" s="3" t="s">
        <v>5578</v>
      </c>
      <c r="B971" s="4" t="s">
        <v>5584</v>
      </c>
      <c r="C971" s="4">
        <f>VLOOKUP(A971, [1]Planilha1!$A$3:$B$1015,2,FALSE)</f>
        <v>2026</v>
      </c>
      <c r="D971" s="4">
        <f t="shared" si="15"/>
        <v>0.56277777777777782</v>
      </c>
      <c r="E971" s="4" t="s">
        <v>1125</v>
      </c>
      <c r="F971" s="3" t="s">
        <v>5581</v>
      </c>
      <c r="G971" s="3" t="s">
        <v>214</v>
      </c>
      <c r="H971" s="3" t="s">
        <v>44</v>
      </c>
      <c r="I971" s="3" t="s">
        <v>33</v>
      </c>
      <c r="J971" s="3" t="s">
        <v>41</v>
      </c>
      <c r="K971" s="3" t="s">
        <v>5580</v>
      </c>
      <c r="L971" s="1">
        <v>46024.566250000003</v>
      </c>
      <c r="M971" s="1">
        <v>46024.57234953704</v>
      </c>
      <c r="N971" s="1">
        <v>46024.584074074075</v>
      </c>
      <c r="O971" s="3" t="s">
        <v>43</v>
      </c>
      <c r="P971" s="3" t="s">
        <v>5584</v>
      </c>
      <c r="Q971" s="3" t="s">
        <v>42</v>
      </c>
      <c r="R971" s="3" t="s">
        <v>5583</v>
      </c>
      <c r="S971" s="3" t="s">
        <v>144</v>
      </c>
      <c r="T971" s="3" t="s">
        <v>143</v>
      </c>
      <c r="U971" s="4" t="b">
        <v>1</v>
      </c>
      <c r="V971" s="3" t="s">
        <v>31</v>
      </c>
      <c r="W971" s="1"/>
      <c r="Y971" s="3" t="s">
        <v>32</v>
      </c>
      <c r="Z971" s="3" t="s">
        <v>32</v>
      </c>
      <c r="AA971" s="3"/>
      <c r="AB971" s="3"/>
      <c r="AC971" s="4" t="s">
        <v>30</v>
      </c>
      <c r="AD971" s="3"/>
      <c r="AE971" s="3" t="s">
        <v>5584</v>
      </c>
      <c r="AF971" s="4" t="s">
        <v>30</v>
      </c>
      <c r="AH971" s="4">
        <v>1</v>
      </c>
      <c r="AI971" s="3" t="s">
        <v>5579</v>
      </c>
      <c r="AJ971" s="4" t="s">
        <v>5582</v>
      </c>
      <c r="AK971" s="4"/>
      <c r="AL971" s="3"/>
    </row>
    <row r="972" spans="1:38" x14ac:dyDescent="0.35">
      <c r="A972" s="3" t="s">
        <v>5585</v>
      </c>
      <c r="B972" s="4" t="s">
        <v>5591</v>
      </c>
      <c r="C972" s="4">
        <f>VLOOKUP(A972, [1]Planilha1!$A$3:$B$1015,2,FALSE)</f>
        <v>6000</v>
      </c>
      <c r="D972" s="4">
        <f t="shared" si="15"/>
        <v>1.6666666666666667</v>
      </c>
      <c r="E972" s="4" t="s">
        <v>1125</v>
      </c>
      <c r="F972" s="3" t="s">
        <v>5588</v>
      </c>
      <c r="G972" s="3" t="s">
        <v>214</v>
      </c>
      <c r="H972" s="3" t="s">
        <v>44</v>
      </c>
      <c r="I972" s="3" t="s">
        <v>33</v>
      </c>
      <c r="J972" s="3" t="s">
        <v>41</v>
      </c>
      <c r="K972" s="3" t="s">
        <v>5587</v>
      </c>
      <c r="L972" s="1">
        <v>46024.562476851854</v>
      </c>
      <c r="M972" s="1">
        <v>46024.577025462961</v>
      </c>
      <c r="N972" s="1">
        <v>46024.611747685187</v>
      </c>
      <c r="O972" s="3" t="s">
        <v>43</v>
      </c>
      <c r="P972" s="3" t="s">
        <v>5591</v>
      </c>
      <c r="Q972" s="3" t="s">
        <v>42</v>
      </c>
      <c r="R972" s="3" t="s">
        <v>5590</v>
      </c>
      <c r="S972" s="3" t="s">
        <v>144</v>
      </c>
      <c r="T972" s="3" t="s">
        <v>143</v>
      </c>
      <c r="U972" s="4" t="b">
        <v>1</v>
      </c>
      <c r="V972" s="3" t="s">
        <v>31</v>
      </c>
      <c r="W972" s="1"/>
      <c r="Y972" s="3" t="s">
        <v>32</v>
      </c>
      <c r="Z972" s="3" t="s">
        <v>32</v>
      </c>
      <c r="AA972" s="3"/>
      <c r="AB972" s="3"/>
      <c r="AC972" s="4" t="s">
        <v>30</v>
      </c>
      <c r="AD972" s="3"/>
      <c r="AE972" s="3" t="s">
        <v>5591</v>
      </c>
      <c r="AF972" s="4" t="s">
        <v>30</v>
      </c>
      <c r="AH972" s="4">
        <v>1</v>
      </c>
      <c r="AI972" s="3" t="s">
        <v>5586</v>
      </c>
      <c r="AJ972" s="4" t="s">
        <v>5589</v>
      </c>
      <c r="AK972" s="4"/>
      <c r="AL972" s="3"/>
    </row>
    <row r="973" spans="1:38" x14ac:dyDescent="0.35">
      <c r="A973" s="3" t="s">
        <v>5592</v>
      </c>
      <c r="B973" s="4" t="s">
        <v>5597</v>
      </c>
      <c r="C973" s="4">
        <f>VLOOKUP(A973, [1]Planilha1!$A$3:$B$1015,2,FALSE)</f>
        <v>4076</v>
      </c>
      <c r="D973" s="4">
        <f t="shared" si="15"/>
        <v>1.1322222222222222</v>
      </c>
      <c r="E973" s="4" t="s">
        <v>1125</v>
      </c>
      <c r="F973" s="3" t="s">
        <v>5595</v>
      </c>
      <c r="G973" s="3" t="s">
        <v>100</v>
      </c>
      <c r="H973" s="3" t="s">
        <v>44</v>
      </c>
      <c r="I973" s="3" t="s">
        <v>33</v>
      </c>
      <c r="J973" s="3" t="s">
        <v>41</v>
      </c>
      <c r="K973" s="3" t="s">
        <v>5594</v>
      </c>
      <c r="L973" s="1">
        <v>46024.547627314816</v>
      </c>
      <c r="M973" s="1">
        <v>46024.583738425928</v>
      </c>
      <c r="N973" s="1">
        <v>46024.60732638889</v>
      </c>
      <c r="O973" s="3" t="s">
        <v>43</v>
      </c>
      <c r="P973" s="3" t="s">
        <v>5597</v>
      </c>
      <c r="Q973" s="3" t="s">
        <v>42</v>
      </c>
      <c r="R973" s="3" t="s">
        <v>5596</v>
      </c>
      <c r="S973" s="3" t="s">
        <v>190</v>
      </c>
      <c r="T973" s="3" t="s">
        <v>189</v>
      </c>
      <c r="U973" s="4" t="b">
        <v>1</v>
      </c>
      <c r="V973" s="3" t="s">
        <v>31</v>
      </c>
      <c r="W973" s="1"/>
      <c r="Y973" s="3" t="s">
        <v>32</v>
      </c>
      <c r="Z973" s="3" t="s">
        <v>32</v>
      </c>
      <c r="AA973" s="3"/>
      <c r="AB973" s="3"/>
      <c r="AC973" s="4" t="s">
        <v>30</v>
      </c>
      <c r="AD973" s="3"/>
      <c r="AE973" s="3" t="s">
        <v>5597</v>
      </c>
      <c r="AF973" s="4" t="s">
        <v>30</v>
      </c>
      <c r="AH973" s="4">
        <v>1</v>
      </c>
      <c r="AI973" s="3" t="s">
        <v>5593</v>
      </c>
      <c r="AJ973" s="4" t="s">
        <v>5968</v>
      </c>
      <c r="AK973" s="4"/>
      <c r="AL973" s="3"/>
    </row>
    <row r="974" spans="1:38" x14ac:dyDescent="0.35">
      <c r="A974" s="3" t="s">
        <v>5598</v>
      </c>
      <c r="B974" s="4" t="s">
        <v>5602</v>
      </c>
      <c r="C974" s="4">
        <f>VLOOKUP(A974, [1]Planilha1!$A$3:$B$1015,2,FALSE)</f>
        <v>12646</v>
      </c>
      <c r="D974" s="4">
        <f t="shared" si="15"/>
        <v>3.512777777777778</v>
      </c>
      <c r="E974" s="4" t="s">
        <v>1125</v>
      </c>
      <c r="F974" s="3" t="s">
        <v>5600</v>
      </c>
      <c r="G974" s="3" t="s">
        <v>5200</v>
      </c>
      <c r="H974" s="3" t="s">
        <v>44</v>
      </c>
      <c r="I974" s="3" t="s">
        <v>33</v>
      </c>
      <c r="J974" s="3" t="s">
        <v>41</v>
      </c>
      <c r="L974" s="1">
        <v>46024.507418981484</v>
      </c>
      <c r="M974" s="1">
        <v>46024.50980324074</v>
      </c>
      <c r="N974" s="1">
        <v>46024.582986111112</v>
      </c>
      <c r="O974" s="3" t="s">
        <v>43</v>
      </c>
      <c r="P974" s="3" t="s">
        <v>5602</v>
      </c>
      <c r="Q974" s="3" t="s">
        <v>42</v>
      </c>
      <c r="R974" s="3" t="s">
        <v>5601</v>
      </c>
      <c r="S974" s="3" t="s">
        <v>80</v>
      </c>
      <c r="T974" s="3" t="s">
        <v>79</v>
      </c>
      <c r="U974" s="4" t="b">
        <v>1</v>
      </c>
      <c r="V974" s="3" t="s">
        <v>31</v>
      </c>
      <c r="W974" s="1"/>
      <c r="Y974" s="3" t="s">
        <v>32</v>
      </c>
      <c r="Z974" s="3" t="s">
        <v>32</v>
      </c>
      <c r="AA974" s="3"/>
      <c r="AB974" s="3"/>
      <c r="AC974" s="4" t="s">
        <v>30</v>
      </c>
      <c r="AD974" s="3"/>
      <c r="AE974" s="3" t="s">
        <v>5602</v>
      </c>
      <c r="AF974" s="4" t="s">
        <v>30</v>
      </c>
      <c r="AH974" s="4">
        <v>1</v>
      </c>
      <c r="AI974" s="3" t="s">
        <v>5599</v>
      </c>
      <c r="AJ974" s="4"/>
      <c r="AK974" s="4"/>
      <c r="AL974" s="3"/>
    </row>
    <row r="975" spans="1:38" x14ac:dyDescent="0.35">
      <c r="A975" s="3" t="s">
        <v>5603</v>
      </c>
      <c r="B975" s="4" t="s">
        <v>915</v>
      </c>
      <c r="C975" s="4">
        <f>VLOOKUP(A975, [1]Planilha1!$A$3:$B$1015,2,FALSE)</f>
        <v>21296</v>
      </c>
      <c r="D975" s="4">
        <f t="shared" si="15"/>
        <v>5.9155555555555557</v>
      </c>
      <c r="E975" s="4" t="s">
        <v>1125</v>
      </c>
      <c r="F975" s="3" t="s">
        <v>912</v>
      </c>
      <c r="G975" s="3" t="s">
        <v>5604</v>
      </c>
      <c r="H975" s="3" t="s">
        <v>171</v>
      </c>
      <c r="I975" s="3" t="s">
        <v>33</v>
      </c>
      <c r="J975" s="3" t="s">
        <v>41</v>
      </c>
      <c r="K975" s="3" t="s">
        <v>5606</v>
      </c>
      <c r="L975" s="1">
        <v>46024.487476851849</v>
      </c>
      <c r="M975" s="1">
        <v>46024.487476851849</v>
      </c>
      <c r="N975" s="1">
        <v>46024.610717592594</v>
      </c>
      <c r="O975" s="3" t="s">
        <v>170</v>
      </c>
      <c r="P975" s="3" t="s">
        <v>915</v>
      </c>
      <c r="Q975" s="3" t="s">
        <v>42</v>
      </c>
      <c r="R975" s="3" t="s">
        <v>914</v>
      </c>
      <c r="S975" s="3" t="s">
        <v>37</v>
      </c>
      <c r="T975" s="3" t="s">
        <v>36</v>
      </c>
      <c r="U975" s="4" t="b">
        <v>1</v>
      </c>
      <c r="V975" s="3" t="s">
        <v>28</v>
      </c>
      <c r="W975" s="1"/>
      <c r="Y975" s="3" t="s">
        <v>29</v>
      </c>
      <c r="Z975" s="3" t="s">
        <v>29</v>
      </c>
      <c r="AA975" s="3"/>
      <c r="AB975" s="3"/>
      <c r="AC975" s="4" t="s">
        <v>30</v>
      </c>
      <c r="AD975" s="3"/>
      <c r="AE975" s="3" t="s">
        <v>915</v>
      </c>
      <c r="AF975" s="4" t="s">
        <v>30</v>
      </c>
      <c r="AH975" s="4">
        <v>1</v>
      </c>
      <c r="AI975" s="3" t="s">
        <v>5605</v>
      </c>
      <c r="AJ975" s="4" t="s">
        <v>913</v>
      </c>
      <c r="AK975" s="4"/>
      <c r="AL975" s="3"/>
    </row>
    <row r="976" spans="1:38" x14ac:dyDescent="0.35">
      <c r="A976" s="3" t="s">
        <v>5607</v>
      </c>
      <c r="B976" s="4" t="s">
        <v>5613</v>
      </c>
      <c r="C976" s="4">
        <f>VLOOKUP(A976, [1]Planilha1!$A$3:$B$1015,2,FALSE)</f>
        <v>30408</v>
      </c>
      <c r="D976" s="4">
        <f t="shared" si="15"/>
        <v>8.4466666666666672</v>
      </c>
      <c r="E976" s="4" t="s">
        <v>1125</v>
      </c>
      <c r="F976" s="3" t="s">
        <v>5610</v>
      </c>
      <c r="G976" s="3" t="s">
        <v>5608</v>
      </c>
      <c r="H976" s="3" t="s">
        <v>622</v>
      </c>
      <c r="I976" s="3" t="s">
        <v>33</v>
      </c>
      <c r="J976" s="3" t="s">
        <v>41</v>
      </c>
      <c r="L976" s="1">
        <v>46024.484756944446</v>
      </c>
      <c r="M976" s="1">
        <v>46024.484756944446</v>
      </c>
      <c r="N976" s="1">
        <v>46024.602071759262</v>
      </c>
      <c r="O976" s="3" t="s">
        <v>621</v>
      </c>
      <c r="P976" s="3" t="s">
        <v>5613</v>
      </c>
      <c r="Q976" s="3" t="s">
        <v>42</v>
      </c>
      <c r="R976" s="3" t="s">
        <v>5612</v>
      </c>
      <c r="S976" s="3" t="s">
        <v>37</v>
      </c>
      <c r="T976" s="3" t="s">
        <v>36</v>
      </c>
      <c r="U976" s="4" t="b">
        <v>1</v>
      </c>
      <c r="V976" s="3" t="s">
        <v>28</v>
      </c>
      <c r="W976" s="1"/>
      <c r="Y976" s="3" t="s">
        <v>29</v>
      </c>
      <c r="Z976" s="3" t="s">
        <v>29</v>
      </c>
      <c r="AA976" s="3"/>
      <c r="AB976" s="3"/>
      <c r="AC976" s="4" t="s">
        <v>30</v>
      </c>
      <c r="AD976" s="3"/>
      <c r="AE976" s="3" t="s">
        <v>5613</v>
      </c>
      <c r="AF976" s="4" t="s">
        <v>30</v>
      </c>
      <c r="AH976" s="4">
        <v>0</v>
      </c>
      <c r="AI976" s="3" t="s">
        <v>5609</v>
      </c>
      <c r="AJ976" s="4" t="s">
        <v>5611</v>
      </c>
      <c r="AK976" s="4"/>
      <c r="AL976" s="3"/>
    </row>
    <row r="977" spans="1:38" x14ac:dyDescent="0.35">
      <c r="A977" s="3" t="s">
        <v>5614</v>
      </c>
      <c r="B977" s="4" t="s">
        <v>5619</v>
      </c>
      <c r="C977" s="4">
        <f>VLOOKUP(A977, [1]Planilha1!$A$3:$B$1015,2,FALSE)</f>
        <v>17604</v>
      </c>
      <c r="D977" s="4">
        <f t="shared" si="15"/>
        <v>4.8899999999999997</v>
      </c>
      <c r="E977" s="4" t="s">
        <v>1125</v>
      </c>
      <c r="F977" s="3" t="s">
        <v>5616</v>
      </c>
      <c r="G977" s="3" t="s">
        <v>100</v>
      </c>
      <c r="H977" s="3" t="s">
        <v>44</v>
      </c>
      <c r="I977" s="3" t="s">
        <v>33</v>
      </c>
      <c r="J977" s="3" t="s">
        <v>41</v>
      </c>
      <c r="L977" s="1">
        <v>46024.474560185183</v>
      </c>
      <c r="M977" s="1">
        <v>46024.478148148148</v>
      </c>
      <c r="N977" s="1">
        <v>46024.580023148148</v>
      </c>
      <c r="O977" s="3" t="s">
        <v>43</v>
      </c>
      <c r="P977" s="3" t="s">
        <v>5619</v>
      </c>
      <c r="Q977" s="3" t="s">
        <v>42</v>
      </c>
      <c r="R977" s="3" t="s">
        <v>5618</v>
      </c>
      <c r="S977" s="3" t="s">
        <v>190</v>
      </c>
      <c r="T977" s="3" t="s">
        <v>189</v>
      </c>
      <c r="U977" s="4" t="b">
        <v>1</v>
      </c>
      <c r="V977" s="3" t="s">
        <v>31</v>
      </c>
      <c r="W977" s="1"/>
      <c r="Y977" s="3" t="s">
        <v>32</v>
      </c>
      <c r="Z977" s="3" t="s">
        <v>32</v>
      </c>
      <c r="AA977" s="3"/>
      <c r="AB977" s="3"/>
      <c r="AC977" s="4" t="s">
        <v>30</v>
      </c>
      <c r="AD977" s="3"/>
      <c r="AE977" s="3" t="s">
        <v>5619</v>
      </c>
      <c r="AF977" s="4" t="s">
        <v>30</v>
      </c>
      <c r="AH977" s="4">
        <v>1</v>
      </c>
      <c r="AI977" s="3" t="s">
        <v>5615</v>
      </c>
      <c r="AJ977" s="4" t="s">
        <v>5617</v>
      </c>
      <c r="AK977" s="4"/>
      <c r="AL977" s="3"/>
    </row>
    <row r="978" spans="1:38" x14ac:dyDescent="0.35">
      <c r="A978" s="3" t="s">
        <v>5620</v>
      </c>
      <c r="B978" s="4" t="s">
        <v>406</v>
      </c>
      <c r="C978" s="4">
        <f>VLOOKUP(A978, [1]Planilha1!$A$3:$B$1015,2,FALSE)</f>
        <v>29538</v>
      </c>
      <c r="D978" s="4">
        <f t="shared" si="15"/>
        <v>8.2050000000000001</v>
      </c>
      <c r="E978" s="4" t="s">
        <v>1125</v>
      </c>
      <c r="F978" s="3" t="s">
        <v>403</v>
      </c>
      <c r="G978" s="3" t="s">
        <v>44</v>
      </c>
      <c r="H978" s="3" t="s">
        <v>44</v>
      </c>
      <c r="I978" s="3" t="s">
        <v>33</v>
      </c>
      <c r="J978" s="3" t="s">
        <v>41</v>
      </c>
      <c r="L978" s="1">
        <v>46024.409826388888</v>
      </c>
      <c r="M978" s="1">
        <v>46024.409826388888</v>
      </c>
      <c r="N978" s="1">
        <v>46024.57849537037</v>
      </c>
      <c r="O978" s="3" t="s">
        <v>43</v>
      </c>
      <c r="P978" s="3" t="s">
        <v>406</v>
      </c>
      <c r="Q978" s="3" t="s">
        <v>42</v>
      </c>
      <c r="R978" s="3" t="s">
        <v>405</v>
      </c>
      <c r="S978" s="3" t="s">
        <v>37</v>
      </c>
      <c r="T978" s="3" t="s">
        <v>36</v>
      </c>
      <c r="U978" s="4" t="b">
        <v>1</v>
      </c>
      <c r="V978" s="3" t="s">
        <v>28</v>
      </c>
      <c r="W978" s="1"/>
      <c r="Y978" s="3" t="s">
        <v>29</v>
      </c>
      <c r="Z978" s="3" t="s">
        <v>29</v>
      </c>
      <c r="AA978" s="3"/>
      <c r="AB978" s="3"/>
      <c r="AC978" s="4" t="s">
        <v>30</v>
      </c>
      <c r="AD978" s="3"/>
      <c r="AE978" s="3" t="s">
        <v>406</v>
      </c>
      <c r="AF978" s="4" t="s">
        <v>30</v>
      </c>
      <c r="AH978" s="4">
        <v>2</v>
      </c>
      <c r="AI978" s="3" t="s">
        <v>5621</v>
      </c>
      <c r="AJ978" s="4" t="s">
        <v>404</v>
      </c>
      <c r="AK978" s="4"/>
      <c r="AL978" s="3"/>
    </row>
    <row r="979" spans="1:38" x14ac:dyDescent="0.35">
      <c r="A979" s="3" t="s">
        <v>5622</v>
      </c>
      <c r="B979" s="4" t="s">
        <v>5628</v>
      </c>
      <c r="C979" s="4">
        <f>VLOOKUP(A979, [1]Planilha1!$A$3:$B$1015,2,FALSE)</f>
        <v>28482</v>
      </c>
      <c r="D979" s="4">
        <f t="shared" si="15"/>
        <v>7.9116666666666671</v>
      </c>
      <c r="E979" s="4" t="s">
        <v>1125</v>
      </c>
      <c r="F979" s="3" t="s">
        <v>5625</v>
      </c>
      <c r="G979" s="3" t="s">
        <v>214</v>
      </c>
      <c r="H979" s="3" t="s">
        <v>44</v>
      </c>
      <c r="I979" s="3" t="s">
        <v>33</v>
      </c>
      <c r="J979" s="3" t="s">
        <v>41</v>
      </c>
      <c r="K979" s="3" t="s">
        <v>5624</v>
      </c>
      <c r="L979" s="1">
        <v>46024.404594907406</v>
      </c>
      <c r="M979" s="1">
        <v>46024.414490740739</v>
      </c>
      <c r="N979" s="1">
        <v>46024.579328703701</v>
      </c>
      <c r="O979" s="3" t="s">
        <v>43</v>
      </c>
      <c r="P979" s="3" t="s">
        <v>5628</v>
      </c>
      <c r="Q979" s="3" t="s">
        <v>42</v>
      </c>
      <c r="R979" s="3" t="s">
        <v>5627</v>
      </c>
      <c r="S979" s="3" t="s">
        <v>144</v>
      </c>
      <c r="T979" s="3" t="s">
        <v>143</v>
      </c>
      <c r="U979" s="4" t="b">
        <v>1</v>
      </c>
      <c r="V979" s="3" t="s">
        <v>31</v>
      </c>
      <c r="W979" s="1"/>
      <c r="Y979" s="3" t="s">
        <v>32</v>
      </c>
      <c r="Z979" s="3" t="s">
        <v>32</v>
      </c>
      <c r="AA979" s="3"/>
      <c r="AB979" s="3"/>
      <c r="AC979" s="4" t="s">
        <v>30</v>
      </c>
      <c r="AD979" s="3"/>
      <c r="AE979" s="3" t="s">
        <v>5628</v>
      </c>
      <c r="AF979" s="4" t="s">
        <v>30</v>
      </c>
      <c r="AH979" s="4">
        <v>1</v>
      </c>
      <c r="AI979" s="3" t="s">
        <v>5623</v>
      </c>
      <c r="AJ979" s="4" t="s">
        <v>5626</v>
      </c>
      <c r="AK979" s="4"/>
      <c r="AL979" s="3"/>
    </row>
    <row r="980" spans="1:38" x14ac:dyDescent="0.35">
      <c r="A980" s="3" t="s">
        <v>5629</v>
      </c>
      <c r="B980" s="4" t="s">
        <v>5634</v>
      </c>
      <c r="C980" s="4">
        <f>VLOOKUP(A980, [1]Planilha1!$A$3:$B$1015,2,FALSE)</f>
        <v>5900</v>
      </c>
      <c r="D980" s="4">
        <f t="shared" si="15"/>
        <v>1.6388888888888888</v>
      </c>
      <c r="E980" s="4" t="s">
        <v>1125</v>
      </c>
      <c r="F980" s="3" t="s">
        <v>5632</v>
      </c>
      <c r="G980" s="3" t="s">
        <v>5630</v>
      </c>
      <c r="H980" s="3" t="s">
        <v>428</v>
      </c>
      <c r="I980" s="3" t="s">
        <v>33</v>
      </c>
      <c r="J980" s="3" t="s">
        <v>41</v>
      </c>
      <c r="K980" s="3" t="s">
        <v>818</v>
      </c>
      <c r="L980" s="1">
        <v>46024.385682870372</v>
      </c>
      <c r="M980" s="1">
        <v>46024.388055555559</v>
      </c>
      <c r="N980" s="1">
        <v>46028.71434027778</v>
      </c>
      <c r="O980" s="3" t="s">
        <v>427</v>
      </c>
      <c r="P980" s="3" t="s">
        <v>5634</v>
      </c>
      <c r="Q980" s="3" t="s">
        <v>42</v>
      </c>
      <c r="R980" s="3" t="s">
        <v>5633</v>
      </c>
      <c r="S980" s="3" t="s">
        <v>91</v>
      </c>
      <c r="T980" s="3" t="s">
        <v>90</v>
      </c>
      <c r="U980" s="4" t="b">
        <v>1</v>
      </c>
      <c r="V980" s="3" t="s">
        <v>31</v>
      </c>
      <c r="W980" s="1"/>
      <c r="Y980" s="3" t="s">
        <v>32</v>
      </c>
      <c r="Z980" s="3" t="s">
        <v>32</v>
      </c>
      <c r="AA980" s="3"/>
      <c r="AB980" s="3"/>
      <c r="AC980" s="4" t="s">
        <v>30</v>
      </c>
      <c r="AD980" s="3"/>
      <c r="AE980" s="3" t="s">
        <v>5634</v>
      </c>
      <c r="AF980" s="4" t="s">
        <v>30</v>
      </c>
      <c r="AH980" s="4">
        <v>0</v>
      </c>
      <c r="AI980" s="3" t="s">
        <v>5631</v>
      </c>
      <c r="AJ980" s="4" t="s">
        <v>5969</v>
      </c>
      <c r="AK980" s="4"/>
      <c r="AL980" s="3"/>
    </row>
    <row r="981" spans="1:38" x14ac:dyDescent="0.35">
      <c r="A981" s="3" t="s">
        <v>5635</v>
      </c>
      <c r="B981" s="4" t="s">
        <v>94</v>
      </c>
      <c r="C981" s="4">
        <f>VLOOKUP(A981, [1]Planilha1!$A$3:$B$1015,2,FALSE)</f>
        <v>0</v>
      </c>
      <c r="D981" s="4">
        <f t="shared" si="15"/>
        <v>0</v>
      </c>
      <c r="E981" s="4" t="s">
        <v>1125</v>
      </c>
      <c r="F981" s="3" t="s">
        <v>92</v>
      </c>
      <c r="G981" s="3" t="s">
        <v>5636</v>
      </c>
      <c r="H981" s="3" t="s">
        <v>148</v>
      </c>
      <c r="I981" s="3" t="s">
        <v>33</v>
      </c>
      <c r="J981" s="3" t="s">
        <v>60</v>
      </c>
      <c r="L981" s="1">
        <v>46024.380555555559</v>
      </c>
      <c r="M981" s="1">
        <v>46024.3825</v>
      </c>
      <c r="N981" s="1">
        <v>46027.416666666664</v>
      </c>
      <c r="O981" s="3" t="s">
        <v>147</v>
      </c>
      <c r="P981" s="3" t="s">
        <v>94</v>
      </c>
      <c r="Q981" s="3" t="s">
        <v>42</v>
      </c>
      <c r="R981" s="3" t="s">
        <v>93</v>
      </c>
      <c r="S981" s="3" t="s">
        <v>708</v>
      </c>
      <c r="T981" s="3" t="s">
        <v>707</v>
      </c>
      <c r="U981" s="4" t="b">
        <v>1</v>
      </c>
      <c r="V981" s="3" t="s">
        <v>31</v>
      </c>
      <c r="W981" s="1"/>
      <c r="Y981" s="3" t="s">
        <v>32</v>
      </c>
      <c r="Z981" s="3" t="s">
        <v>32</v>
      </c>
      <c r="AA981" s="3"/>
      <c r="AB981" s="3"/>
      <c r="AC981" s="4" t="s">
        <v>30</v>
      </c>
      <c r="AD981" s="3"/>
      <c r="AE981" s="3" t="s">
        <v>94</v>
      </c>
      <c r="AF981" s="4" t="s">
        <v>30</v>
      </c>
      <c r="AH981" s="4">
        <v>0</v>
      </c>
      <c r="AI981" s="3" t="s">
        <v>5637</v>
      </c>
      <c r="AJ981" s="4"/>
      <c r="AK981" s="4"/>
      <c r="AL981" s="3"/>
    </row>
    <row r="982" spans="1:38" x14ac:dyDescent="0.35">
      <c r="A982" s="3" t="s">
        <v>5638</v>
      </c>
      <c r="B982" s="4" t="s">
        <v>4293</v>
      </c>
      <c r="C982" s="4">
        <f>VLOOKUP(A982, [1]Planilha1!$A$3:$B$1015,2,FALSE)</f>
        <v>22479</v>
      </c>
      <c r="D982" s="4">
        <f t="shared" si="15"/>
        <v>6.2441666666666666</v>
      </c>
      <c r="E982" s="4" t="s">
        <v>1125</v>
      </c>
      <c r="F982" s="3" t="s">
        <v>4291</v>
      </c>
      <c r="G982" s="3" t="s">
        <v>5639</v>
      </c>
      <c r="H982" s="3" t="s">
        <v>112</v>
      </c>
      <c r="I982" s="3" t="s">
        <v>33</v>
      </c>
      <c r="J982" s="3" t="s">
        <v>41</v>
      </c>
      <c r="K982" s="3" t="s">
        <v>5641</v>
      </c>
      <c r="L982" s="1">
        <v>46022.464131944442</v>
      </c>
      <c r="M982" s="1">
        <v>46022.464131944442</v>
      </c>
      <c r="N982" s="1">
        <v>46027.617025462961</v>
      </c>
      <c r="O982" s="3" t="s">
        <v>111</v>
      </c>
      <c r="P982" s="3" t="s">
        <v>4293</v>
      </c>
      <c r="Q982" s="3" t="s">
        <v>42</v>
      </c>
      <c r="R982" s="3" t="s">
        <v>4292</v>
      </c>
      <c r="S982" s="3" t="s">
        <v>37</v>
      </c>
      <c r="T982" s="3" t="s">
        <v>36</v>
      </c>
      <c r="U982" s="4" t="b">
        <v>1</v>
      </c>
      <c r="V982" s="3" t="s">
        <v>28</v>
      </c>
      <c r="W982" s="1"/>
      <c r="Y982" s="3" t="s">
        <v>29</v>
      </c>
      <c r="Z982" s="3" t="s">
        <v>29</v>
      </c>
      <c r="AA982" s="3"/>
      <c r="AB982" s="3"/>
      <c r="AC982" s="4" t="s">
        <v>30</v>
      </c>
      <c r="AD982" s="3"/>
      <c r="AE982" s="3" t="s">
        <v>4293</v>
      </c>
      <c r="AF982" s="4" t="s">
        <v>30</v>
      </c>
      <c r="AH982" s="4">
        <v>1</v>
      </c>
      <c r="AI982" s="3" t="s">
        <v>5640</v>
      </c>
      <c r="AJ982" s="4">
        <v>2891139</v>
      </c>
      <c r="AK982" s="4"/>
      <c r="AL982" s="3"/>
    </row>
    <row r="983" spans="1:38" x14ac:dyDescent="0.35">
      <c r="A983" s="3" t="s">
        <v>5642</v>
      </c>
      <c r="B983" s="4" t="s">
        <v>5648</v>
      </c>
      <c r="C983" s="4">
        <f>VLOOKUP(A983, [1]Planilha1!$A$3:$B$1015,2,FALSE)</f>
        <v>3629</v>
      </c>
      <c r="D983" s="4">
        <f t="shared" si="15"/>
        <v>1.0080555555555555</v>
      </c>
      <c r="E983" s="4" t="s">
        <v>1125</v>
      </c>
      <c r="F983" s="3" t="s">
        <v>5645</v>
      </c>
      <c r="G983" s="3" t="s">
        <v>5643</v>
      </c>
      <c r="H983" s="3" t="s">
        <v>138</v>
      </c>
      <c r="I983" s="3" t="s">
        <v>33</v>
      </c>
      <c r="J983" s="3" t="s">
        <v>41</v>
      </c>
      <c r="L983" s="1">
        <v>46022.351238425923</v>
      </c>
      <c r="M983" s="1">
        <v>46022.351238425923</v>
      </c>
      <c r="N983" s="1">
        <v>46024.333668981482</v>
      </c>
      <c r="O983" s="3" t="s">
        <v>137</v>
      </c>
      <c r="P983" s="3" t="s">
        <v>5648</v>
      </c>
      <c r="Q983" s="3" t="s">
        <v>42</v>
      </c>
      <c r="R983" s="3" t="s">
        <v>5647</v>
      </c>
      <c r="S983" s="3" t="s">
        <v>37</v>
      </c>
      <c r="T983" s="3" t="s">
        <v>36</v>
      </c>
      <c r="U983" s="4" t="b">
        <v>1</v>
      </c>
      <c r="V983" s="3" t="s">
        <v>28</v>
      </c>
      <c r="W983" s="1"/>
      <c r="Y983" s="3" t="s">
        <v>29</v>
      </c>
      <c r="Z983" s="3" t="s">
        <v>29</v>
      </c>
      <c r="AA983" s="3"/>
      <c r="AB983" s="3"/>
      <c r="AC983" s="4" t="s">
        <v>30</v>
      </c>
      <c r="AD983" s="3"/>
      <c r="AE983" s="3" t="s">
        <v>5648</v>
      </c>
      <c r="AF983" s="4" t="s">
        <v>30</v>
      </c>
      <c r="AH983" s="4">
        <v>0</v>
      </c>
      <c r="AI983" s="3" t="s">
        <v>5644</v>
      </c>
      <c r="AJ983" s="4" t="s">
        <v>5646</v>
      </c>
      <c r="AK983" s="4"/>
      <c r="AL983" s="3"/>
    </row>
    <row r="984" spans="1:38" x14ac:dyDescent="0.35">
      <c r="A984" s="3" t="s">
        <v>5650</v>
      </c>
      <c r="B984" s="4" t="s">
        <v>5654</v>
      </c>
      <c r="C984" s="4">
        <f>VLOOKUP(A984, [1]Planilha1!$A$3:$B$1015,2,FALSE)</f>
        <v>11064</v>
      </c>
      <c r="D984" s="4">
        <f t="shared" si="15"/>
        <v>3.0733333333333333</v>
      </c>
      <c r="E984" s="4" t="s">
        <v>1125</v>
      </c>
      <c r="F984" s="3" t="s">
        <v>5652</v>
      </c>
      <c r="G984" s="3" t="s">
        <v>4295</v>
      </c>
      <c r="H984" s="3" t="s">
        <v>44</v>
      </c>
      <c r="I984" s="3" t="s">
        <v>33</v>
      </c>
      <c r="J984" s="3" t="s">
        <v>41</v>
      </c>
      <c r="L984" s="1">
        <v>46021.684351851851</v>
      </c>
      <c r="M984" s="1">
        <v>46021.685972222222</v>
      </c>
      <c r="N984" s="1">
        <v>46024.331574074073</v>
      </c>
      <c r="O984" s="3" t="s">
        <v>43</v>
      </c>
      <c r="P984" s="3" t="s">
        <v>5654</v>
      </c>
      <c r="Q984" s="3" t="s">
        <v>42</v>
      </c>
      <c r="R984" s="3" t="s">
        <v>5653</v>
      </c>
      <c r="S984" s="3" t="s">
        <v>62</v>
      </c>
      <c r="T984" s="3" t="s">
        <v>61</v>
      </c>
      <c r="U984" s="4" t="b">
        <v>0</v>
      </c>
      <c r="V984" s="3" t="s">
        <v>31</v>
      </c>
      <c r="W984" s="1"/>
      <c r="Y984" s="3" t="s">
        <v>32</v>
      </c>
      <c r="Z984" s="3" t="s">
        <v>32</v>
      </c>
      <c r="AA984" s="3"/>
      <c r="AB984" s="3"/>
      <c r="AC984" s="4" t="s">
        <v>30</v>
      </c>
      <c r="AD984" s="3"/>
      <c r="AE984" s="3" t="s">
        <v>5654</v>
      </c>
      <c r="AF984" s="4" t="s">
        <v>30</v>
      </c>
      <c r="AH984" s="4">
        <v>1</v>
      </c>
      <c r="AI984" s="3" t="s">
        <v>5651</v>
      </c>
      <c r="AJ984" s="4" t="s">
        <v>5970</v>
      </c>
      <c r="AK984" s="4"/>
      <c r="AL984" s="3"/>
    </row>
    <row r="985" spans="1:38" x14ac:dyDescent="0.35">
      <c r="A985" s="3" t="s">
        <v>5649</v>
      </c>
      <c r="B985" s="4" t="s">
        <v>58</v>
      </c>
      <c r="C985" s="4">
        <f>VLOOKUP(A985, [1]Planilha1!$A$3:$B$1015,2,FALSE)</f>
        <v>90691</v>
      </c>
      <c r="D985" s="4">
        <f t="shared" si="15"/>
        <v>25.191944444444445</v>
      </c>
      <c r="E985" s="4" t="s">
        <v>1125</v>
      </c>
      <c r="F985" s="3" t="s">
        <v>54</v>
      </c>
      <c r="G985" s="3" t="s">
        <v>5655</v>
      </c>
      <c r="H985" s="3" t="s">
        <v>4370</v>
      </c>
      <c r="I985" s="3" t="s">
        <v>33</v>
      </c>
      <c r="J985" s="3" t="s">
        <v>152</v>
      </c>
      <c r="K985" s="3" t="s">
        <v>5657</v>
      </c>
      <c r="L985" s="1">
        <v>46021.608599537038</v>
      </c>
      <c r="M985" s="1">
        <v>46021.613240740742</v>
      </c>
      <c r="N985" s="1">
        <v>46045.694988425923</v>
      </c>
      <c r="O985" s="3" t="s">
        <v>4369</v>
      </c>
      <c r="P985" s="3" t="s">
        <v>57</v>
      </c>
      <c r="Q985" s="3" t="s">
        <v>52</v>
      </c>
      <c r="R985" s="3" t="s">
        <v>56</v>
      </c>
      <c r="S985" s="3" t="s">
        <v>1331</v>
      </c>
      <c r="T985" s="3" t="s">
        <v>1330</v>
      </c>
      <c r="U985" s="4" t="b">
        <v>0</v>
      </c>
      <c r="V985" s="3" t="s">
        <v>31</v>
      </c>
      <c r="W985" s="1"/>
      <c r="Y985" s="3" t="s">
        <v>32</v>
      </c>
      <c r="Z985" s="3" t="s">
        <v>32</v>
      </c>
      <c r="AA985" s="3" t="s">
        <v>196</v>
      </c>
      <c r="AB985" s="3" t="s">
        <v>58</v>
      </c>
      <c r="AC985" s="4" t="s">
        <v>30</v>
      </c>
      <c r="AD985" s="3" t="s">
        <v>59</v>
      </c>
      <c r="AE985" s="3" t="s">
        <v>57</v>
      </c>
      <c r="AF985" s="4" t="s">
        <v>30</v>
      </c>
      <c r="AH985" s="4">
        <v>13</v>
      </c>
      <c r="AI985" s="3" t="s">
        <v>5656</v>
      </c>
      <c r="AJ985" s="4" t="s">
        <v>55</v>
      </c>
      <c r="AK985" s="4" t="s">
        <v>197</v>
      </c>
      <c r="AL985" s="3"/>
    </row>
    <row r="986" spans="1:38" x14ac:dyDescent="0.35">
      <c r="A986" s="3" t="s">
        <v>5658</v>
      </c>
      <c r="B986" s="4" t="s">
        <v>58</v>
      </c>
      <c r="C986" s="4">
        <f>VLOOKUP(A986, [1]Planilha1!$A$3:$B$1015,2,FALSE)</f>
        <v>12788</v>
      </c>
      <c r="D986" s="4">
        <f t="shared" si="15"/>
        <v>3.5522222222222224</v>
      </c>
      <c r="E986" s="4" t="s">
        <v>1125</v>
      </c>
      <c r="F986" s="3" t="s">
        <v>54</v>
      </c>
      <c r="G986" s="3" t="s">
        <v>5659</v>
      </c>
      <c r="H986" s="3" t="s">
        <v>2411</v>
      </c>
      <c r="I986" s="3" t="s">
        <v>33</v>
      </c>
      <c r="J986" s="3" t="s">
        <v>152</v>
      </c>
      <c r="K986" s="3" t="s">
        <v>5661</v>
      </c>
      <c r="L986" s="1">
        <v>46021.52039351852</v>
      </c>
      <c r="M986" s="1">
        <v>46021.526342592595</v>
      </c>
      <c r="N986" s="1">
        <v>46024.410844907405</v>
      </c>
      <c r="O986" s="3" t="s">
        <v>2527</v>
      </c>
      <c r="P986" s="3" t="s">
        <v>57</v>
      </c>
      <c r="Q986" s="3" t="s">
        <v>52</v>
      </c>
      <c r="R986" s="3" t="s">
        <v>56</v>
      </c>
      <c r="S986" s="3" t="s">
        <v>1331</v>
      </c>
      <c r="T986" s="3" t="s">
        <v>1330</v>
      </c>
      <c r="U986" s="4" t="b">
        <v>0</v>
      </c>
      <c r="V986" s="3" t="s">
        <v>31</v>
      </c>
      <c r="W986" s="1"/>
      <c r="Y986" s="3" t="s">
        <v>32</v>
      </c>
      <c r="Z986" s="3" t="s">
        <v>32</v>
      </c>
      <c r="AA986" s="3" t="s">
        <v>5662</v>
      </c>
      <c r="AB986" s="3" t="s">
        <v>58</v>
      </c>
      <c r="AC986" s="4" t="s">
        <v>30</v>
      </c>
      <c r="AD986" s="3" t="s">
        <v>59</v>
      </c>
      <c r="AE986" s="3" t="s">
        <v>57</v>
      </c>
      <c r="AF986" s="4" t="s">
        <v>30</v>
      </c>
      <c r="AH986" s="4">
        <v>2</v>
      </c>
      <c r="AI986" s="3" t="s">
        <v>5660</v>
      </c>
      <c r="AJ986" s="4" t="s">
        <v>55</v>
      </c>
      <c r="AK986" s="4" t="s">
        <v>5663</v>
      </c>
      <c r="AL986" s="3"/>
    </row>
    <row r="987" spans="1:38" x14ac:dyDescent="0.35">
      <c r="A987" s="3" t="s">
        <v>5664</v>
      </c>
      <c r="B987" s="4" t="s">
        <v>5669</v>
      </c>
      <c r="C987" s="4">
        <f>VLOOKUP(A987, [1]Planilha1!$A$3:$B$1015,2,FALSE)</f>
        <v>0</v>
      </c>
      <c r="D987" s="4">
        <f t="shared" si="15"/>
        <v>0</v>
      </c>
      <c r="E987" s="4" t="s">
        <v>1125</v>
      </c>
      <c r="F987" s="3" t="s">
        <v>5666</v>
      </c>
      <c r="G987" s="3" t="s">
        <v>44</v>
      </c>
      <c r="H987" s="3" t="s">
        <v>44</v>
      </c>
      <c r="I987" s="3" t="s">
        <v>33</v>
      </c>
      <c r="J987" s="3" t="s">
        <v>60</v>
      </c>
      <c r="L987" s="1">
        <v>46021.449872685182</v>
      </c>
      <c r="M987" s="1">
        <v>46021.470046296294</v>
      </c>
      <c r="N987" s="1">
        <v>46024.500011574077</v>
      </c>
      <c r="O987" s="3" t="s">
        <v>43</v>
      </c>
      <c r="P987" s="3" t="s">
        <v>5669</v>
      </c>
      <c r="Q987" s="3" t="s">
        <v>35</v>
      </c>
      <c r="R987" s="3" t="s">
        <v>5668</v>
      </c>
      <c r="S987" s="3" t="s">
        <v>62</v>
      </c>
      <c r="T987" s="3" t="s">
        <v>61</v>
      </c>
      <c r="U987" s="4" t="b">
        <v>1</v>
      </c>
      <c r="V987" s="3" t="s">
        <v>31</v>
      </c>
      <c r="W987" s="1"/>
      <c r="Y987" s="3" t="s">
        <v>32</v>
      </c>
      <c r="Z987" s="3" t="s">
        <v>32</v>
      </c>
      <c r="AA987" s="3"/>
      <c r="AB987" s="3"/>
      <c r="AC987" s="4" t="s">
        <v>30</v>
      </c>
      <c r="AD987" s="3"/>
      <c r="AE987" s="3" t="s">
        <v>5669</v>
      </c>
      <c r="AF987" s="4" t="s">
        <v>30</v>
      </c>
      <c r="AH987" s="4">
        <v>0</v>
      </c>
      <c r="AI987" s="3" t="s">
        <v>5665</v>
      </c>
      <c r="AJ987" s="4" t="s">
        <v>5667</v>
      </c>
      <c r="AK987" s="4"/>
      <c r="AL987" s="3"/>
    </row>
    <row r="988" spans="1:38" x14ac:dyDescent="0.35">
      <c r="A988" s="3" t="s">
        <v>5670</v>
      </c>
      <c r="B988" s="4" t="s">
        <v>5676</v>
      </c>
      <c r="C988" s="4">
        <f>VLOOKUP(A988, [1]Planilha1!$A$3:$B$1015,2,FALSE)</f>
        <v>564</v>
      </c>
      <c r="D988" s="4">
        <f t="shared" si="15"/>
        <v>0.15666666666666668</v>
      </c>
      <c r="E988" s="4" t="s">
        <v>1125</v>
      </c>
      <c r="F988" s="3" t="s">
        <v>5673</v>
      </c>
      <c r="G988" s="3" t="s">
        <v>5671</v>
      </c>
      <c r="H988" s="3" t="s">
        <v>44</v>
      </c>
      <c r="I988" s="3" t="s">
        <v>33</v>
      </c>
      <c r="J988" s="3" t="s">
        <v>60</v>
      </c>
      <c r="L988" s="1">
        <v>46021.368796296294</v>
      </c>
      <c r="M988" s="1">
        <v>46021.368796296294</v>
      </c>
      <c r="N988" s="1">
        <v>46024.416666666664</v>
      </c>
      <c r="O988" s="3" t="s">
        <v>43</v>
      </c>
      <c r="P988" s="3" t="s">
        <v>5676</v>
      </c>
      <c r="Q988" s="3" t="s">
        <v>35</v>
      </c>
      <c r="R988" s="3" t="s">
        <v>5675</v>
      </c>
      <c r="S988" s="3" t="s">
        <v>37</v>
      </c>
      <c r="T988" s="3" t="s">
        <v>36</v>
      </c>
      <c r="U988" s="4" t="b">
        <v>1</v>
      </c>
      <c r="V988" s="3" t="s">
        <v>28</v>
      </c>
      <c r="W988" s="1"/>
      <c r="Y988" s="3" t="s">
        <v>29</v>
      </c>
      <c r="Z988" s="3" t="s">
        <v>29</v>
      </c>
      <c r="AA988" s="3"/>
      <c r="AB988" s="3"/>
      <c r="AC988" s="4" t="s">
        <v>30</v>
      </c>
      <c r="AD988" s="3"/>
      <c r="AE988" s="3" t="s">
        <v>5676</v>
      </c>
      <c r="AF988" s="4" t="s">
        <v>30</v>
      </c>
      <c r="AH988" s="4">
        <v>0</v>
      </c>
      <c r="AI988" s="3" t="s">
        <v>5672</v>
      </c>
      <c r="AJ988" s="4" t="s">
        <v>5674</v>
      </c>
      <c r="AK988" s="4"/>
      <c r="AL988" s="3"/>
    </row>
    <row r="989" spans="1:38" x14ac:dyDescent="0.35">
      <c r="A989" s="3" t="s">
        <v>5677</v>
      </c>
      <c r="B989" s="4" t="s">
        <v>5681</v>
      </c>
      <c r="C989" s="4">
        <f>VLOOKUP(A989, [1]Planilha1!$A$3:$B$1015,2,FALSE)</f>
        <v>10044</v>
      </c>
      <c r="D989" s="4">
        <f t="shared" si="15"/>
        <v>2.79</v>
      </c>
      <c r="E989" s="4" t="s">
        <v>1125</v>
      </c>
      <c r="F989" s="3" t="s">
        <v>5679</v>
      </c>
      <c r="G989" s="3" t="s">
        <v>44</v>
      </c>
      <c r="H989" s="3" t="s">
        <v>44</v>
      </c>
      <c r="I989" s="3" t="s">
        <v>33</v>
      </c>
      <c r="J989" s="3" t="s">
        <v>41</v>
      </c>
      <c r="K989" s="3" t="s">
        <v>818</v>
      </c>
      <c r="L989" s="1">
        <v>46020.700243055559</v>
      </c>
      <c r="M989" s="1">
        <v>46020.712164351855</v>
      </c>
      <c r="N989" s="1">
        <v>46024.416666666664</v>
      </c>
      <c r="O989" s="3" t="s">
        <v>43</v>
      </c>
      <c r="P989" s="3" t="s">
        <v>5681</v>
      </c>
      <c r="Q989" s="3" t="s">
        <v>35</v>
      </c>
      <c r="R989" s="3" t="s">
        <v>5680</v>
      </c>
      <c r="S989" s="3" t="s">
        <v>62</v>
      </c>
      <c r="T989" s="3" t="s">
        <v>61</v>
      </c>
      <c r="U989" s="4" t="b">
        <v>1</v>
      </c>
      <c r="V989" s="3" t="s">
        <v>31</v>
      </c>
      <c r="W989" s="1"/>
      <c r="Y989" s="3" t="s">
        <v>32</v>
      </c>
      <c r="Z989" s="3" t="s">
        <v>32</v>
      </c>
      <c r="AA989" s="3"/>
      <c r="AB989" s="3"/>
      <c r="AC989" s="4" t="s">
        <v>30</v>
      </c>
      <c r="AD989" s="3"/>
      <c r="AE989" s="3" t="s">
        <v>5681</v>
      </c>
      <c r="AF989" s="4" t="s">
        <v>30</v>
      </c>
      <c r="AH989" s="4">
        <v>2</v>
      </c>
      <c r="AI989" s="3" t="s">
        <v>5678</v>
      </c>
      <c r="AJ989" s="4" t="s">
        <v>5971</v>
      </c>
      <c r="AK989" s="4"/>
      <c r="AL989" s="3"/>
    </row>
    <row r="990" spans="1:38" x14ac:dyDescent="0.35">
      <c r="A990" s="3" t="s">
        <v>5682</v>
      </c>
      <c r="B990" s="4" t="s">
        <v>5688</v>
      </c>
      <c r="C990" s="4">
        <f>VLOOKUP(A990, [1]Planilha1!$A$3:$B$1015,2,FALSE)</f>
        <v>1698</v>
      </c>
      <c r="D990" s="4">
        <f t="shared" si="15"/>
        <v>0.47166666666666668</v>
      </c>
      <c r="E990" s="4" t="s">
        <v>1125</v>
      </c>
      <c r="F990" s="3" t="s">
        <v>5686</v>
      </c>
      <c r="G990" s="3" t="s">
        <v>5683</v>
      </c>
      <c r="H990" s="3" t="s">
        <v>112</v>
      </c>
      <c r="I990" s="3" t="s">
        <v>33</v>
      </c>
      <c r="J990" s="3" t="s">
        <v>41</v>
      </c>
      <c r="K990" s="3" t="s">
        <v>5685</v>
      </c>
      <c r="L990" s="1">
        <v>46020.672314814816</v>
      </c>
      <c r="M990" s="1">
        <v>46020.672314814816</v>
      </c>
      <c r="N990" s="1">
        <v>46027.61515046296</v>
      </c>
      <c r="O990" s="3" t="s">
        <v>111</v>
      </c>
      <c r="P990" s="3" t="s">
        <v>5688</v>
      </c>
      <c r="Q990" s="3" t="s">
        <v>42</v>
      </c>
      <c r="R990" s="3" t="s">
        <v>5687</v>
      </c>
      <c r="S990" s="3" t="s">
        <v>37</v>
      </c>
      <c r="T990" s="3" t="s">
        <v>36</v>
      </c>
      <c r="U990" s="4" t="b">
        <v>1</v>
      </c>
      <c r="V990" s="3" t="s">
        <v>28</v>
      </c>
      <c r="W990" s="1"/>
      <c r="Y990" s="3" t="s">
        <v>29</v>
      </c>
      <c r="Z990" s="3" t="s">
        <v>29</v>
      </c>
      <c r="AA990" s="3"/>
      <c r="AB990" s="3"/>
      <c r="AC990" s="4" t="s">
        <v>30</v>
      </c>
      <c r="AD990" s="3"/>
      <c r="AE990" s="3" t="s">
        <v>5688</v>
      </c>
      <c r="AF990" s="4" t="s">
        <v>30</v>
      </c>
      <c r="AH990" s="4">
        <v>0</v>
      </c>
      <c r="AI990" s="3" t="s">
        <v>5684</v>
      </c>
      <c r="AJ990" s="4"/>
      <c r="AK990" s="4"/>
      <c r="AL990" s="3"/>
    </row>
    <row r="991" spans="1:38" x14ac:dyDescent="0.35">
      <c r="A991" s="3" t="s">
        <v>5693</v>
      </c>
      <c r="B991" s="4" t="s">
        <v>5692</v>
      </c>
      <c r="C991" s="4">
        <f>VLOOKUP(A991, [1]Planilha1!$A$3:$B$1015,2,FALSE)</f>
        <v>30066</v>
      </c>
      <c r="D991" s="4">
        <f t="shared" si="15"/>
        <v>8.3516666666666666</v>
      </c>
      <c r="E991" s="4" t="s">
        <v>1125</v>
      </c>
      <c r="F991" s="3" t="s">
        <v>5689</v>
      </c>
      <c r="G991" s="3" t="s">
        <v>5694</v>
      </c>
      <c r="H991" s="3" t="s">
        <v>342</v>
      </c>
      <c r="I991" s="3" t="s">
        <v>33</v>
      </c>
      <c r="J991" s="3" t="s">
        <v>34</v>
      </c>
      <c r="L991" s="1">
        <v>46020.643182870372</v>
      </c>
      <c r="M991" s="1">
        <v>46020.643182870372</v>
      </c>
      <c r="N991" s="1">
        <v>46024.416666666664</v>
      </c>
      <c r="O991" s="3" t="s">
        <v>5696</v>
      </c>
      <c r="P991" s="3" t="s">
        <v>5692</v>
      </c>
      <c r="Q991" s="3" t="s">
        <v>35</v>
      </c>
      <c r="R991" s="3" t="s">
        <v>5691</v>
      </c>
      <c r="S991" s="3" t="s">
        <v>37</v>
      </c>
      <c r="T991" s="3" t="s">
        <v>36</v>
      </c>
      <c r="U991" s="4" t="b">
        <v>1</v>
      </c>
      <c r="V991" s="3" t="s">
        <v>28</v>
      </c>
      <c r="W991" s="1"/>
      <c r="Y991" s="3" t="s">
        <v>29</v>
      </c>
      <c r="Z991" s="3" t="s">
        <v>29</v>
      </c>
      <c r="AA991" s="3"/>
      <c r="AB991" s="3"/>
      <c r="AC991" s="4" t="s">
        <v>30</v>
      </c>
      <c r="AD991" s="3"/>
      <c r="AE991" s="3" t="s">
        <v>5692</v>
      </c>
      <c r="AF991" s="4" t="s">
        <v>30</v>
      </c>
      <c r="AH991" s="4">
        <v>0</v>
      </c>
      <c r="AI991" s="3" t="s">
        <v>5695</v>
      </c>
      <c r="AJ991" s="4" t="s">
        <v>5690</v>
      </c>
      <c r="AK991" s="4"/>
      <c r="AL991" s="3"/>
    </row>
    <row r="992" spans="1:38" x14ac:dyDescent="0.35">
      <c r="A992" s="3" t="s">
        <v>5697</v>
      </c>
      <c r="B992" s="4" t="s">
        <v>4319</v>
      </c>
      <c r="C992" s="4">
        <f>VLOOKUP(A992, [1]Planilha1!$A$3:$B$1015,2,FALSE)</f>
        <v>0</v>
      </c>
      <c r="D992" s="4">
        <f t="shared" si="15"/>
        <v>0</v>
      </c>
      <c r="E992" s="4" t="s">
        <v>1125</v>
      </c>
      <c r="F992" s="3" t="s">
        <v>4317</v>
      </c>
      <c r="G992" s="3" t="s">
        <v>134</v>
      </c>
      <c r="H992" s="3" t="s">
        <v>138</v>
      </c>
      <c r="I992" s="3" t="s">
        <v>33</v>
      </c>
      <c r="J992" s="3" t="s">
        <v>60</v>
      </c>
      <c r="K992" s="3" t="s">
        <v>5699</v>
      </c>
      <c r="L992" s="1">
        <v>46020.64303240741</v>
      </c>
      <c r="M992" s="1">
        <v>46020.669421296298</v>
      </c>
      <c r="N992" s="1">
        <v>46023.708333333336</v>
      </c>
      <c r="O992" s="3" t="s">
        <v>137</v>
      </c>
      <c r="P992" s="3" t="s">
        <v>4319</v>
      </c>
      <c r="Q992" s="3" t="s">
        <v>35</v>
      </c>
      <c r="R992" s="3" t="s">
        <v>4318</v>
      </c>
      <c r="S992" s="3" t="s">
        <v>144</v>
      </c>
      <c r="T992" s="3" t="s">
        <v>143</v>
      </c>
      <c r="U992" s="4" t="b">
        <v>1</v>
      </c>
      <c r="V992" s="3" t="s">
        <v>31</v>
      </c>
      <c r="W992" s="1"/>
      <c r="Y992" s="3" t="s">
        <v>32</v>
      </c>
      <c r="Z992" s="3" t="s">
        <v>32</v>
      </c>
      <c r="AA992" s="3"/>
      <c r="AB992" s="3"/>
      <c r="AC992" s="4" t="s">
        <v>30</v>
      </c>
      <c r="AD992" s="3"/>
      <c r="AE992" s="3" t="s">
        <v>4319</v>
      </c>
      <c r="AF992" s="4" t="s">
        <v>30</v>
      </c>
      <c r="AH992" s="4">
        <v>0</v>
      </c>
      <c r="AI992" s="3" t="s">
        <v>5698</v>
      </c>
      <c r="AJ992" s="4" t="s">
        <v>5972</v>
      </c>
      <c r="AK992" s="4"/>
      <c r="AL992" s="3"/>
    </row>
    <row r="993" spans="1:38" x14ac:dyDescent="0.35">
      <c r="A993" s="3" t="s">
        <v>5702</v>
      </c>
      <c r="B993" s="4" t="s">
        <v>5706</v>
      </c>
      <c r="C993" s="4">
        <f>VLOOKUP(A993, [1]Planilha1!$A$3:$B$1015,2,FALSE)</f>
        <v>0</v>
      </c>
      <c r="D993" s="4">
        <f t="shared" si="15"/>
        <v>0</v>
      </c>
      <c r="E993" s="4" t="s">
        <v>1125</v>
      </c>
      <c r="F993" s="3" t="s">
        <v>5704</v>
      </c>
      <c r="G993" s="3" t="s">
        <v>800</v>
      </c>
      <c r="H993" s="3" t="s">
        <v>44</v>
      </c>
      <c r="I993" s="3" t="s">
        <v>33</v>
      </c>
      <c r="J993" s="3" t="s">
        <v>60</v>
      </c>
      <c r="L993" s="1">
        <v>46020.574826388889</v>
      </c>
      <c r="M993" s="1">
        <v>46020.579155092593</v>
      </c>
      <c r="N993" s="1">
        <v>46023.583333333336</v>
      </c>
      <c r="O993" s="3" t="s">
        <v>43</v>
      </c>
      <c r="P993" s="3" t="s">
        <v>5706</v>
      </c>
      <c r="Q993" s="3" t="s">
        <v>42</v>
      </c>
      <c r="R993" s="3" t="s">
        <v>5705</v>
      </c>
      <c r="S993" s="3" t="s">
        <v>708</v>
      </c>
      <c r="T993" s="3" t="s">
        <v>707</v>
      </c>
      <c r="U993" s="4" t="b">
        <v>1</v>
      </c>
      <c r="V993" s="3" t="s">
        <v>31</v>
      </c>
      <c r="W993" s="1"/>
      <c r="Y993" s="3" t="s">
        <v>32</v>
      </c>
      <c r="Z993" s="3" t="s">
        <v>32</v>
      </c>
      <c r="AA993" s="3"/>
      <c r="AB993" s="3"/>
      <c r="AC993" s="4" t="s">
        <v>30</v>
      </c>
      <c r="AD993" s="3"/>
      <c r="AE993" s="3" t="s">
        <v>5706</v>
      </c>
      <c r="AF993" s="4" t="s">
        <v>30</v>
      </c>
      <c r="AH993" s="4">
        <v>0</v>
      </c>
      <c r="AI993" s="3" t="s">
        <v>5703</v>
      </c>
      <c r="AJ993" s="4"/>
      <c r="AK993" s="4"/>
      <c r="AL993" s="3"/>
    </row>
    <row r="994" spans="1:38" x14ac:dyDescent="0.35">
      <c r="A994" s="3" t="s">
        <v>5707</v>
      </c>
      <c r="B994" s="4" t="s">
        <v>89</v>
      </c>
      <c r="C994" s="4">
        <f>VLOOKUP(A994, [1]Planilha1!$A$3:$B$1015,2,FALSE)</f>
        <v>8976</v>
      </c>
      <c r="D994" s="4">
        <f t="shared" si="15"/>
        <v>2.4933333333333332</v>
      </c>
      <c r="E994" s="4" t="s">
        <v>1125</v>
      </c>
      <c r="F994" s="3" t="s">
        <v>86</v>
      </c>
      <c r="G994" s="3" t="s">
        <v>457</v>
      </c>
      <c r="H994" s="3" t="s">
        <v>457</v>
      </c>
      <c r="I994" s="3" t="s">
        <v>33</v>
      </c>
      <c r="J994" s="3" t="s">
        <v>34</v>
      </c>
      <c r="L994" s="1">
        <v>46020.467314814814</v>
      </c>
      <c r="M994" s="1">
        <v>46020.470312500001</v>
      </c>
      <c r="N994" s="1">
        <v>46023.541666666664</v>
      </c>
      <c r="O994" s="3" t="s">
        <v>460</v>
      </c>
      <c r="P994" s="3" t="s">
        <v>89</v>
      </c>
      <c r="Q994" s="3" t="s">
        <v>42</v>
      </c>
      <c r="R994" s="3" t="s">
        <v>88</v>
      </c>
      <c r="S994" s="3" t="s">
        <v>120</v>
      </c>
      <c r="T994" s="3" t="s">
        <v>119</v>
      </c>
      <c r="U994" s="4" t="b">
        <v>1</v>
      </c>
      <c r="V994" s="3" t="s">
        <v>31</v>
      </c>
      <c r="W994" s="1"/>
      <c r="Y994" s="3" t="s">
        <v>32</v>
      </c>
      <c r="Z994" s="3" t="s">
        <v>32</v>
      </c>
      <c r="AA994" s="3"/>
      <c r="AB994" s="3"/>
      <c r="AC994" s="4" t="s">
        <v>30</v>
      </c>
      <c r="AD994" s="3"/>
      <c r="AE994" s="3" t="s">
        <v>89</v>
      </c>
      <c r="AF994" s="4" t="s">
        <v>30</v>
      </c>
      <c r="AH994" s="4">
        <v>0</v>
      </c>
      <c r="AI994" s="3" t="s">
        <v>5708</v>
      </c>
      <c r="AJ994" s="4" t="s">
        <v>87</v>
      </c>
      <c r="AK994" s="4"/>
      <c r="AL994" s="3"/>
    </row>
    <row r="995" spans="1:38" x14ac:dyDescent="0.35">
      <c r="A995" s="3" t="s">
        <v>5709</v>
      </c>
      <c r="B995" s="4" t="s">
        <v>5714</v>
      </c>
      <c r="C995" s="4">
        <f>VLOOKUP(A995, [1]Planilha1!$A$3:$B$1015,2,FALSE)</f>
        <v>0</v>
      </c>
      <c r="D995" s="4">
        <f t="shared" si="15"/>
        <v>0</v>
      </c>
      <c r="E995" s="4" t="s">
        <v>1125</v>
      </c>
      <c r="F995" s="3" t="s">
        <v>5711</v>
      </c>
      <c r="G995" s="3" t="s">
        <v>800</v>
      </c>
      <c r="H995" s="3" t="s">
        <v>44</v>
      </c>
      <c r="I995" s="3" t="s">
        <v>33</v>
      </c>
      <c r="J995" s="3" t="s">
        <v>60</v>
      </c>
      <c r="L995" s="1">
        <v>46020.464016203703</v>
      </c>
      <c r="M995" s="1">
        <v>46020.471909722219</v>
      </c>
      <c r="N995" s="1">
        <v>46023.5</v>
      </c>
      <c r="O995" s="3" t="s">
        <v>43</v>
      </c>
      <c r="P995" s="3" t="s">
        <v>5714</v>
      </c>
      <c r="Q995" s="3" t="s">
        <v>42</v>
      </c>
      <c r="R995" s="3" t="s">
        <v>5713</v>
      </c>
      <c r="S995" s="3" t="s">
        <v>708</v>
      </c>
      <c r="T995" s="3" t="s">
        <v>707</v>
      </c>
      <c r="U995" s="4" t="b">
        <v>1</v>
      </c>
      <c r="V995" s="3" t="s">
        <v>31</v>
      </c>
      <c r="W995" s="1"/>
      <c r="Y995" s="3" t="s">
        <v>32</v>
      </c>
      <c r="Z995" s="3" t="s">
        <v>32</v>
      </c>
      <c r="AA995" s="3"/>
      <c r="AB995" s="3"/>
      <c r="AC995" s="4" t="s">
        <v>30</v>
      </c>
      <c r="AD995" s="3"/>
      <c r="AE995" s="3" t="s">
        <v>5714</v>
      </c>
      <c r="AF995" s="4" t="s">
        <v>30</v>
      </c>
      <c r="AH995" s="4">
        <v>0</v>
      </c>
      <c r="AI995" s="3" t="s">
        <v>5710</v>
      </c>
      <c r="AJ995" s="4" t="s">
        <v>5712</v>
      </c>
      <c r="AK995" s="4"/>
      <c r="AL995" s="3"/>
    </row>
    <row r="996" spans="1:38" x14ac:dyDescent="0.35">
      <c r="A996" s="3" t="s">
        <v>5715</v>
      </c>
      <c r="B996" s="4"/>
      <c r="C996" s="4">
        <f>VLOOKUP(A996, [1]Planilha1!$A$3:$B$1015,2,FALSE)</f>
        <v>1242</v>
      </c>
      <c r="D996" s="4">
        <f t="shared" si="15"/>
        <v>0.34499999999999997</v>
      </c>
      <c r="E996" s="4" t="s">
        <v>1125</v>
      </c>
      <c r="F996" s="3" t="s">
        <v>49</v>
      </c>
      <c r="G996" s="3" t="s">
        <v>457</v>
      </c>
      <c r="H996" s="3" t="s">
        <v>457</v>
      </c>
      <c r="I996" s="3" t="s">
        <v>33</v>
      </c>
      <c r="J996" s="3" t="s">
        <v>60</v>
      </c>
      <c r="L996" s="1">
        <v>46020.456516203703</v>
      </c>
      <c r="M996" s="1">
        <v>46020.456516203703</v>
      </c>
      <c r="N996" s="1">
        <v>46023.5</v>
      </c>
      <c r="O996" s="3" t="s">
        <v>460</v>
      </c>
      <c r="Q996" s="3" t="s">
        <v>42</v>
      </c>
      <c r="R996" s="3" t="s">
        <v>51</v>
      </c>
      <c r="S996" s="3" t="s">
        <v>37</v>
      </c>
      <c r="T996" s="3" t="s">
        <v>36</v>
      </c>
      <c r="U996" s="4" t="b">
        <v>1</v>
      </c>
      <c r="V996" s="3" t="s">
        <v>28</v>
      </c>
      <c r="W996" s="1"/>
      <c r="Y996" s="3" t="s">
        <v>29</v>
      </c>
      <c r="Z996" s="3" t="s">
        <v>29</v>
      </c>
      <c r="AA996" s="3"/>
      <c r="AB996" s="3"/>
      <c r="AC996" s="4" t="s">
        <v>30</v>
      </c>
      <c r="AD996" s="3"/>
      <c r="AE996" s="3"/>
      <c r="AF996" s="4" t="s">
        <v>30</v>
      </c>
      <c r="AH996" s="4">
        <v>0</v>
      </c>
      <c r="AI996" s="3" t="s">
        <v>5716</v>
      </c>
      <c r="AJ996" s="4" t="s">
        <v>50</v>
      </c>
      <c r="AK996" s="4"/>
      <c r="AL996" s="3"/>
    </row>
    <row r="997" spans="1:38" x14ac:dyDescent="0.35">
      <c r="A997" s="3" t="s">
        <v>5717</v>
      </c>
      <c r="B997" s="4" t="s">
        <v>5722</v>
      </c>
      <c r="C997" s="4">
        <f>VLOOKUP(A997, [1]Planilha1!$A$3:$B$1015,2,FALSE)</f>
        <v>0</v>
      </c>
      <c r="D997" s="4">
        <f t="shared" si="15"/>
        <v>0</v>
      </c>
      <c r="E997" s="4" t="s">
        <v>1125</v>
      </c>
      <c r="F997" s="3" t="s">
        <v>5720</v>
      </c>
      <c r="G997" s="3" t="s">
        <v>134</v>
      </c>
      <c r="H997" s="3" t="s">
        <v>138</v>
      </c>
      <c r="I997" s="3" t="s">
        <v>33</v>
      </c>
      <c r="J997" s="3" t="s">
        <v>60</v>
      </c>
      <c r="K997" s="3" t="s">
        <v>5719</v>
      </c>
      <c r="L997" s="1">
        <v>46020.441296296296</v>
      </c>
      <c r="M997" s="1">
        <v>46020.488032407404</v>
      </c>
      <c r="N997" s="1">
        <v>46023.5</v>
      </c>
      <c r="O997" s="3" t="s">
        <v>137</v>
      </c>
      <c r="P997" s="3" t="s">
        <v>5722</v>
      </c>
      <c r="Q997" s="3" t="s">
        <v>35</v>
      </c>
      <c r="R997" s="3" t="s">
        <v>5721</v>
      </c>
      <c r="S997" s="3" t="s">
        <v>144</v>
      </c>
      <c r="T997" s="3" t="s">
        <v>143</v>
      </c>
      <c r="U997" s="4" t="b">
        <v>1</v>
      </c>
      <c r="V997" s="3" t="s">
        <v>31</v>
      </c>
      <c r="W997" s="1"/>
      <c r="Y997" s="3" t="s">
        <v>32</v>
      </c>
      <c r="Z997" s="3" t="s">
        <v>32</v>
      </c>
      <c r="AA997" s="3"/>
      <c r="AB997" s="3"/>
      <c r="AC997" s="4" t="s">
        <v>30</v>
      </c>
      <c r="AD997" s="3"/>
      <c r="AE997" s="3" t="s">
        <v>5722</v>
      </c>
      <c r="AF997" s="4" t="s">
        <v>30</v>
      </c>
      <c r="AH997" s="4">
        <v>0</v>
      </c>
      <c r="AI997" s="3" t="s">
        <v>5718</v>
      </c>
      <c r="AJ997" s="4" t="s">
        <v>5973</v>
      </c>
      <c r="AK997" s="4"/>
      <c r="AL997" s="3"/>
    </row>
    <row r="998" spans="1:38" x14ac:dyDescent="0.35">
      <c r="A998" s="3" t="s">
        <v>5723</v>
      </c>
      <c r="B998" s="4" t="s">
        <v>5732</v>
      </c>
      <c r="C998" s="4">
        <f>VLOOKUP(A998, [1]Planilha1!$A$3:$B$1015,2,FALSE)</f>
        <v>2328</v>
      </c>
      <c r="D998" s="4">
        <f t="shared" si="15"/>
        <v>0.64666666666666661</v>
      </c>
      <c r="E998" s="4" t="s">
        <v>1125</v>
      </c>
      <c r="F998" s="3" t="s">
        <v>5729</v>
      </c>
      <c r="G998" s="3" t="s">
        <v>5724</v>
      </c>
      <c r="H998" s="3" t="s">
        <v>5728</v>
      </c>
      <c r="I998" s="3" t="s">
        <v>33</v>
      </c>
      <c r="J998" s="3" t="s">
        <v>60</v>
      </c>
      <c r="K998" s="3" t="s">
        <v>5726</v>
      </c>
      <c r="L998" s="1">
        <v>46020.43854166667</v>
      </c>
      <c r="M998" s="1">
        <v>46020.43854166667</v>
      </c>
      <c r="N998" s="1">
        <v>46023.458344907405</v>
      </c>
      <c r="O998" s="3" t="s">
        <v>5727</v>
      </c>
      <c r="P998" s="3" t="s">
        <v>5732</v>
      </c>
      <c r="Q998" s="3" t="s">
        <v>35</v>
      </c>
      <c r="R998" s="3" t="s">
        <v>5731</v>
      </c>
      <c r="S998" s="3" t="s">
        <v>37</v>
      </c>
      <c r="T998" s="3" t="s">
        <v>36</v>
      </c>
      <c r="U998" s="4" t="b">
        <v>1</v>
      </c>
      <c r="V998" s="3" t="s">
        <v>28</v>
      </c>
      <c r="W998" s="1"/>
      <c r="Y998" s="3" t="s">
        <v>29</v>
      </c>
      <c r="Z998" s="3" t="s">
        <v>29</v>
      </c>
      <c r="AA998" s="3"/>
      <c r="AB998" s="3"/>
      <c r="AC998" s="4" t="s">
        <v>30</v>
      </c>
      <c r="AD998" s="3"/>
      <c r="AE998" s="3" t="s">
        <v>5732</v>
      </c>
      <c r="AF998" s="4" t="s">
        <v>30</v>
      </c>
      <c r="AH998" s="4">
        <v>0</v>
      </c>
      <c r="AI998" s="3" t="s">
        <v>5725</v>
      </c>
      <c r="AJ998" s="4" t="s">
        <v>5730</v>
      </c>
      <c r="AK998" s="4"/>
      <c r="AL998" s="3"/>
    </row>
    <row r="999" spans="1:38" x14ac:dyDescent="0.35">
      <c r="A999" s="3" t="s">
        <v>5733</v>
      </c>
      <c r="B999" s="4" t="s">
        <v>1081</v>
      </c>
      <c r="C999" s="4">
        <f>VLOOKUP(A999, [1]Planilha1!$A$3:$B$1015,2,FALSE)</f>
        <v>0</v>
      </c>
      <c r="D999" s="4">
        <f t="shared" si="15"/>
        <v>0</v>
      </c>
      <c r="E999" s="4" t="s">
        <v>1125</v>
      </c>
      <c r="F999" s="3" t="s">
        <v>1080</v>
      </c>
      <c r="G999" s="3" t="s">
        <v>44</v>
      </c>
      <c r="H999" s="3" t="s">
        <v>44</v>
      </c>
      <c r="I999" s="3" t="s">
        <v>33</v>
      </c>
      <c r="J999" s="3" t="s">
        <v>60</v>
      </c>
      <c r="L999" s="1">
        <v>46020.40766203704</v>
      </c>
      <c r="M999" s="1">
        <v>46020.409456018519</v>
      </c>
      <c r="N999" s="1">
        <v>46023.416666666664</v>
      </c>
      <c r="O999" s="3" t="s">
        <v>43</v>
      </c>
      <c r="P999" s="3" t="s">
        <v>1081</v>
      </c>
      <c r="Q999" s="3" t="s">
        <v>35</v>
      </c>
      <c r="S999" s="3" t="s">
        <v>5701</v>
      </c>
      <c r="T999" s="3" t="s">
        <v>5700</v>
      </c>
      <c r="U999" s="4" t="b">
        <v>1</v>
      </c>
      <c r="V999" s="3" t="s">
        <v>31</v>
      </c>
      <c r="W999" s="1"/>
      <c r="Y999" s="3" t="s">
        <v>32</v>
      </c>
      <c r="Z999" s="3" t="s">
        <v>32</v>
      </c>
      <c r="AA999" s="3"/>
      <c r="AB999" s="3"/>
      <c r="AC999" s="4" t="s">
        <v>30</v>
      </c>
      <c r="AD999" s="3"/>
      <c r="AE999" s="3" t="s">
        <v>1081</v>
      </c>
      <c r="AF999" s="4" t="s">
        <v>30</v>
      </c>
      <c r="AH999" s="4">
        <v>0</v>
      </c>
      <c r="AI999" s="3" t="s">
        <v>5734</v>
      </c>
      <c r="AJ999" s="4"/>
      <c r="AK999" s="4"/>
      <c r="AL999" s="3"/>
    </row>
    <row r="1000" spans="1:38" x14ac:dyDescent="0.35">
      <c r="A1000" s="3" t="s">
        <v>5735</v>
      </c>
      <c r="B1000" s="4" t="s">
        <v>5739</v>
      </c>
      <c r="C1000" s="4">
        <f>VLOOKUP(A1000, [1]Planilha1!$A$3:$B$1015,2,FALSE)</f>
        <v>0</v>
      </c>
      <c r="D1000" s="4">
        <f t="shared" si="15"/>
        <v>0</v>
      </c>
      <c r="E1000" s="4" t="s">
        <v>1125</v>
      </c>
      <c r="F1000" s="3" t="s">
        <v>5737</v>
      </c>
      <c r="G1000" s="3" t="s">
        <v>800</v>
      </c>
      <c r="H1000" s="3" t="s">
        <v>44</v>
      </c>
      <c r="I1000" s="3" t="s">
        <v>33</v>
      </c>
      <c r="J1000" s="3" t="s">
        <v>60</v>
      </c>
      <c r="L1000" s="1">
        <v>46020.397337962961</v>
      </c>
      <c r="M1000" s="1">
        <v>46020.399560185186</v>
      </c>
      <c r="N1000" s="1">
        <v>46023.416666666664</v>
      </c>
      <c r="O1000" s="3" t="s">
        <v>43</v>
      </c>
      <c r="P1000" s="3" t="s">
        <v>5739</v>
      </c>
      <c r="Q1000" s="3" t="s">
        <v>42</v>
      </c>
      <c r="R1000" s="3" t="s">
        <v>5738</v>
      </c>
      <c r="S1000" s="3" t="s">
        <v>708</v>
      </c>
      <c r="T1000" s="3" t="s">
        <v>707</v>
      </c>
      <c r="U1000" s="4" t="b">
        <v>1</v>
      </c>
      <c r="V1000" s="3" t="s">
        <v>31</v>
      </c>
      <c r="W1000" s="1"/>
      <c r="Y1000" s="3" t="s">
        <v>32</v>
      </c>
      <c r="Z1000" s="3" t="s">
        <v>32</v>
      </c>
      <c r="AA1000" s="3"/>
      <c r="AB1000" s="3"/>
      <c r="AC1000" s="4" t="s">
        <v>30</v>
      </c>
      <c r="AD1000" s="3"/>
      <c r="AE1000" s="3" t="s">
        <v>5739</v>
      </c>
      <c r="AF1000" s="4" t="s">
        <v>30</v>
      </c>
      <c r="AH1000" s="4">
        <v>0</v>
      </c>
      <c r="AI1000" s="3" t="s">
        <v>5736</v>
      </c>
      <c r="AJ1000" s="4" t="s">
        <v>5974</v>
      </c>
      <c r="AK1000" s="4"/>
      <c r="AL1000" s="3"/>
    </row>
    <row r="1001" spans="1:38" x14ac:dyDescent="0.35">
      <c r="A1001" s="3" t="s">
        <v>5740</v>
      </c>
      <c r="B1001" s="4" t="s">
        <v>94</v>
      </c>
      <c r="C1001" s="4">
        <f>VLOOKUP(A1001, [1]Planilha1!$A$3:$B$1015,2,FALSE)</f>
        <v>0</v>
      </c>
      <c r="D1001" s="4">
        <f t="shared" si="15"/>
        <v>0</v>
      </c>
      <c r="E1001" s="4" t="s">
        <v>1125</v>
      </c>
      <c r="F1001" s="3" t="s">
        <v>92</v>
      </c>
      <c r="G1001" s="3" t="s">
        <v>5741</v>
      </c>
      <c r="H1001" s="3" t="s">
        <v>148</v>
      </c>
      <c r="I1001" s="3" t="s">
        <v>33</v>
      </c>
      <c r="J1001" s="3" t="s">
        <v>60</v>
      </c>
      <c r="L1001" s="1">
        <v>46020.315069444441</v>
      </c>
      <c r="M1001" s="1">
        <v>46020.339861111112</v>
      </c>
      <c r="N1001" s="1">
        <v>46023.375</v>
      </c>
      <c r="O1001" s="3" t="s">
        <v>5213</v>
      </c>
      <c r="P1001" s="3" t="s">
        <v>94</v>
      </c>
      <c r="Q1001" s="3" t="s">
        <v>35</v>
      </c>
      <c r="R1001" s="3" t="s">
        <v>93</v>
      </c>
      <c r="S1001" s="3" t="s">
        <v>190</v>
      </c>
      <c r="T1001" s="3" t="s">
        <v>189</v>
      </c>
      <c r="U1001" s="4" t="b">
        <v>1</v>
      </c>
      <c r="V1001" s="3" t="s">
        <v>31</v>
      </c>
      <c r="W1001" s="1"/>
      <c r="Y1001" s="3" t="s">
        <v>32</v>
      </c>
      <c r="Z1001" s="3" t="s">
        <v>32</v>
      </c>
      <c r="AA1001" s="3"/>
      <c r="AB1001" s="3"/>
      <c r="AC1001" s="4" t="s">
        <v>30</v>
      </c>
      <c r="AD1001" s="3"/>
      <c r="AE1001" s="3" t="s">
        <v>94</v>
      </c>
      <c r="AF1001" s="4" t="s">
        <v>30</v>
      </c>
      <c r="AH1001" s="4">
        <v>0</v>
      </c>
      <c r="AI1001" s="3" t="s">
        <v>5742</v>
      </c>
      <c r="AJ1001" s="4"/>
      <c r="AK1001" s="4"/>
      <c r="AL1001" s="3"/>
    </row>
    <row r="1002" spans="1:38" x14ac:dyDescent="0.35">
      <c r="A1002" s="3" t="s">
        <v>5743</v>
      </c>
      <c r="B1002" s="4" t="s">
        <v>4426</v>
      </c>
      <c r="C1002" s="4">
        <f>VLOOKUP(A1002, [1]Planilha1!$A$3:$B$1015,2,FALSE)</f>
        <v>31660</v>
      </c>
      <c r="D1002" s="4">
        <f t="shared" si="15"/>
        <v>8.7944444444444443</v>
      </c>
      <c r="E1002" s="4" t="s">
        <v>1125</v>
      </c>
      <c r="F1002" s="3" t="s">
        <v>4424</v>
      </c>
      <c r="G1002" s="3" t="s">
        <v>5744</v>
      </c>
      <c r="H1002" s="3" t="s">
        <v>44</v>
      </c>
      <c r="I1002" s="3" t="s">
        <v>33</v>
      </c>
      <c r="J1002" s="3" t="s">
        <v>34</v>
      </c>
      <c r="K1002" s="3" t="s">
        <v>5746</v>
      </c>
      <c r="L1002" s="1">
        <v>46017.52065972222</v>
      </c>
      <c r="M1002" s="1">
        <v>46017.586516203701</v>
      </c>
      <c r="N1002" s="1">
        <v>46027.375</v>
      </c>
      <c r="O1002" s="3" t="s">
        <v>43</v>
      </c>
      <c r="P1002" s="3" t="s">
        <v>4426</v>
      </c>
      <c r="Q1002" s="3" t="s">
        <v>35</v>
      </c>
      <c r="R1002" s="3" t="s">
        <v>4425</v>
      </c>
      <c r="S1002" s="3" t="s">
        <v>190</v>
      </c>
      <c r="T1002" s="3" t="s">
        <v>189</v>
      </c>
      <c r="U1002" s="4" t="b">
        <v>0</v>
      </c>
      <c r="V1002" s="3" t="s">
        <v>31</v>
      </c>
      <c r="W1002" s="1"/>
      <c r="Y1002" s="3" t="s">
        <v>32</v>
      </c>
      <c r="Z1002" s="3" t="s">
        <v>32</v>
      </c>
      <c r="AA1002" s="3"/>
      <c r="AB1002" s="3"/>
      <c r="AC1002" s="4" t="s">
        <v>30</v>
      </c>
      <c r="AD1002" s="3"/>
      <c r="AE1002" s="3" t="s">
        <v>4426</v>
      </c>
      <c r="AF1002" s="4" t="s">
        <v>30</v>
      </c>
      <c r="AH1002" s="4">
        <v>1</v>
      </c>
      <c r="AI1002" s="3" t="s">
        <v>5745</v>
      </c>
      <c r="AJ1002" s="4" t="s">
        <v>5926</v>
      </c>
      <c r="AK1002" s="4"/>
      <c r="AL1002" s="3"/>
    </row>
    <row r="1003" spans="1:38" x14ac:dyDescent="0.35">
      <c r="A1003" s="3" t="s">
        <v>5747</v>
      </c>
      <c r="B1003" s="4" t="s">
        <v>58</v>
      </c>
      <c r="C1003" s="4">
        <f>VLOOKUP(A1003, [1]Planilha1!$A$3:$B$1015,2,FALSE)</f>
        <v>88608</v>
      </c>
      <c r="D1003" s="4">
        <f t="shared" si="15"/>
        <v>24.613333333333333</v>
      </c>
      <c r="E1003" s="4" t="s">
        <v>1125</v>
      </c>
      <c r="F1003" s="3" t="s">
        <v>54</v>
      </c>
      <c r="G1003" s="3" t="s">
        <v>5748</v>
      </c>
      <c r="H1003" s="3" t="s">
        <v>897</v>
      </c>
      <c r="I1003" s="3" t="s">
        <v>33</v>
      </c>
      <c r="J1003" s="3" t="s">
        <v>152</v>
      </c>
      <c r="L1003" s="1">
        <v>46014.433368055557</v>
      </c>
      <c r="M1003" s="1">
        <v>46014.439803240741</v>
      </c>
      <c r="N1003" s="1">
        <v>46024.460393518515</v>
      </c>
      <c r="O1003" s="3" t="s">
        <v>896</v>
      </c>
      <c r="P1003" s="3" t="s">
        <v>57</v>
      </c>
      <c r="Q1003" s="3" t="s">
        <v>52</v>
      </c>
      <c r="R1003" s="3" t="s">
        <v>56</v>
      </c>
      <c r="S1003" s="3" t="s">
        <v>64</v>
      </c>
      <c r="T1003" s="3" t="s">
        <v>63</v>
      </c>
      <c r="U1003" s="4" t="b">
        <v>0</v>
      </c>
      <c r="V1003" s="3" t="s">
        <v>28</v>
      </c>
      <c r="W1003" s="1"/>
      <c r="Y1003" s="3" t="s">
        <v>29</v>
      </c>
      <c r="Z1003" s="3" t="s">
        <v>29</v>
      </c>
      <c r="AA1003" s="3" t="s">
        <v>5750</v>
      </c>
      <c r="AB1003" s="3" t="s">
        <v>58</v>
      </c>
      <c r="AC1003" s="4" t="s">
        <v>30</v>
      </c>
      <c r="AD1003" s="3" t="s">
        <v>59</v>
      </c>
      <c r="AE1003" s="3" t="s">
        <v>57</v>
      </c>
      <c r="AF1003" s="4" t="s">
        <v>30</v>
      </c>
      <c r="AH1003" s="4">
        <v>2</v>
      </c>
      <c r="AI1003" s="3" t="s">
        <v>5749</v>
      </c>
      <c r="AJ1003" s="4" t="s">
        <v>55</v>
      </c>
      <c r="AK1003" s="4" t="s">
        <v>5751</v>
      </c>
      <c r="AL1003" s="3"/>
    </row>
    <row r="1004" spans="1:38" x14ac:dyDescent="0.35">
      <c r="A1004" s="3" t="s">
        <v>5752</v>
      </c>
      <c r="B1004" s="4" t="s">
        <v>5758</v>
      </c>
      <c r="C1004" s="4">
        <f>VLOOKUP(A1004, [1]Planilha1!$A$3:$B$1015,2,FALSE)</f>
        <v>210695</v>
      </c>
      <c r="D1004" s="4">
        <f t="shared" si="15"/>
        <v>58.526388888888889</v>
      </c>
      <c r="E1004" s="4" t="s">
        <v>1125</v>
      </c>
      <c r="F1004" s="3" t="s">
        <v>4848</v>
      </c>
      <c r="G1004" s="3" t="s">
        <v>5753</v>
      </c>
      <c r="H1004" s="3" t="s">
        <v>126</v>
      </c>
      <c r="I1004" s="3" t="s">
        <v>33</v>
      </c>
      <c r="J1004" s="3" t="s">
        <v>41</v>
      </c>
      <c r="K1004" s="3" t="s">
        <v>5755</v>
      </c>
      <c r="L1004" s="1">
        <v>46010.528148148151</v>
      </c>
      <c r="M1004" s="1">
        <v>46010.531168981484</v>
      </c>
      <c r="N1004" s="1">
        <v>46030.392812500002</v>
      </c>
      <c r="O1004" s="3" t="s">
        <v>125</v>
      </c>
      <c r="P1004" s="3" t="s">
        <v>5758</v>
      </c>
      <c r="Q1004" s="3" t="s">
        <v>42</v>
      </c>
      <c r="R1004" s="3" t="s">
        <v>5757</v>
      </c>
      <c r="S1004" s="3" t="s">
        <v>339</v>
      </c>
      <c r="T1004" s="3" t="s">
        <v>338</v>
      </c>
      <c r="U1004" s="4" t="b">
        <v>1</v>
      </c>
      <c r="V1004" s="3" t="s">
        <v>31</v>
      </c>
      <c r="W1004" s="1"/>
      <c r="Y1004" s="3" t="s">
        <v>32</v>
      </c>
      <c r="Z1004" s="3" t="s">
        <v>32</v>
      </c>
      <c r="AA1004" s="3"/>
      <c r="AB1004" s="3"/>
      <c r="AC1004" s="4" t="s">
        <v>30</v>
      </c>
      <c r="AD1004" s="3"/>
      <c r="AE1004" s="3" t="s">
        <v>5758</v>
      </c>
      <c r="AF1004" s="4" t="s">
        <v>30</v>
      </c>
      <c r="AH1004" s="4">
        <v>4</v>
      </c>
      <c r="AI1004" s="3" t="s">
        <v>5754</v>
      </c>
      <c r="AJ1004" s="4" t="s">
        <v>5756</v>
      </c>
      <c r="AK1004" s="4"/>
      <c r="AL1004" s="3"/>
    </row>
    <row r="1005" spans="1:38" x14ac:dyDescent="0.35">
      <c r="A1005" s="3" t="s">
        <v>5759</v>
      </c>
      <c r="B1005" s="4" t="s">
        <v>132</v>
      </c>
      <c r="C1005" s="4">
        <f>VLOOKUP(A1005, [1]Planilha1!$A$3:$B$1015,2,FALSE)</f>
        <v>826925</v>
      </c>
      <c r="D1005" s="4">
        <f t="shared" si="15"/>
        <v>229.70138888888889</v>
      </c>
      <c r="E1005" s="4" t="s">
        <v>1125</v>
      </c>
      <c r="F1005" s="3" t="s">
        <v>834</v>
      </c>
      <c r="G1005" s="3" t="s">
        <v>5760</v>
      </c>
      <c r="H1005" s="3" t="s">
        <v>897</v>
      </c>
      <c r="I1005" s="3" t="s">
        <v>33</v>
      </c>
      <c r="J1005" s="3" t="s">
        <v>152</v>
      </c>
      <c r="L1005" s="1">
        <v>46007.497928240744</v>
      </c>
      <c r="M1005" s="1">
        <v>46007.500717592593</v>
      </c>
      <c r="N1005" s="1">
        <v>46049.696608796294</v>
      </c>
      <c r="O1005" s="3" t="s">
        <v>896</v>
      </c>
      <c r="P1005" s="3" t="s">
        <v>132</v>
      </c>
      <c r="Q1005" s="3" t="s">
        <v>52</v>
      </c>
      <c r="R1005" s="3" t="s">
        <v>836</v>
      </c>
      <c r="S1005" s="3" t="s">
        <v>64</v>
      </c>
      <c r="T1005" s="3" t="s">
        <v>63</v>
      </c>
      <c r="U1005" s="4" t="b">
        <v>0</v>
      </c>
      <c r="V1005" s="3" t="s">
        <v>28</v>
      </c>
      <c r="W1005" s="1"/>
      <c r="Y1005" s="3" t="s">
        <v>29</v>
      </c>
      <c r="Z1005" s="3" t="s">
        <v>29</v>
      </c>
      <c r="AA1005" s="3"/>
      <c r="AB1005" s="3"/>
      <c r="AC1005" s="4" t="s">
        <v>30</v>
      </c>
      <c r="AD1005" s="3"/>
      <c r="AE1005" s="3" t="s">
        <v>132</v>
      </c>
      <c r="AF1005" s="4" t="s">
        <v>30</v>
      </c>
      <c r="AH1005" s="4">
        <v>2</v>
      </c>
      <c r="AI1005" s="3" t="s">
        <v>5761</v>
      </c>
      <c r="AJ1005" s="4" t="s">
        <v>835</v>
      </c>
      <c r="AK1005" s="4"/>
      <c r="AL1005" s="3"/>
    </row>
    <row r="1006" spans="1:38" x14ac:dyDescent="0.35">
      <c r="A1006" s="3" t="s">
        <v>5762</v>
      </c>
      <c r="B1006" s="4" t="s">
        <v>132</v>
      </c>
      <c r="C1006" s="4">
        <f>VLOOKUP(A1006, [1]Planilha1!$A$3:$B$1015,2,FALSE)</f>
        <v>873277</v>
      </c>
      <c r="D1006" s="4">
        <f t="shared" si="15"/>
        <v>242.57694444444445</v>
      </c>
      <c r="E1006" s="4" t="s">
        <v>1125</v>
      </c>
      <c r="F1006" s="3" t="s">
        <v>834</v>
      </c>
      <c r="G1006" s="3" t="s">
        <v>5763</v>
      </c>
      <c r="H1006" s="3" t="s">
        <v>897</v>
      </c>
      <c r="I1006" s="3" t="s">
        <v>33</v>
      </c>
      <c r="J1006" s="3" t="s">
        <v>152</v>
      </c>
      <c r="L1006" s="1">
        <v>46006.479421296295</v>
      </c>
      <c r="M1006" s="1">
        <v>46006.483807870369</v>
      </c>
      <c r="N1006" s="1">
        <v>46052.71361111111</v>
      </c>
      <c r="O1006" s="3" t="s">
        <v>896</v>
      </c>
      <c r="P1006" s="3" t="s">
        <v>132</v>
      </c>
      <c r="Q1006" s="3" t="s">
        <v>52</v>
      </c>
      <c r="R1006" s="3" t="s">
        <v>836</v>
      </c>
      <c r="S1006" s="3" t="s">
        <v>64</v>
      </c>
      <c r="T1006" s="3" t="s">
        <v>63</v>
      </c>
      <c r="U1006" s="4" t="b">
        <v>0</v>
      </c>
      <c r="V1006" s="3" t="s">
        <v>28</v>
      </c>
      <c r="W1006" s="1"/>
      <c r="Y1006" s="3" t="s">
        <v>29</v>
      </c>
      <c r="Z1006" s="3" t="s">
        <v>29</v>
      </c>
      <c r="AA1006" s="3"/>
      <c r="AB1006" s="3"/>
      <c r="AC1006" s="4" t="s">
        <v>30</v>
      </c>
      <c r="AD1006" s="3"/>
      <c r="AE1006" s="3" t="s">
        <v>132</v>
      </c>
      <c r="AF1006" s="4" t="s">
        <v>30</v>
      </c>
      <c r="AH1006" s="4">
        <v>2</v>
      </c>
      <c r="AI1006" s="3" t="s">
        <v>5764</v>
      </c>
      <c r="AJ1006" s="4" t="s">
        <v>835</v>
      </c>
      <c r="AK1006" s="4"/>
      <c r="AL1006" s="3"/>
    </row>
    <row r="1007" spans="1:38" x14ac:dyDescent="0.35">
      <c r="A1007" s="3" t="s">
        <v>5765</v>
      </c>
      <c r="B1007" s="4" t="s">
        <v>132</v>
      </c>
      <c r="C1007" s="4">
        <f>VLOOKUP(A1007, [1]Planilha1!$A$3:$B$1015,2,FALSE)</f>
        <v>984228</v>
      </c>
      <c r="D1007" s="4">
        <f t="shared" si="15"/>
        <v>273.39666666666665</v>
      </c>
      <c r="E1007" s="4" t="s">
        <v>1125</v>
      </c>
      <c r="F1007" s="3" t="s">
        <v>834</v>
      </c>
      <c r="G1007" s="3" t="s">
        <v>5766</v>
      </c>
      <c r="H1007" s="3" t="s">
        <v>897</v>
      </c>
      <c r="I1007" s="3" t="s">
        <v>33</v>
      </c>
      <c r="J1007" s="3" t="s">
        <v>152</v>
      </c>
      <c r="L1007" s="1">
        <v>45999.697847222225</v>
      </c>
      <c r="M1007" s="1">
        <v>45999.700069444443</v>
      </c>
      <c r="N1007" s="1">
        <v>46052.715520833335</v>
      </c>
      <c r="O1007" s="3" t="s">
        <v>896</v>
      </c>
      <c r="P1007" s="3" t="s">
        <v>132</v>
      </c>
      <c r="Q1007" s="3" t="s">
        <v>67</v>
      </c>
      <c r="R1007" s="3" t="s">
        <v>836</v>
      </c>
      <c r="S1007" s="3" t="s">
        <v>64</v>
      </c>
      <c r="T1007" s="3" t="s">
        <v>63</v>
      </c>
      <c r="U1007" s="4" t="b">
        <v>0</v>
      </c>
      <c r="V1007" s="3" t="s">
        <v>31</v>
      </c>
      <c r="W1007" s="1"/>
      <c r="Y1007" s="3" t="s">
        <v>32</v>
      </c>
      <c r="Z1007" s="3" t="s">
        <v>32</v>
      </c>
      <c r="AA1007" s="3"/>
      <c r="AB1007" s="3"/>
      <c r="AC1007" s="4" t="s">
        <v>30</v>
      </c>
      <c r="AD1007" s="3"/>
      <c r="AE1007" s="3" t="s">
        <v>132</v>
      </c>
      <c r="AF1007" s="4" t="s">
        <v>30</v>
      </c>
      <c r="AH1007" s="4">
        <v>2</v>
      </c>
      <c r="AI1007" s="3" t="s">
        <v>5767</v>
      </c>
      <c r="AJ1007" s="4" t="s">
        <v>835</v>
      </c>
      <c r="AK1007" s="4"/>
      <c r="AL1007" s="3"/>
    </row>
    <row r="1008" spans="1:38" x14ac:dyDescent="0.35">
      <c r="A1008" s="3" t="s">
        <v>5768</v>
      </c>
      <c r="B1008" s="4" t="s">
        <v>132</v>
      </c>
      <c r="C1008" s="4">
        <f>VLOOKUP(A1008, [1]Planilha1!$A$3:$B$1015,2,FALSE)</f>
        <v>1039296</v>
      </c>
      <c r="D1008" s="4">
        <f t="shared" si="15"/>
        <v>288.69333333333333</v>
      </c>
      <c r="E1008" s="4" t="s">
        <v>1125</v>
      </c>
      <c r="F1008" s="3" t="s">
        <v>834</v>
      </c>
      <c r="G1008" s="3" t="s">
        <v>5769</v>
      </c>
      <c r="H1008" s="3" t="s">
        <v>897</v>
      </c>
      <c r="I1008" s="3" t="s">
        <v>33</v>
      </c>
      <c r="J1008" s="3" t="s">
        <v>152</v>
      </c>
      <c r="L1008" s="1">
        <v>45996.576261574075</v>
      </c>
      <c r="M1008" s="1">
        <v>45996.581921296296</v>
      </c>
      <c r="N1008" s="1">
        <v>46052.71974537037</v>
      </c>
      <c r="O1008" s="3" t="s">
        <v>896</v>
      </c>
      <c r="P1008" s="3" t="s">
        <v>132</v>
      </c>
      <c r="Q1008" s="3" t="s">
        <v>52</v>
      </c>
      <c r="R1008" s="3" t="s">
        <v>836</v>
      </c>
      <c r="S1008" s="3" t="s">
        <v>64</v>
      </c>
      <c r="T1008" s="3" t="s">
        <v>63</v>
      </c>
      <c r="U1008" s="4" t="b">
        <v>0</v>
      </c>
      <c r="V1008" s="3" t="s">
        <v>31</v>
      </c>
      <c r="W1008" s="1"/>
      <c r="Y1008" s="3" t="s">
        <v>32</v>
      </c>
      <c r="Z1008" s="3" t="s">
        <v>32</v>
      </c>
      <c r="AA1008" s="3"/>
      <c r="AB1008" s="3"/>
      <c r="AC1008" s="4" t="s">
        <v>30</v>
      </c>
      <c r="AD1008" s="3"/>
      <c r="AE1008" s="3" t="s">
        <v>132</v>
      </c>
      <c r="AF1008" s="4" t="s">
        <v>30</v>
      </c>
      <c r="AH1008" s="4">
        <v>2</v>
      </c>
      <c r="AI1008" s="3" t="s">
        <v>5770</v>
      </c>
      <c r="AJ1008" s="4" t="s">
        <v>835</v>
      </c>
      <c r="AK1008" s="4"/>
      <c r="AL1008" s="3"/>
    </row>
    <row r="1009" spans="1:38" x14ac:dyDescent="0.35">
      <c r="A1009" s="3" t="s">
        <v>5771</v>
      </c>
      <c r="B1009" s="4" t="s">
        <v>132</v>
      </c>
      <c r="C1009" s="4">
        <f>VLOOKUP(A1009, [1]Planilha1!$A$3:$B$1015,2,FALSE)</f>
        <v>1072001</v>
      </c>
      <c r="D1009" s="4">
        <f t="shared" si="15"/>
        <v>297.77805555555557</v>
      </c>
      <c r="E1009" s="4" t="s">
        <v>1125</v>
      </c>
      <c r="F1009" s="3" t="s">
        <v>834</v>
      </c>
      <c r="G1009" s="3" t="s">
        <v>5772</v>
      </c>
      <c r="H1009" s="3" t="s">
        <v>897</v>
      </c>
      <c r="I1009" s="3" t="s">
        <v>33</v>
      </c>
      <c r="J1009" s="3" t="s">
        <v>152</v>
      </c>
      <c r="L1009" s="1">
        <v>45995.617037037038</v>
      </c>
      <c r="M1009" s="1">
        <v>45995.61991898148</v>
      </c>
      <c r="N1009" s="1">
        <v>46052.717557870368</v>
      </c>
      <c r="O1009" s="3" t="s">
        <v>896</v>
      </c>
      <c r="P1009" s="3" t="s">
        <v>132</v>
      </c>
      <c r="Q1009" s="3" t="s">
        <v>52</v>
      </c>
      <c r="R1009" s="3" t="s">
        <v>836</v>
      </c>
      <c r="S1009" s="3" t="s">
        <v>64</v>
      </c>
      <c r="T1009" s="3" t="s">
        <v>63</v>
      </c>
      <c r="U1009" s="4" t="b">
        <v>0</v>
      </c>
      <c r="V1009" s="3" t="s">
        <v>31</v>
      </c>
      <c r="W1009" s="1"/>
      <c r="Y1009" s="3" t="s">
        <v>32</v>
      </c>
      <c r="Z1009" s="3" t="s">
        <v>32</v>
      </c>
      <c r="AA1009" s="3"/>
      <c r="AB1009" s="3"/>
      <c r="AC1009" s="4" t="s">
        <v>30</v>
      </c>
      <c r="AD1009" s="3"/>
      <c r="AE1009" s="3" t="s">
        <v>132</v>
      </c>
      <c r="AF1009" s="4" t="s">
        <v>30</v>
      </c>
      <c r="AH1009" s="4">
        <v>2</v>
      </c>
      <c r="AI1009" s="3" t="s">
        <v>5773</v>
      </c>
      <c r="AJ1009" s="4" t="s">
        <v>835</v>
      </c>
      <c r="AK1009" s="4"/>
      <c r="AL1009" s="3"/>
    </row>
    <row r="1010" spans="1:38" x14ac:dyDescent="0.35">
      <c r="A1010" s="3" t="s">
        <v>5774</v>
      </c>
      <c r="B1010" s="4" t="s">
        <v>132</v>
      </c>
      <c r="C1010" s="4">
        <f>VLOOKUP(A1010, [1]Planilha1!$A$3:$B$1015,2,FALSE)</f>
        <v>876160</v>
      </c>
      <c r="D1010" s="4">
        <f t="shared" si="15"/>
        <v>243.37777777777777</v>
      </c>
      <c r="E1010" s="4" t="s">
        <v>1125</v>
      </c>
      <c r="F1010" s="3" t="s">
        <v>834</v>
      </c>
      <c r="G1010" s="3" t="s">
        <v>5775</v>
      </c>
      <c r="H1010" s="3" t="s">
        <v>897</v>
      </c>
      <c r="I1010" s="3" t="s">
        <v>33</v>
      </c>
      <c r="J1010" s="3" t="s">
        <v>152</v>
      </c>
      <c r="K1010" s="3" t="s">
        <v>5777</v>
      </c>
      <c r="L1010" s="1">
        <v>45987.663101851853</v>
      </c>
      <c r="M1010" s="1">
        <v>45987.672361111108</v>
      </c>
      <c r="N1010" s="1">
        <v>46031.688101851854</v>
      </c>
      <c r="O1010" s="3" t="s">
        <v>896</v>
      </c>
      <c r="P1010" s="3" t="s">
        <v>132</v>
      </c>
      <c r="Q1010" s="3" t="s">
        <v>52</v>
      </c>
      <c r="R1010" s="3" t="s">
        <v>836</v>
      </c>
      <c r="S1010" s="3" t="s">
        <v>64</v>
      </c>
      <c r="T1010" s="3" t="s">
        <v>63</v>
      </c>
      <c r="U1010" s="4" t="b">
        <v>0</v>
      </c>
      <c r="V1010" s="3" t="s">
        <v>31</v>
      </c>
      <c r="W1010" s="1"/>
      <c r="Y1010" s="3" t="s">
        <v>32</v>
      </c>
      <c r="Z1010" s="3" t="s">
        <v>32</v>
      </c>
      <c r="AA1010" s="3"/>
      <c r="AB1010" s="3"/>
      <c r="AC1010" s="4" t="s">
        <v>30</v>
      </c>
      <c r="AD1010" s="3"/>
      <c r="AE1010" s="3" t="s">
        <v>132</v>
      </c>
      <c r="AF1010" s="4" t="s">
        <v>30</v>
      </c>
      <c r="AH1010" s="4">
        <v>2</v>
      </c>
      <c r="AI1010" s="3" t="s">
        <v>5776</v>
      </c>
      <c r="AJ1010" s="4" t="s">
        <v>835</v>
      </c>
      <c r="AK1010" s="4"/>
      <c r="AL1010" s="3"/>
    </row>
    <row r="1011" spans="1:38" x14ac:dyDescent="0.35">
      <c r="A1011" s="3" t="s">
        <v>5778</v>
      </c>
      <c r="B1011" s="4" t="s">
        <v>5784</v>
      </c>
      <c r="C1011" s="4">
        <f>VLOOKUP(A1011, [1]Planilha1!$A$3:$B$1015,2,FALSE)</f>
        <v>877017</v>
      </c>
      <c r="D1011" s="4">
        <f t="shared" si="15"/>
        <v>243.61583333333334</v>
      </c>
      <c r="E1011" s="4" t="s">
        <v>1125</v>
      </c>
      <c r="F1011" s="3" t="s">
        <v>5781</v>
      </c>
      <c r="G1011" s="3" t="s">
        <v>5779</v>
      </c>
      <c r="H1011" s="3" t="s">
        <v>126</v>
      </c>
      <c r="I1011" s="3" t="s">
        <v>33</v>
      </c>
      <c r="J1011" s="3" t="s">
        <v>2794</v>
      </c>
      <c r="L1011" s="1">
        <v>45980.420636574076</v>
      </c>
      <c r="M1011" s="1">
        <v>45980.420636574076</v>
      </c>
      <c r="N1011" s="1">
        <v>46024.696342592593</v>
      </c>
      <c r="O1011" s="3" t="s">
        <v>125</v>
      </c>
      <c r="P1011" s="3" t="s">
        <v>5784</v>
      </c>
      <c r="Q1011" s="3" t="s">
        <v>52</v>
      </c>
      <c r="R1011" s="3" t="s">
        <v>5783</v>
      </c>
      <c r="S1011" s="3" t="s">
        <v>37</v>
      </c>
      <c r="T1011" s="3" t="s">
        <v>36</v>
      </c>
      <c r="U1011" s="4" t="b">
        <v>0</v>
      </c>
      <c r="V1011" s="3" t="s">
        <v>28</v>
      </c>
      <c r="W1011" s="1"/>
      <c r="Y1011" s="3" t="s">
        <v>29</v>
      </c>
      <c r="Z1011" s="3" t="s">
        <v>29</v>
      </c>
      <c r="AA1011" s="3"/>
      <c r="AB1011" s="3"/>
      <c r="AC1011" s="4" t="s">
        <v>30</v>
      </c>
      <c r="AD1011" s="3"/>
      <c r="AE1011" s="3" t="s">
        <v>5784</v>
      </c>
      <c r="AF1011" s="4" t="s">
        <v>30</v>
      </c>
      <c r="AH1011" s="4">
        <v>1</v>
      </c>
      <c r="AI1011" s="3" t="s">
        <v>5780</v>
      </c>
      <c r="AJ1011" s="4" t="s">
        <v>5782</v>
      </c>
      <c r="AK1011" s="4"/>
      <c r="AL1011" s="3"/>
    </row>
    <row r="1012" spans="1:38" x14ac:dyDescent="0.35">
      <c r="A1012" s="3" t="s">
        <v>5785</v>
      </c>
      <c r="B1012" s="4" t="s">
        <v>5790</v>
      </c>
      <c r="C1012" s="4">
        <f>VLOOKUP(A1012, [1]Planilha1!$A$3:$B$1015,2,FALSE)</f>
        <v>921289</v>
      </c>
      <c r="D1012" s="4">
        <f t="shared" si="15"/>
        <v>255.91361111111112</v>
      </c>
      <c r="E1012" s="4" t="s">
        <v>1125</v>
      </c>
      <c r="F1012" s="3" t="s">
        <v>5788</v>
      </c>
      <c r="G1012" s="3" t="s">
        <v>5786</v>
      </c>
      <c r="H1012" s="3" t="s">
        <v>126</v>
      </c>
      <c r="I1012" s="3" t="s">
        <v>33</v>
      </c>
      <c r="J1012" s="3" t="s">
        <v>2794</v>
      </c>
      <c r="L1012" s="1">
        <v>45979.650335648148</v>
      </c>
      <c r="M1012" s="1">
        <v>45979.650335648148</v>
      </c>
      <c r="N1012" s="1">
        <v>46027.666678240741</v>
      </c>
      <c r="O1012" s="3" t="s">
        <v>125</v>
      </c>
      <c r="P1012" s="3" t="s">
        <v>5790</v>
      </c>
      <c r="Q1012" s="3" t="s">
        <v>52</v>
      </c>
      <c r="R1012" s="3" t="s">
        <v>5789</v>
      </c>
      <c r="S1012" s="3" t="s">
        <v>37</v>
      </c>
      <c r="T1012" s="3" t="s">
        <v>36</v>
      </c>
      <c r="U1012" s="4" t="b">
        <v>0</v>
      </c>
      <c r="V1012" s="3" t="s">
        <v>28</v>
      </c>
      <c r="W1012" s="1"/>
      <c r="Y1012" s="3" t="s">
        <v>29</v>
      </c>
      <c r="Z1012" s="3" t="s">
        <v>29</v>
      </c>
      <c r="AA1012" s="3"/>
      <c r="AB1012" s="3"/>
      <c r="AC1012" s="4" t="s">
        <v>30</v>
      </c>
      <c r="AD1012" s="3"/>
      <c r="AE1012" s="3" t="s">
        <v>5790</v>
      </c>
      <c r="AF1012" s="4" t="s">
        <v>30</v>
      </c>
      <c r="AH1012" s="4">
        <v>1</v>
      </c>
      <c r="AI1012" s="3" t="s">
        <v>5787</v>
      </c>
      <c r="AJ1012" s="4" t="s">
        <v>5975</v>
      </c>
      <c r="AK1012" s="4"/>
      <c r="AL1012" s="3"/>
    </row>
    <row r="1013" spans="1:38" x14ac:dyDescent="0.35">
      <c r="A1013" s="3" t="s">
        <v>5791</v>
      </c>
      <c r="B1013" s="4" t="s">
        <v>58</v>
      </c>
      <c r="C1013" s="4">
        <f>VLOOKUP(A1013, [1]Planilha1!$A$3:$B$1015,2,FALSE)</f>
        <v>989996</v>
      </c>
      <c r="D1013" s="4">
        <f t="shared" si="15"/>
        <v>274.99888888888887</v>
      </c>
      <c r="E1013" s="4" t="s">
        <v>1125</v>
      </c>
      <c r="F1013" s="3" t="s">
        <v>54</v>
      </c>
      <c r="G1013" s="3" t="s">
        <v>5792</v>
      </c>
      <c r="H1013" s="3" t="s">
        <v>455</v>
      </c>
      <c r="I1013" s="3" t="s">
        <v>33</v>
      </c>
      <c r="J1013" s="3" t="s">
        <v>152</v>
      </c>
      <c r="K1013" s="3" t="s">
        <v>5794</v>
      </c>
      <c r="L1013" s="1">
        <v>45972.489571759259</v>
      </c>
      <c r="M1013" s="1">
        <v>45972.499525462961</v>
      </c>
      <c r="N1013" s="1">
        <v>46034.753703703704</v>
      </c>
      <c r="O1013" s="3" t="s">
        <v>833</v>
      </c>
      <c r="P1013" s="3" t="s">
        <v>57</v>
      </c>
      <c r="Q1013" s="3" t="s">
        <v>35</v>
      </c>
      <c r="R1013" s="3" t="s">
        <v>56</v>
      </c>
      <c r="S1013" s="3" t="s">
        <v>64</v>
      </c>
      <c r="T1013" s="3" t="s">
        <v>63</v>
      </c>
      <c r="U1013" s="4" t="b">
        <v>0</v>
      </c>
      <c r="V1013" s="3" t="s">
        <v>31</v>
      </c>
      <c r="W1013" s="1"/>
      <c r="Y1013" s="3" t="s">
        <v>32</v>
      </c>
      <c r="Z1013" s="3" t="s">
        <v>32</v>
      </c>
      <c r="AA1013" s="3" t="s">
        <v>5796</v>
      </c>
      <c r="AB1013" s="3" t="s">
        <v>58</v>
      </c>
      <c r="AC1013" s="4" t="s">
        <v>30</v>
      </c>
      <c r="AD1013" s="3" t="s">
        <v>59</v>
      </c>
      <c r="AE1013" s="3" t="s">
        <v>57</v>
      </c>
      <c r="AF1013" s="4" t="s">
        <v>30</v>
      </c>
      <c r="AH1013" s="4">
        <v>14</v>
      </c>
      <c r="AI1013" s="3" t="s">
        <v>5793</v>
      </c>
      <c r="AJ1013" s="4" t="s">
        <v>55</v>
      </c>
      <c r="AK1013" s="4" t="s">
        <v>5797</v>
      </c>
      <c r="AL1013" s="3" t="s">
        <v>5795</v>
      </c>
    </row>
  </sheetData>
  <autoFilter ref="A1:AL1013" xr:uid="{00000000-0001-0000-0000-000000000000}"/>
  <pageMargins left="0.7" right="0.7" top="0.75" bottom="0.75" header="0.3" footer="0.3"/>
  <headerFooter>
    <oddFooter>&amp;R_x000D_&amp;1#&amp;"Aptos"&amp;10&amp;K000000 NP-0 (Público)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Kaique Mateus de Souza</cp:lastModifiedBy>
  <dcterms:created xsi:type="dcterms:W3CDTF">2026-03-11T17:02:10Z</dcterms:created>
  <dcterms:modified xsi:type="dcterms:W3CDTF">2026-03-25T13:41:51Z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1d1a0d-10b6-4860-afee-8d8c7e0ad9f5_Enabled">
    <vt:lpwstr>true</vt:lpwstr>
  </property>
  <property fmtid="{D5CDD505-2E9C-101B-9397-08002B2CF9AE}" pid="3" name="MSIP_Label_db1d1a0d-10b6-4860-afee-8d8c7e0ad9f5_SetDate">
    <vt:lpwstr>2026-03-11T17:12:47Z</vt:lpwstr>
  </property>
  <property fmtid="{D5CDD505-2E9C-101B-9397-08002B2CF9AE}" pid="4" name="MSIP_Label_db1d1a0d-10b6-4860-afee-8d8c7e0ad9f5_Method">
    <vt:lpwstr>Privileged</vt:lpwstr>
  </property>
  <property fmtid="{D5CDD505-2E9C-101B-9397-08002B2CF9AE}" pid="5" name="MSIP_Label_db1d1a0d-10b6-4860-afee-8d8c7e0ad9f5_Name">
    <vt:lpwstr>NP-0</vt:lpwstr>
  </property>
  <property fmtid="{D5CDD505-2E9C-101B-9397-08002B2CF9AE}" pid="6" name="MSIP_Label_db1d1a0d-10b6-4860-afee-8d8c7e0ad9f5_SiteId">
    <vt:lpwstr>e93ffca7-38b5-4baa-bc68-92a000d8cb2b</vt:lpwstr>
  </property>
  <property fmtid="{D5CDD505-2E9C-101B-9397-08002B2CF9AE}" pid="7" name="MSIP_Label_db1d1a0d-10b6-4860-afee-8d8c7e0ad9f5_ActionId">
    <vt:lpwstr>7a0745f3-d771-4a89-aac7-5fe6e21adcfd</vt:lpwstr>
  </property>
  <property fmtid="{D5CDD505-2E9C-101B-9397-08002B2CF9AE}" pid="8" name="MSIP_Label_db1d1a0d-10b6-4860-afee-8d8c7e0ad9f5_ContentBits">
    <vt:lpwstr>2</vt:lpwstr>
  </property>
  <property fmtid="{D5CDD505-2E9C-101B-9397-08002B2CF9AE}" pid="9" name="MSIP_Label_db1d1a0d-10b6-4860-afee-8d8c7e0ad9f5_Tag">
    <vt:lpwstr>10, 0, 1, 1</vt:lpwstr>
  </property>
</Properties>
</file>